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b36bb0472144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acao" sheetId="1" r:id="R38b4f95baef54538"/>
    <x:sheet xmlns:r="http://schemas.openxmlformats.org/officeDocument/2006/relationships" name="Calculos" sheetId="2" r:id="Rc27ac70fd5984b29"/>
    <x:sheet xmlns:r="http://schemas.openxmlformats.org/officeDocument/2006/relationships" name="Entradas" sheetId="3" r:id="R3bf0898bd7d54a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;(#,##0.00);&quot;–&quot;"/>
    <x:numFmt numFmtId="201" formatCode="0.00%"/>
    <x:numFmt numFmtId="202" formatCode="0.0000%"/>
    <x:numFmt numFmtId="203" formatCode="0.00"/>
    <x:numFmt numFmtId="204" formatCode="&quot;R$ &quot;#,##0.00;(&quot;R$ &quot;#,##0.00);&quot;–&quot;"/>
    <x:numFmt numFmtId="205" formatCode="0"/>
    <x:numFmt numFmtId="206" formatCode="0.000000"/>
  </x:numFmts>
  <x:fonts count="8">
    <x:font>
      <x:sz val="11"/>
      <x:name val="Carlito"/>
    </x:font>
    <x:font>
      <x:sz val="10"/>
      <x:color rgb="FF172B3A"/>
      <x:name val="Arial"/>
    </x:font>
    <x:font>
      <x:b/>
      <x:sz val="16"/>
      <x:color rgb="FF102D4E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187042"/>
      <x:name val="Arial"/>
    </x:font>
    <x:font>
      <x:b/>
      <x:sz val="10"/>
      <x:color rgb="FF172B3A"/>
      <x:name val="Arial"/>
    </x:font>
    <x:font>
      <x:b/>
      <x:sz val="10"/>
      <x:color rgb="FF102D4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02D4E"/>
      </x:patternFill>
    </x:fill>
    <x:fill>
      <x:patternFill patternType="solid">
        <x:fgColor rgb="FFFFF2CC"/>
      </x:patternFill>
    </x:fill>
    <x:fill>
      <x:patternFill patternType="solid">
        <x:fgColor rgb="FFE8F2F8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007CB7"/>
      </x:bottom>
      <x:diagonal/>
    </x:border>
    <x:border>
      <x:left/>
      <x:right/>
      <x:top/>
      <x:bottom style="thin">
        <x:color rgb="FFE5ECF1"/>
      </x:bottom>
      <x:diagonal/>
    </x:border>
    <x:border>
      <x:left/>
      <x:right/>
      <x:top style="thin">
        <x:color rgb="FFE5ECF1"/>
      </x:top>
      <x:bottom style="thin">
        <x:color rgb="FFE5ECF1"/>
      </x:bottom>
      <x:diagonal/>
    </x:border>
    <x:border>
      <x:left/>
      <x:right/>
      <x:top style="thin">
        <x:color rgb="FFE5ECF1"/>
      </x:top>
      <x:bottom/>
      <x:diagonal/>
    </x:border>
  </x:borders>
  <x:cellStyleXfs count="1">
    <x:xf numFmtId="0" fontId="0" fillId="0" borderId="0"/>
  </x:cellStyleXfs>
  <x:cellXfs count="7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/>
    </x:xf>
    <x:xf numFmtId="204" fontId="4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203" fontId="4" fillId="0" borderId="4" xfId="0" applyNumberFormat="1" applyFont="1" applyFill="1" applyBorder="1" applyAlignment="1">
      <x:alignment vertical="center"/>
    </x:xf>
    <x:xf numFmtId="204" fontId="4" fillId="0" borderId="4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5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6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200" fontId="5" fillId="0" borderId="3" xfId="0" applyNumberFormat="1" applyFont="1" applyFill="1" applyBorder="1" applyAlignment="1">
      <x:alignment vertical="center"/>
    </x:xf>
    <x:xf numFmtId="205" fontId="1" fillId="0" borderId="3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6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200" fontId="5" fillId="0" borderId="4" xfId="0" applyNumberFormat="1" applyFont="1" applyFill="1" applyBorder="1" applyAlignment="1">
      <x:alignment vertical="center"/>
    </x:xf>
    <x:xf numFmtId="205" fontId="1" fillId="0" borderId="4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0" fontId="6" fillId="0" borderId="4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6" fontId="1" fillId="0" borderId="2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206" fontId="1" fillId="0" borderId="3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206" fontId="1" fillId="0" borderId="4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204" fontId="7" fillId="4" borderId="0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204" fontId="1" fillId="0" borderId="2" xfId="0" applyNumberFormat="1" applyFont="1" applyFill="1" applyBorder="1" applyAlignment="1">
      <x:alignment vertical="center"/>
    </x:xf>
    <x:xf numFmtId="204" fontId="7" fillId="4" borderId="2" xfId="0" applyNumberFormat="1" applyFont="1" applyFill="1" applyBorder="1" applyAlignment="1">
      <x:alignment vertical="center"/>
    </x:xf>
    <x:xf numFmtId="203" fontId="1" fillId="0" borderId="3" xfId="0" applyNumberFormat="1" applyFont="1" applyFill="1" applyBorder="1" applyAlignment="1">
      <x:alignment vertical="center"/>
    </x:xf>
    <x:xf numFmtId="204" fontId="1" fillId="0" borderId="3" xfId="0" applyNumberFormat="1" applyFont="1" applyFill="1" applyBorder="1" applyAlignment="1">
      <x:alignment vertical="center"/>
    </x:xf>
    <x:xf numFmtId="204" fontId="7" fillId="4" borderId="3" xfId="0" applyNumberFormat="1" applyFont="1" applyFill="1" applyBorder="1" applyAlignment="1">
      <x:alignment vertical="center"/>
    </x:xf>
    <x:xf numFmtId="203" fontId="1" fillId="0" borderId="4" xfId="0" applyNumberFormat="1" applyFont="1" applyFill="1" applyBorder="1" applyAlignment="1">
      <x:alignment vertical="center"/>
    </x:xf>
    <x:xf numFmtId="204" fontId="1" fillId="0" borderId="4" xfId="0" applyNumberFormat="1" applyFont="1" applyFill="1" applyBorder="1" applyAlignment="1">
      <x:alignment vertical="center"/>
    </x:xf>
    <x:xf numFmtId="204" fontId="7" fillId="4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ont>
        <x:b/>
        <x:color rgb="FFB91C1C"/>
      </x:font>
      <x:fill>
        <x:patternFill patternType="solid">
          <x:bgColor rgb="FFFDE4E1"/>
        </x:patternFill>
      </x:fill>
    </x:dxf>
    <x:dxf>
      <x:font>
        <x:b/>
        <x:color rgb="FF8A4B08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DE4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2d97fb94ad40cc" /><Relationship Type="http://schemas.openxmlformats.org/officeDocument/2006/relationships/theme" Target="/xl/theme/theme1.xml" Id="R1428ecfd49174c17" /><Relationship Type="http://schemas.openxmlformats.org/officeDocument/2006/relationships/sharedStrings" Target="/xl/sharedStrings.xml" Id="R0e7a943dce784114" /><Relationship Type="http://schemas.openxmlformats.org/officeDocument/2006/relationships/worksheet" Target="/xl/worksheets/sheet1.xml" Id="R38b4f95baef54538" /><Relationship Type="http://schemas.openxmlformats.org/officeDocument/2006/relationships/worksheet" Target="/xl/worksheets/sheet2.xml" Id="Rc27ac70fd5984b29" /><Relationship Type="http://schemas.openxmlformats.org/officeDocument/2006/relationships/worksheet" Target="/xl/worksheets/sheet3.xml" Id="R3bf0898bd7d54a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02D4E"/>
  </x:sheetPr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15" hidden="0" customWidth="1"/>
    <x:col min="2" max="2" width="13" hidden="0" customWidth="1"/>
    <x:col min="3" max="3" width="11" hidden="0" customWidth="1"/>
    <x:col min="4" max="4" width="11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3" t="str">
        <x:v>Precificação dos kits promocionais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3" customHeight="1">
      <x:c r="A4" s="2" t="str">
        <x:v>Kits no critério</x:v>
      </x:c>
      <x:c r="B4" s="2"/>
      <x:c r="C4" s="2" t="n">
        <x:f>COUNTIFS(L10:L42,"EMPATA")+COUNTIFS(L10:L42,"ACIMA")</x:f>
        <x:v>33</x:v>
      </x:c>
      <x:c r="D4" s="2"/>
      <x:c r="E4" s="2" t="str">
        <x:v>Kits ajustados pelo piso</x:v>
      </x:c>
      <x:c r="F4" s="2"/>
      <x:c r="G4" s="2" t="n">
        <x:f>COUNTIFS(G10:G42,"&gt;0")</x:f>
        <x:v>4</x:v>
      </x:c>
      <x:c r="H4" s="2"/>
      <x:c r="I4" s="2" t="str">
        <x:v>Margem média final</x:v>
      </x:c>
      <x:c r="J4" s="2"/>
      <x:c r="K4" s="53" t="n">
        <x:f>AVERAGE(K10:K42)</x:f>
        <x:v>0.2221755234227689</x:v>
      </x:c>
      <x:c r="L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3" customHeight="1">
      <x:c r="A6" s="2" t="str">
        <x:v>Piso adicional</x:v>
      </x:c>
      <x:c r="B6" s="2"/>
      <x:c r="C6" s="53" t="n">
        <x:f>'Entradas'!B16</x:f>
        <x:v>0</x:v>
      </x:c>
      <x:c r="D6" s="2"/>
      <x:c r="E6" s="2" t="str">
        <x:v>Regra: preço final = maior entre preço por custos e promocional × (1 + adicional).</x:v>
      </x:c>
      <x:c r="F6" s="2"/>
      <x:c r="G6" s="2"/>
      <x:c r="H6" s="2"/>
      <x:c r="I6" s="2"/>
      <x:c r="J6" s="2"/>
      <x:c r="K6" s="2"/>
      <x:c r="L6" s="2"/>
    </x:row>
    <x:row r="7" ht="23" customHeight="1">
      <x:c r="A7" s="2" t="str">
        <x:v>Edite taxas, custos e adicional na aba Entradas. O ajuste comercial aumenta o preço; não entra nas despesas.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3" customHeight="1">
      <x:c r="A8" s="2" t="str">
        <x:v>Sem piso: tarifa uniforme necessária</x:v>
      </x:c>
      <x:c r="B8" s="2"/>
      <x:c r="C8" s="2"/>
      <x:c r="D8" s="2"/>
      <x:c r="E8" s="14" t="n">
        <x:f>'Calculos'!N4</x:f>
        <x:v>243.68</x:v>
      </x:c>
      <x:c r="F8" s="2" t="str">
        <x:v>R$/kWp. Hipótese comercial, sem comprovação de despesa real.</x:v>
      </x:c>
      <x:c r="G8" s="2"/>
      <x:c r="H8" s="2"/>
      <x:c r="I8" s="2"/>
      <x:c r="J8" s="2"/>
      <x:c r="K8" s="2"/>
      <x:c r="L8" s="2"/>
    </x:row>
    <x:row r="9" ht="48" customHeight="1">
      <x:c r="A9" s="9" t="str">
        <x:v>Kit</x:v>
      </x:c>
      <x:c r="B9" s="9" t="str">
        <x:v>Tipo</x:v>
      </x:c>
      <x:c r="C9" s="9" t="str">
        <x:v>Módulos</x:v>
      </x:c>
      <x:c r="D9" s="9" t="str">
        <x:v>kWp</x:v>
      </x:c>
      <x:c r="E9" s="9" t="str">
        <x:v>Promocional</x:v>
      </x:c>
      <x:c r="F9" s="9" t="str">
        <x:v>Preço por custos</x:v>
      </x:c>
      <x:c r="G9" s="9" t="str">
        <x:v>Ajuste comercial</x:v>
      </x:c>
      <x:c r="H9" s="9" t="str">
        <x:v>Preço final</x:v>
      </x:c>
      <x:c r="I9" s="9" t="str">
        <x:v>Diferença R$</x:v>
      </x:c>
      <x:c r="J9" s="9" t="str">
        <x:v>Diferença %</x:v>
      </x:c>
      <x:c r="K9" s="9" t="str">
        <x:v>Margem final</x:v>
      </x:c>
      <x:c r="L9" s="9" t="str">
        <x:v>Resultado</x:v>
      </x:c>
    </x:row>
    <x:row r="10" ht="23" customHeight="1">
      <x:c r="A10" s="22" t="str">
        <x:f>'Calculos'!A10</x:f>
        <x:v>INV-05</x:v>
      </x:c>
      <x:c r="B10" s="22" t="str">
        <x:f>'Calculos'!B10</x:f>
        <x:v>Inversor</x:v>
      </x:c>
      <x:c r="C10" s="22" t="n">
        <x:f>'Calculos'!C10</x:f>
        <x:v>5</x:v>
      </x:c>
      <x:c r="D10" s="65" t="n">
        <x:f>'Calculos'!D10</x:f>
        <x:v>3.1</x:v>
      </x:c>
      <x:c r="E10" s="66" t="n">
        <x:f>'Calculos'!L48</x:f>
        <x:v>8997</x:v>
      </x:c>
      <x:c r="F10" s="66" t="n">
        <x:f>'Calculos'!K48</x:f>
        <x:v>9118.85</x:v>
      </x:c>
      <x:c r="G10" s="66" t="n">
        <x:f>'Calculos'!N48</x:f>
        <x:v>0</x:v>
      </x:c>
      <x:c r="H10" s="67" t="n">
        <x:f>'Calculos'!O48</x:f>
        <x:v>9118.85</x:v>
      </x:c>
      <x:c r="I10" s="66" t="n">
        <x:f>ROUND(H10-E10,2)</x:f>
        <x:v>121.85</x:v>
      </x:c>
      <x:c r="J10" s="56" t="n">
        <x:f>I10/E10</x:f>
        <x:v>0.013543403356674446</x:v>
      </x:c>
      <x:c r="K10" s="56" t="n">
        <x:f>'Calculos'!T48</x:f>
        <x:v>0.22000005263821645</x:v>
      </x:c>
      <x:c r="L10" s="74" t="str">
        <x:f>IF(I10&lt;0,"ABAIXO",IF(I10=0,"EMPATA","ACIMA"))</x:f>
        <x:v>ACIMA</x:v>
      </x:c>
    </x:row>
    <x:row r="11" ht="23" customHeight="1">
      <x:c r="A11" s="26" t="str">
        <x:f>'Calculos'!A11</x:f>
        <x:v>INV-06</x:v>
      </x:c>
      <x:c r="B11" s="26" t="str">
        <x:f>'Calculos'!B11</x:f>
        <x:v>Inversor</x:v>
      </x:c>
      <x:c r="C11" s="26" t="n">
        <x:f>'Calculos'!C11</x:f>
        <x:v>6</x:v>
      </x:c>
      <x:c r="D11" s="68" t="n">
        <x:f>'Calculos'!D11</x:f>
        <x:v>3.72</x:v>
      </x:c>
      <x:c r="E11" s="69" t="n">
        <x:f>'Calculos'!L49</x:f>
        <x:v>9897</x:v>
      </x:c>
      <x:c r="F11" s="69" t="n">
        <x:f>'Calculos'!K49</x:f>
        <x:v>10191.18</x:v>
      </x:c>
      <x:c r="G11" s="69" t="n">
        <x:f>'Calculos'!N49</x:f>
        <x:v>0</x:v>
      </x:c>
      <x:c r="H11" s="70" t="n">
        <x:f>'Calculos'!O49</x:f>
        <x:v>10191.18</x:v>
      </x:c>
      <x:c r="I11" s="69" t="n">
        <x:f>ROUND(H11-E11,2)</x:f>
        <x:v>294.18</x:v>
      </x:c>
      <x:c r="J11" s="58" t="n">
        <x:f>I11/E11</x:f>
        <x:v>0.029724158836010914</x:v>
      </x:c>
      <x:c r="K11" s="58" t="n">
        <x:f>'Calculos'!T49</x:f>
        <x:v>0.22000042193347585</x:v>
      </x:c>
      <x:c r="L11" s="75" t="str">
        <x:f>IF(I11&lt;0,"ABAIXO",IF(I11=0,"EMPATA","ACIMA"))</x:f>
        <x:v>ACIMA</x:v>
      </x:c>
    </x:row>
    <x:row r="12" ht="23" customHeight="1">
      <x:c r="A12" s="26" t="str">
        <x:f>'Calculos'!A12</x:f>
        <x:v>INV-07</x:v>
      </x:c>
      <x:c r="B12" s="26" t="str">
        <x:f>'Calculos'!B12</x:f>
        <x:v>Inversor</x:v>
      </x:c>
      <x:c r="C12" s="26" t="n">
        <x:f>'Calculos'!C12</x:f>
        <x:v>7</x:v>
      </x:c>
      <x:c r="D12" s="68" t="n">
        <x:f>'Calculos'!D12</x:f>
        <x:v>4.34</x:v>
      </x:c>
      <x:c r="E12" s="69" t="n">
        <x:f>'Calculos'!L50</x:f>
        <x:v>10897</x:v>
      </x:c>
      <x:c r="F12" s="69" t="n">
        <x:f>'Calculos'!K50</x:f>
        <x:v>11496.96</x:v>
      </x:c>
      <x:c r="G12" s="69" t="n">
        <x:f>'Calculos'!N50</x:f>
        <x:v>0</x:v>
      </x:c>
      <x:c r="H12" s="70" t="n">
        <x:f>'Calculos'!O50</x:f>
        <x:v>11496.96</x:v>
      </x:c>
      <x:c r="I12" s="69" t="n">
        <x:f>ROUND(H12-E12,2)</x:f>
        <x:v>599.96</x:v>
      </x:c>
      <x:c r="J12" s="58" t="n">
        <x:f>I12/E12</x:f>
        <x:v>0.05505735523538589</x:v>
      </x:c>
      <x:c r="K12" s="58" t="n">
        <x:f>'Calculos'!T50</x:f>
        <x:v>0.22000017395902915</x:v>
      </x:c>
      <x:c r="L12" s="75" t="str">
        <x:f>IF(I12&lt;0,"ABAIXO",IF(I12=0,"EMPATA","ACIMA"))</x:f>
        <x:v>ACIMA</x:v>
      </x:c>
    </x:row>
    <x:row r="13" ht="23" customHeight="1">
      <x:c r="A13" s="26" t="str">
        <x:f>'Calculos'!A13</x:f>
        <x:v>INV-08</x:v>
      </x:c>
      <x:c r="B13" s="26" t="str">
        <x:f>'Calculos'!B13</x:f>
        <x:v>Inversor</x:v>
      </x:c>
      <x:c r="C13" s="26" t="n">
        <x:f>'Calculos'!C13</x:f>
        <x:v>8</x:v>
      </x:c>
      <x:c r="D13" s="68" t="n">
        <x:f>'Calculos'!D13</x:f>
        <x:v>4.96</x:v>
      </x:c>
      <x:c r="E13" s="69" t="n">
        <x:f>'Calculos'!L51</x:f>
        <x:v>11897</x:v>
      </x:c>
      <x:c r="F13" s="69" t="n">
        <x:f>'Calculos'!K51</x:f>
        <x:v>12569.28</x:v>
      </x:c>
      <x:c r="G13" s="69" t="n">
        <x:f>'Calculos'!N51</x:f>
        <x:v>0</x:v>
      </x:c>
      <x:c r="H13" s="70" t="n">
        <x:f>'Calculos'!O51</x:f>
        <x:v>12569.28</x:v>
      </x:c>
      <x:c r="I13" s="69" t="n">
        <x:f>ROUND(H13-E13,2)</x:f>
        <x:v>672.28</x:v>
      </x:c>
      <x:c r="J13" s="58" t="n">
        <x:f>I13/E13</x:f>
        <x:v>0.05650836345297133</x:v>
      </x:c>
      <x:c r="K13" s="58" t="n">
        <x:f>'Calculos'!T51</x:f>
        <x:v>0.22000001591181034</x:v>
      </x:c>
      <x:c r="L13" s="75" t="str">
        <x:f>IF(I13&lt;0,"ABAIXO",IF(I13=0,"EMPATA","ACIMA"))</x:f>
        <x:v>ACIMA</x:v>
      </x:c>
    </x:row>
    <x:row r="14" ht="23" customHeight="1">
      <x:c r="A14" s="26" t="str">
        <x:f>'Calculos'!A14</x:f>
        <x:v>INV-09</x:v>
      </x:c>
      <x:c r="B14" s="26" t="str">
        <x:f>'Calculos'!B14</x:f>
        <x:v>Inversor</x:v>
      </x:c>
      <x:c r="C14" s="26" t="n">
        <x:f>'Calculos'!C14</x:f>
        <x:v>9</x:v>
      </x:c>
      <x:c r="D14" s="68" t="n">
        <x:f>'Calculos'!D14</x:f>
        <x:v>5.58</x:v>
      </x:c>
      <x:c r="E14" s="69" t="n">
        <x:f>'Calculos'!L52</x:f>
        <x:v>13997</x:v>
      </x:c>
      <x:c r="F14" s="69" t="n">
        <x:f>'Calculos'!K52</x:f>
        <x:v>14201.45</x:v>
      </x:c>
      <x:c r="G14" s="69" t="n">
        <x:f>'Calculos'!N52</x:f>
        <x:v>0</x:v>
      </x:c>
      <x:c r="H14" s="70" t="n">
        <x:f>'Calculos'!O52</x:f>
        <x:v>14201.45</x:v>
      </x:c>
      <x:c r="I14" s="69" t="n">
        <x:f>ROUND(H14-E14,2)</x:f>
        <x:v>204.45</x:v>
      </x:c>
      <x:c r="J14" s="58" t="n">
        <x:f>I14/E14</x:f>
        <x:v>0.014606701436022005</x:v>
      </x:c>
      <x:c r="K14" s="58" t="n">
        <x:f>'Calculos'!T52</x:f>
        <x:v>0.22000028870291416</x:v>
      </x:c>
      <x:c r="L14" s="75" t="str">
        <x:f>IF(I14&lt;0,"ABAIXO",IF(I14=0,"EMPATA","ACIMA"))</x:f>
        <x:v>ACIMA</x:v>
      </x:c>
    </x:row>
    <x:row r="15" ht="23" customHeight="1">
      <x:c r="A15" s="26" t="str">
        <x:f>'Calculos'!A15</x:f>
        <x:v>INV-10</x:v>
      </x:c>
      <x:c r="B15" s="26" t="str">
        <x:f>'Calculos'!B15</x:f>
        <x:v>Inversor</x:v>
      </x:c>
      <x:c r="C15" s="26" t="n">
        <x:f>'Calculos'!C15</x:f>
        <x:v>10</x:v>
      </x:c>
      <x:c r="D15" s="68" t="n">
        <x:f>'Calculos'!D15</x:f>
        <x:v>6.2</x:v>
      </x:c>
      <x:c r="E15" s="69" t="n">
        <x:f>'Calculos'!L53</x:f>
        <x:v>14997</x:v>
      </x:c>
      <x:c r="F15" s="69" t="n">
        <x:f>'Calculos'!K53</x:f>
        <x:v>15273.77</x:v>
      </x:c>
      <x:c r="G15" s="69" t="n">
        <x:f>'Calculos'!N53</x:f>
        <x:v>0</x:v>
      </x:c>
      <x:c r="H15" s="70" t="n">
        <x:f>'Calculos'!O53</x:f>
        <x:v>15273.77</x:v>
      </x:c>
      <x:c r="I15" s="69" t="n">
        <x:f>ROUND(H15-E15,2)</x:f>
        <x:v>276.77</x:v>
      </x:c>
      <x:c r="J15" s="58" t="n">
        <x:f>I15/E15</x:f>
        <x:v>0.01845502433820097</x:v>
      </x:c>
      <x:c r="K15" s="58" t="n">
        <x:f>'Calculos'!T53</x:f>
        <x:v>0.22000015058495703</x:v>
      </x:c>
      <x:c r="L15" s="75" t="str">
        <x:f>IF(I15&lt;0,"ABAIXO",IF(I15=0,"EMPATA","ACIMA"))</x:f>
        <x:v>ACIMA</x:v>
      </x:c>
    </x:row>
    <x:row r="16" ht="23" customHeight="1">
      <x:c r="A16" s="26" t="str">
        <x:f>'Calculos'!A16</x:f>
        <x:v>INV-11</x:v>
      </x:c>
      <x:c r="B16" s="26" t="str">
        <x:f>'Calculos'!B16</x:f>
        <x:v>Inversor</x:v>
      </x:c>
      <x:c r="C16" s="26" t="n">
        <x:f>'Calculos'!C16</x:f>
        <x:v>11</x:v>
      </x:c>
      <x:c r="D16" s="68" t="n">
        <x:f>'Calculos'!D16</x:f>
        <x:v>6.82</x:v>
      </x:c>
      <x:c r="E16" s="69" t="n">
        <x:f>'Calculos'!L54</x:f>
        <x:v>15997</x:v>
      </x:c>
      <x:c r="F16" s="69" t="n">
        <x:f>'Calculos'!K54</x:f>
        <x:v>16579.55</x:v>
      </x:c>
      <x:c r="G16" s="69" t="n">
        <x:f>'Calculos'!N54</x:f>
        <x:v>0</x:v>
      </x:c>
      <x:c r="H16" s="70" t="n">
        <x:f>'Calculos'!O54</x:f>
        <x:v>16579.55</x:v>
      </x:c>
      <x:c r="I16" s="69" t="n">
        <x:f>ROUND(H16-E16,2)</x:f>
        <x:v>582.55</x:v>
      </x:c>
      <x:c r="J16" s="58" t="n">
        <x:f>I16/E16</x:f>
        <x:v>0.03641620303806963</x:v>
      </x:c>
      <x:c r="K16" s="58" t="n">
        <x:f>'Calculos'!T54</x:f>
        <x:v>0.22</x:v>
      </x:c>
      <x:c r="L16" s="75" t="str">
        <x:f>IF(I16&lt;0,"ABAIXO",IF(I16=0,"EMPATA","ACIMA"))</x:f>
        <x:v>ACIMA</x:v>
      </x:c>
    </x:row>
    <x:row r="17" ht="23" customHeight="1">
      <x:c r="A17" s="26" t="str">
        <x:f>'Calculos'!A17</x:f>
        <x:v>INV-12</x:v>
      </x:c>
      <x:c r="B17" s="26" t="str">
        <x:f>'Calculos'!B17</x:f>
        <x:v>Inversor</x:v>
      </x:c>
      <x:c r="C17" s="26" t="n">
        <x:f>'Calculos'!C17</x:f>
        <x:v>12</x:v>
      </x:c>
      <x:c r="D17" s="68" t="n">
        <x:f>'Calculos'!D17</x:f>
        <x:v>7.44</x:v>
      </x:c>
      <x:c r="E17" s="69" t="n">
        <x:f>'Calculos'!L55</x:f>
        <x:v>16997</x:v>
      </x:c>
      <x:c r="F17" s="69" t="n">
        <x:f>'Calculos'!K55</x:f>
        <x:v>17651.88</x:v>
      </x:c>
      <x:c r="G17" s="69" t="n">
        <x:f>'Calculos'!N55</x:f>
        <x:v>0</x:v>
      </x:c>
      <x:c r="H17" s="70" t="n">
        <x:f>'Calculos'!O55</x:f>
        <x:v>17651.88</x:v>
      </x:c>
      <x:c r="I17" s="69" t="n">
        <x:f>ROUND(H17-E17,2)</x:f>
        <x:v>654.88</x:v>
      </x:c>
      <x:c r="J17" s="58" t="n">
        <x:f>I17/E17</x:f>
        <x:v>0.038529152203329996</x:v>
      </x:c>
      <x:c r="K17" s="58" t="n">
        <x:f>'Calculos'!T55</x:f>
        <x:v>0.22000021640754416</x:v>
      </x:c>
      <x:c r="L17" s="75" t="str">
        <x:f>IF(I17&lt;0,"ABAIXO",IF(I17=0,"EMPATA","ACIMA"))</x:f>
        <x:v>ACIMA</x:v>
      </x:c>
    </x:row>
    <x:row r="18" ht="23" customHeight="1">
      <x:c r="A18" s="26" t="str">
        <x:f>'Calculos'!A18</x:f>
        <x:v>INV-13</x:v>
      </x:c>
      <x:c r="B18" s="26" t="str">
        <x:f>'Calculos'!B18</x:f>
        <x:v>Inversor</x:v>
      </x:c>
      <x:c r="C18" s="26" t="n">
        <x:f>'Calculos'!C18</x:f>
        <x:v>13</x:v>
      </x:c>
      <x:c r="D18" s="68" t="n">
        <x:f>'Calculos'!D18</x:f>
        <x:v>8.06</x:v>
      </x:c>
      <x:c r="E18" s="69" t="n">
        <x:f>'Calculos'!L56</x:f>
        <x:v>18197</x:v>
      </x:c>
      <x:c r="F18" s="69" t="n">
        <x:f>'Calculos'!K56</x:f>
        <x:v>19126.59</x:v>
      </x:c>
      <x:c r="G18" s="69" t="n">
        <x:f>'Calculos'!N56</x:f>
        <x:v>0</x:v>
      </x:c>
      <x:c r="H18" s="70" t="n">
        <x:f>'Calculos'!O56</x:f>
        <x:v>19126.59</x:v>
      </x:c>
      <x:c r="I18" s="69" t="n">
        <x:f>ROUND(H18-E18,2)</x:f>
        <x:v>929.59</x:v>
      </x:c>
      <x:c r="J18" s="58" t="n">
        <x:f>I18/E18</x:f>
        <x:v>0.05108479419684563</x:v>
      </x:c>
      <x:c r="K18" s="58" t="n">
        <x:f>'Calculos'!T56</x:f>
        <x:v>0.22000004600924677</x:v>
      </x:c>
      <x:c r="L18" s="75" t="str">
        <x:f>IF(I18&lt;0,"ABAIXO",IF(I18=0,"EMPATA","ACIMA"))</x:f>
        <x:v>ACIMA</x:v>
      </x:c>
    </x:row>
    <x:row r="19" ht="23" customHeight="1">
      <x:c r="A19" s="26" t="str">
        <x:f>'Calculos'!A19</x:f>
        <x:v>INV-14</x:v>
      </x:c>
      <x:c r="B19" s="26" t="str">
        <x:f>'Calculos'!B19</x:f>
        <x:v>Inversor</x:v>
      </x:c>
      <x:c r="C19" s="26" t="n">
        <x:f>'Calculos'!C19</x:f>
        <x:v>14</x:v>
      </x:c>
      <x:c r="D19" s="68" t="n">
        <x:f>'Calculos'!D19</x:f>
        <x:v>8.68</x:v>
      </x:c>
      <x:c r="E19" s="69" t="n">
        <x:f>'Calculos'!L57</x:f>
        <x:v>19897</x:v>
      </x:c>
      <x:c r="F19" s="69" t="n">
        <x:f>'Calculos'!K57</x:f>
        <x:v>20233.35</x:v>
      </x:c>
      <x:c r="G19" s="69" t="n">
        <x:f>'Calculos'!N57</x:f>
        <x:v>0</x:v>
      </x:c>
      <x:c r="H19" s="70" t="n">
        <x:f>'Calculos'!O57</x:f>
        <x:v>20233.35</x:v>
      </x:c>
      <x:c r="I19" s="69" t="n">
        <x:f>ROUND(H19-E19,2)</x:f>
        <x:v>336.35</x:v>
      </x:c>
      <x:c r="J19" s="58" t="n">
        <x:f>I19/E19</x:f>
        <x:v>0.016904558476152184</x:v>
      </x:c>
      <x:c r="K19" s="58" t="n">
        <x:f>'Calculos'!T57</x:f>
        <x:v>0.22000012158144838</x:v>
      </x:c>
      <x:c r="L19" s="75" t="str">
        <x:f>IF(I19&lt;0,"ABAIXO",IF(I19=0,"EMPATA","ACIMA"))</x:f>
        <x:v>ACIMA</x:v>
      </x:c>
    </x:row>
    <x:row r="20" ht="23" customHeight="1">
      <x:c r="A20" s="26" t="str">
        <x:f>'Calculos'!A20</x:f>
        <x:v>INV-15</x:v>
      </x:c>
      <x:c r="B20" s="26" t="str">
        <x:f>'Calculos'!B20</x:f>
        <x:v>Inversor</x:v>
      </x:c>
      <x:c r="C20" s="26" t="n">
        <x:f>'Calculos'!C20</x:f>
        <x:v>15</x:v>
      </x:c>
      <x:c r="D20" s="68" t="n">
        <x:f>'Calculos'!D20</x:f>
        <x:v>9.3</x:v>
      </x:c>
      <x:c r="E20" s="69" t="n">
        <x:f>'Calculos'!L58</x:f>
        <x:v>20597</x:v>
      </x:c>
      <x:c r="F20" s="69" t="n">
        <x:f>'Calculos'!K58</x:f>
        <x:v>21582.56</x:v>
      </x:c>
      <x:c r="G20" s="69" t="n">
        <x:f>'Calculos'!N58</x:f>
        <x:v>0</x:v>
      </x:c>
      <x:c r="H20" s="70" t="n">
        <x:f>'Calculos'!O58</x:f>
        <x:v>21582.56</x:v>
      </x:c>
      <x:c r="I20" s="69" t="n">
        <x:f>ROUND(H20-E20,2)</x:f>
        <x:v>985.56</x:v>
      </x:c>
      <x:c r="J20" s="58" t="n">
        <x:f>I20/E20</x:f>
        <x:v>0.04784968684759916</x:v>
      </x:c>
      <x:c r="K20" s="58" t="n">
        <x:f>'Calculos'!T58</x:f>
        <x:v>0.2200002131350498</x:v>
      </x:c>
      <x:c r="L20" s="75" t="str">
        <x:f>IF(I20&lt;0,"ABAIXO",IF(I20=0,"EMPATA","ACIMA"))</x:f>
        <x:v>ACIMA</x:v>
      </x:c>
    </x:row>
    <x:row r="21" ht="23" customHeight="1">
      <x:c r="A21" s="26" t="str">
        <x:f>'Calculos'!A21</x:f>
        <x:v>INV-16</x:v>
      </x:c>
      <x:c r="B21" s="26" t="str">
        <x:f>'Calculos'!B21</x:f>
        <x:v>Inversor</x:v>
      </x:c>
      <x:c r="C21" s="26" t="n">
        <x:f>'Calculos'!C21</x:f>
        <x:v>16</x:v>
      </x:c>
      <x:c r="D21" s="68" t="n">
        <x:f>'Calculos'!D21</x:f>
        <x:v>9.92</x:v>
      </x:c>
      <x:c r="E21" s="69" t="n">
        <x:f>'Calculos'!L59</x:f>
        <x:v>21697</x:v>
      </x:c>
      <x:c r="F21" s="69" t="n">
        <x:f>'Calculos'!K59</x:f>
        <x:v>22689.31</x:v>
      </x:c>
      <x:c r="G21" s="69" t="n">
        <x:f>'Calculos'!N59</x:f>
        <x:v>0</x:v>
      </x:c>
      <x:c r="H21" s="70" t="n">
        <x:f>'Calculos'!O59</x:f>
        <x:v>22689.31</x:v>
      </x:c>
      <x:c r="I21" s="69" t="n">
        <x:f>ROUND(H21-E21,2)</x:f>
        <x:v>992.31</x:v>
      </x:c>
      <x:c r="J21" s="58" t="n">
        <x:f>I21/E21</x:f>
        <x:v>0.045734894225008066</x:v>
      </x:c>
      <x:c r="K21" s="58" t="n">
        <x:f>'Calculos'!T59</x:f>
        <x:v>0.22000002468122656</x:v>
      </x:c>
      <x:c r="L21" s="75" t="str">
        <x:f>IF(I21&lt;0,"ABAIXO",IF(I21=0,"EMPATA","ACIMA"))</x:f>
        <x:v>ACIMA</x:v>
      </x:c>
    </x:row>
    <x:row r="22" ht="23" customHeight="1">
      <x:c r="A22" s="26" t="str">
        <x:f>'Calculos'!A22</x:f>
        <x:v>INV-17</x:v>
      </x:c>
      <x:c r="B22" s="26" t="str">
        <x:f>'Calculos'!B22</x:f>
        <x:v>Inversor</x:v>
      </x:c>
      <x:c r="C22" s="26" t="n">
        <x:f>'Calculos'!C22</x:f>
        <x:v>17</x:v>
      </x:c>
      <x:c r="D22" s="68" t="n">
        <x:f>'Calculos'!D22</x:f>
        <x:v>10.54</x:v>
      </x:c>
      <x:c r="E22" s="69" t="n">
        <x:f>'Calculos'!L60</x:f>
        <x:v>23897</x:v>
      </x:c>
      <x:c r="F22" s="69" t="n">
        <x:f>'Calculos'!K60</x:f>
        <x:v>24054.1</x:v>
      </x:c>
      <x:c r="G22" s="69" t="n">
        <x:f>'Calculos'!N60</x:f>
        <x:v>0</x:v>
      </x:c>
      <x:c r="H22" s="70" t="n">
        <x:f>'Calculos'!O60</x:f>
        <x:v>24054.1</x:v>
      </x:c>
      <x:c r="I22" s="69" t="n">
        <x:f>ROUND(H22-E22,2)</x:f>
        <x:v>157.1</x:v>
      </x:c>
      <x:c r="J22" s="58" t="n">
        <x:f>I22/E22</x:f>
        <x:v>0.006574046951500188</x:v>
      </x:c>
      <x:c r="K22" s="58" t="n">
        <x:f>'Calculos'!T60</x:f>
        <x:v>0.2200000307639861</x:v>
      </x:c>
      <x:c r="L22" s="75" t="str">
        <x:f>IF(I22&lt;0,"ABAIXO",IF(I22=0,"EMPATA","ACIMA"))</x:f>
        <x:v>ACIMA</x:v>
      </x:c>
    </x:row>
    <x:row r="23" ht="23" customHeight="1">
      <x:c r="A23" s="26" t="str">
        <x:f>'Calculos'!A23</x:f>
        <x:v>INV-18</x:v>
      </x:c>
      <x:c r="B23" s="26" t="str">
        <x:f>'Calculos'!B23</x:f>
        <x:v>Inversor</x:v>
      </x:c>
      <x:c r="C23" s="26" t="n">
        <x:f>'Calculos'!C23</x:f>
        <x:v>18</x:v>
      </x:c>
      <x:c r="D23" s="68" t="n">
        <x:f>'Calculos'!D23</x:f>
        <x:v>11.16</x:v>
      </x:c>
      <x:c r="E23" s="69" t="n">
        <x:f>'Calculos'!L61</x:f>
        <x:v>24897</x:v>
      </x:c>
      <x:c r="F23" s="69" t="n">
        <x:f>'Calculos'!K61</x:f>
        <x:v>26610.36</x:v>
      </x:c>
      <x:c r="G23" s="69" t="n">
        <x:f>'Calculos'!N61</x:f>
        <x:v>0</x:v>
      </x:c>
      <x:c r="H23" s="70" t="n">
        <x:f>'Calculos'!O61</x:f>
        <x:v>26610.36</x:v>
      </x:c>
      <x:c r="I23" s="69" t="n">
        <x:f>ROUND(H23-E23,2)</x:f>
        <x:v>1713.36</x:v>
      </x:c>
      <x:c r="J23" s="58" t="n">
        <x:f>I23/E23</x:f>
        <x:v>0.0688179298710688</x:v>
      </x:c>
      <x:c r="K23" s="58" t="n">
        <x:f>'Calculos'!T61</x:f>
        <x:v>0.2200002051832444</x:v>
      </x:c>
      <x:c r="L23" s="75" t="str">
        <x:f>IF(I23&lt;0,"ABAIXO",IF(I23=0,"EMPATA","ACIMA"))</x:f>
        <x:v>ACIMA</x:v>
      </x:c>
    </x:row>
    <x:row r="24" ht="23" customHeight="1">
      <x:c r="A24" s="26" t="str">
        <x:f>'Calculos'!A24</x:f>
        <x:v>INV-19</x:v>
      </x:c>
      <x:c r="B24" s="26" t="str">
        <x:f>'Calculos'!B24</x:f>
        <x:v>Inversor</x:v>
      </x:c>
      <x:c r="C24" s="26" t="n">
        <x:f>'Calculos'!C24</x:f>
        <x:v>19</x:v>
      </x:c>
      <x:c r="D24" s="68" t="n">
        <x:f>'Calculos'!D24</x:f>
        <x:v>11.78</x:v>
      </x:c>
      <x:c r="E24" s="69" t="n">
        <x:f>'Calculos'!L62</x:f>
        <x:v>25997</x:v>
      </x:c>
      <x:c r="F24" s="69" t="n">
        <x:f>'Calculos'!K62</x:f>
        <x:v>27959.56</x:v>
      </x:c>
      <x:c r="G24" s="69" t="n">
        <x:f>'Calculos'!N62</x:f>
        <x:v>0</x:v>
      </x:c>
      <x:c r="H24" s="70" t="n">
        <x:f>'Calculos'!O62</x:f>
        <x:v>27959.56</x:v>
      </x:c>
      <x:c r="I24" s="69" t="n">
        <x:f>ROUND(H24-E24,2)</x:f>
        <x:v>1962.56</x:v>
      </x:c>
      <x:c r="J24" s="58" t="n">
        <x:f>I24/E24</x:f>
        <x:v>0.07549178751394392</x:v>
      </x:c>
      <x:c r="K24" s="58" t="n">
        <x:f>'Calculos'!T62</x:f>
        <x:v>0.22000007081656503</x:v>
      </x:c>
      <x:c r="L24" s="75" t="str">
        <x:f>IF(I24&lt;0,"ABAIXO",IF(I24=0,"EMPATA","ACIMA"))</x:f>
        <x:v>ACIMA</x:v>
      </x:c>
    </x:row>
    <x:row r="25" ht="23" customHeight="1">
      <x:c r="A25" s="26" t="str">
        <x:f>'Calculos'!A25</x:f>
        <x:v>INV-20</x:v>
      </x:c>
      <x:c r="B25" s="26" t="str">
        <x:f>'Calculos'!B25</x:f>
        <x:v>Inversor</x:v>
      </x:c>
      <x:c r="C25" s="26" t="n">
        <x:f>'Calculos'!C25</x:f>
        <x:v>20</x:v>
      </x:c>
      <x:c r="D25" s="68" t="n">
        <x:f>'Calculos'!D25</x:f>
        <x:v>12.4</x:v>
      </x:c>
      <x:c r="E25" s="69" t="n">
        <x:f>'Calculos'!L63</x:f>
        <x:v>26997</x:v>
      </x:c>
      <x:c r="F25" s="69" t="n">
        <x:f>'Calculos'!K63</x:f>
        <x:v>28879.32</x:v>
      </x:c>
      <x:c r="G25" s="69" t="n">
        <x:f>'Calculos'!N63</x:f>
        <x:v>0</x:v>
      </x:c>
      <x:c r="H25" s="70" t="n">
        <x:f>'Calculos'!O63</x:f>
        <x:v>28879.32</x:v>
      </x:c>
      <x:c r="I25" s="69" t="n">
        <x:f>ROUND(H25-E25,2)</x:f>
        <x:v>1882.32</x:v>
      </x:c>
      <x:c r="J25" s="58" t="n">
        <x:f>I25/E25</x:f>
        <x:v>0.06972330258917657</x:v>
      </x:c>
      <x:c r="K25" s="58" t="n">
        <x:f>'Calculos'!T63</x:f>
        <x:v>0.2200001592835288</x:v>
      </x:c>
      <x:c r="L25" s="75" t="str">
        <x:f>IF(I25&lt;0,"ABAIXO",IF(I25=0,"EMPATA","ACIMA"))</x:f>
        <x:v>ACIMA</x:v>
      </x:c>
    </x:row>
    <x:row r="26" ht="23" customHeight="1">
      <x:c r="A26" s="26" t="str">
        <x:f>'Calculos'!A26</x:f>
        <x:v>MIC-04</x:v>
      </x:c>
      <x:c r="B26" s="26" t="str">
        <x:f>'Calculos'!B26</x:f>
        <x:v>Micro</x:v>
      </x:c>
      <x:c r="C26" s="26" t="n">
        <x:f>'Calculos'!C26</x:f>
        <x:v>4</x:v>
      </x:c>
      <x:c r="D26" s="68" t="n">
        <x:f>'Calculos'!D26</x:f>
        <x:v>2.48</x:v>
      </x:c>
      <x:c r="E26" s="69" t="n">
        <x:f>'Calculos'!L64</x:f>
        <x:v>8029.29</x:v>
      </x:c>
      <x:c r="F26" s="69" t="n">
        <x:f>'Calculos'!K64</x:f>
        <x:v>7166.89</x:v>
      </x:c>
      <x:c r="G26" s="69" t="n">
        <x:f>'Calculos'!N64</x:f>
        <x:v>862.3999999999996</x:v>
      </x:c>
      <x:c r="H26" s="70" t="n">
        <x:f>'Calculos'!O64</x:f>
        <x:v>8029.29</x:v>
      </x:c>
      <x:c r="I26" s="69" t="n">
        <x:f>ROUND(H26-E26,2)</x:f>
        <x:v>0</x:v>
      </x:c>
      <x:c r="J26" s="58" t="n">
        <x:f>I26/E26</x:f>
        <x:v>0</x:v>
      </x:c>
      <x:c r="K26" s="58" t="n">
        <x:f>'Calculos'!T64</x:f>
        <x:v>0.2803626248398053</x:v>
      </x:c>
      <x:c r="L26" s="75" t="str">
        <x:f>IF(I26&lt;0,"ABAIXO",IF(I26=0,"EMPATA","ACIMA"))</x:f>
        <x:v>EMPATA</x:v>
      </x:c>
    </x:row>
    <x:row r="27" ht="23" customHeight="1">
      <x:c r="A27" s="26" t="str">
        <x:f>'Calculos'!A27</x:f>
        <x:v>MIC-05</x:v>
      </x:c>
      <x:c r="B27" s="26" t="str">
        <x:f>'Calculos'!B27</x:f>
        <x:v>Micro</x:v>
      </x:c>
      <x:c r="C27" s="26" t="n">
        <x:f>'Calculos'!C27</x:f>
        <x:v>5</x:v>
      </x:c>
      <x:c r="D27" s="68" t="n">
        <x:f>'Calculos'!D27</x:f>
        <x:v>3.1</x:v>
      </x:c>
      <x:c r="E27" s="69" t="n">
        <x:f>'Calculos'!L65</x:f>
        <x:v>10171.29</x:v>
      </x:c>
      <x:c r="F27" s="69" t="n">
        <x:f>'Calculos'!K65</x:f>
        <x:v>10020.7</x:v>
      </x:c>
      <x:c r="G27" s="69" t="n">
        <x:f>'Calculos'!N65</x:f>
        <x:v>150.59000000000015</x:v>
      </x:c>
      <x:c r="H27" s="70" t="n">
        <x:f>'Calculos'!O65</x:f>
        <x:v>10171.29</x:v>
      </x:c>
      <x:c r="I27" s="69" t="n">
        <x:f>ROUND(H27-E27,2)</x:f>
        <x:v>0</x:v>
      </x:c>
      <x:c r="J27" s="58" t="n">
        <x:f>I27/E27</x:f>
        <x:v>0</x:v>
      </x:c>
      <x:c r="K27" s="58" t="n">
        <x:f>'Calculos'!T65</x:f>
        <x:v>0.22832077347121166</x:v>
      </x:c>
      <x:c r="L27" s="75" t="str">
        <x:f>IF(I27&lt;0,"ABAIXO",IF(I27=0,"EMPATA","ACIMA"))</x:f>
        <x:v>EMPATA</x:v>
      </x:c>
    </x:row>
    <x:row r="28" ht="23" customHeight="1">
      <x:c r="A28" s="26" t="str">
        <x:f>'Calculos'!A28</x:f>
        <x:v>MIC-06</x:v>
      </x:c>
      <x:c r="B28" s="26" t="str">
        <x:f>'Calculos'!B28</x:f>
        <x:v>Micro</x:v>
      </x:c>
      <x:c r="C28" s="26" t="n">
        <x:f>'Calculos'!C28</x:f>
        <x:v>6</x:v>
      </x:c>
      <x:c r="D28" s="68" t="n">
        <x:f>'Calculos'!D28</x:f>
        <x:v>3.72</x:v>
      </x:c>
      <x:c r="E28" s="69" t="n">
        <x:f>'Calculos'!L66</x:f>
        <x:v>11135.19</x:v>
      </x:c>
      <x:c r="F28" s="69" t="n">
        <x:f>'Calculos'!K66</x:f>
        <x:v>11093.03</x:v>
      </x:c>
      <x:c r="G28" s="69" t="n">
        <x:f>'Calculos'!N66</x:f>
        <x:v>42.159999999999854</x:v>
      </x:c>
      <x:c r="H28" s="70" t="n">
        <x:f>'Calculos'!O66</x:f>
        <x:v>11135.19</x:v>
      </x:c>
      <x:c r="I28" s="69" t="n">
        <x:f>ROUND(H28-E28,2)</x:f>
        <x:v>0</x:v>
      </x:c>
      <x:c r="J28" s="58" t="n">
        <x:f>I28/E28</x:f>
        <x:v>0</x:v>
      </x:c>
      <x:c r="K28" s="58" t="n">
        <x:f>'Calculos'!T66</x:f>
        <x:v>0.22212831213477274</x:v>
      </x:c>
      <x:c r="L28" s="75" t="str">
        <x:f>IF(I28&lt;0,"ABAIXO",IF(I28=0,"EMPATA","ACIMA"))</x:f>
        <x:v>EMPATA</x:v>
      </x:c>
    </x:row>
    <x:row r="29" ht="23" customHeight="1">
      <x:c r="A29" s="26" t="str">
        <x:f>'Calculos'!A29</x:f>
        <x:v>MIC-07</x:v>
      </x:c>
      <x:c r="B29" s="26" t="str">
        <x:f>'Calculos'!B29</x:f>
        <x:v>Micro</x:v>
      </x:c>
      <x:c r="C29" s="26" t="n">
        <x:f>'Calculos'!C29</x:f>
        <x:v>7</x:v>
      </x:c>
      <x:c r="D29" s="68" t="n">
        <x:f>'Calculos'!D29</x:f>
        <x:v>4.34</x:v>
      </x:c>
      <x:c r="E29" s="69" t="n">
        <x:f>'Calculos'!L67</x:f>
        <x:v>12420.39</x:v>
      </x:c>
      <x:c r="F29" s="69" t="n">
        <x:f>'Calculos'!K67</x:f>
        <x:v>12398.81</x:v>
      </x:c>
      <x:c r="G29" s="69" t="n">
        <x:f>'Calculos'!N67</x:f>
        <x:v>21.579999999999927</x:v>
      </x:c>
      <x:c r="H29" s="70" t="n">
        <x:f>'Calculos'!O67</x:f>
        <x:v>12420.39</x:v>
      </x:c>
      <x:c r="I29" s="69" t="n">
        <x:f>ROUND(H29-E29,2)</x:f>
        <x:v>0</x:v>
      </x:c>
      <x:c r="J29" s="58" t="n">
        <x:f>I29/E29</x:f>
        <x:v>0</x:v>
      </x:c>
      <x:c r="K29" s="58" t="n">
        <x:f>'Calculos'!T67</x:f>
        <x:v>0.2209766923582915</x:v>
      </x:c>
      <x:c r="L29" s="75" t="str">
        <x:f>IF(I29&lt;0,"ABAIXO",IF(I29=0,"EMPATA","ACIMA"))</x:f>
        <x:v>EMPATA</x:v>
      </x:c>
    </x:row>
    <x:row r="30" ht="23" customHeight="1">
      <x:c r="A30" s="26" t="str">
        <x:f>'Calculos'!A30</x:f>
        <x:v>MIC-08</x:v>
      </x:c>
      <x:c r="B30" s="26" t="str">
        <x:f>'Calculos'!B30</x:f>
        <x:v>Micro</x:v>
      </x:c>
      <x:c r="C30" s="26" t="n">
        <x:f>'Calculos'!C30</x:f>
        <x:v>8</x:v>
      </x:c>
      <x:c r="D30" s="68" t="n">
        <x:f>'Calculos'!D30</x:f>
        <x:v>4.96</x:v>
      </x:c>
      <x:c r="E30" s="69" t="n">
        <x:f>'Calculos'!L68</x:f>
        <x:v>12697</x:v>
      </x:c>
      <x:c r="F30" s="69" t="n">
        <x:f>'Calculos'!K68</x:f>
        <x:v>13471.13</x:v>
      </x:c>
      <x:c r="G30" s="69" t="n">
        <x:f>'Calculos'!N68</x:f>
        <x:v>0</x:v>
      </x:c>
      <x:c r="H30" s="70" t="n">
        <x:f>'Calculos'!O68</x:f>
        <x:v>13471.13</x:v>
      </x:c>
      <x:c r="I30" s="69" t="n">
        <x:f>ROUND(H30-E30,2)</x:f>
        <x:v>774.13</x:v>
      </x:c>
      <x:c r="J30" s="58" t="n">
        <x:f>I30/E30</x:f>
        <x:v>0.06096952035913995</x:v>
      </x:c>
      <x:c r="K30" s="58" t="n">
        <x:f>'Calculos'!T68</x:f>
        <x:v>0.2200000846254174</x:v>
      </x:c>
      <x:c r="L30" s="75" t="str">
        <x:f>IF(I30&lt;0,"ABAIXO",IF(I30=0,"EMPATA","ACIMA"))</x:f>
        <x:v>ACIMA</x:v>
      </x:c>
    </x:row>
    <x:row r="31" ht="23" customHeight="1">
      <x:c r="A31" s="26" t="str">
        <x:f>'Calculos'!A31</x:f>
        <x:v>MIC-09</x:v>
      </x:c>
      <x:c r="B31" s="26" t="str">
        <x:f>'Calculos'!B31</x:f>
        <x:v>Micro</x:v>
      </x:c>
      <x:c r="C31" s="26" t="n">
        <x:f>'Calculos'!C31</x:f>
        <x:v>9</x:v>
      </x:c>
      <x:c r="D31" s="68" t="n">
        <x:f>'Calculos'!D31</x:f>
        <x:v>5.58</x:v>
      </x:c>
      <x:c r="E31" s="69" t="n">
        <x:f>'Calculos'!L69</x:f>
        <x:v>15297</x:v>
      </x:c>
      <x:c r="F31" s="69" t="n">
        <x:f>'Calculos'!K69</x:f>
        <x:v>16324.96</x:v>
      </x:c>
      <x:c r="G31" s="69" t="n">
        <x:f>'Calculos'!N69</x:f>
        <x:v>0</x:v>
      </x:c>
      <x:c r="H31" s="70" t="n">
        <x:f>'Calculos'!O69</x:f>
        <x:v>16324.96</x:v>
      </x:c>
      <x:c r="I31" s="69" t="n">
        <x:f>ROUND(H31-E31,2)</x:f>
        <x:v>1027.96</x:v>
      </x:c>
      <x:c r="J31" s="58" t="n">
        <x:f>I31/E31</x:f>
        <x:v>0.06720010459567236</x:v>
      </x:c>
      <x:c r="K31" s="58" t="n">
        <x:f>'Calculos'!T69</x:f>
        <x:v>0.22000021929609617</x:v>
      </x:c>
      <x:c r="L31" s="75" t="str">
        <x:f>IF(I31&lt;0,"ABAIXO",IF(I31=0,"EMPATA","ACIMA"))</x:f>
        <x:v>ACIMA</x:v>
      </x:c>
    </x:row>
    <x:row r="32" ht="23" customHeight="1">
      <x:c r="A32" s="26" t="str">
        <x:f>'Calculos'!A32</x:f>
        <x:v>MIC-10</x:v>
      </x:c>
      <x:c r="B32" s="26" t="str">
        <x:f>'Calculos'!B32</x:f>
        <x:v>Micro</x:v>
      </x:c>
      <x:c r="C32" s="26" t="n">
        <x:f>'Calculos'!C32</x:f>
        <x:v>10</x:v>
      </x:c>
      <x:c r="D32" s="68" t="n">
        <x:f>'Calculos'!D32</x:f>
        <x:v>6.2</x:v>
      </x:c>
      <x:c r="E32" s="69" t="n">
        <x:f>'Calculos'!L70</x:f>
        <x:v>16297</x:v>
      </x:c>
      <x:c r="F32" s="69" t="n">
        <x:f>'Calculos'!K70</x:f>
        <x:v>17397.28</x:v>
      </x:c>
      <x:c r="G32" s="69" t="n">
        <x:f>'Calculos'!N70</x:f>
        <x:v>0</x:v>
      </x:c>
      <x:c r="H32" s="70" t="n">
        <x:f>'Calculos'!O70</x:f>
        <x:v>17397.28</x:v>
      </x:c>
      <x:c r="I32" s="69" t="n">
        <x:f>ROUND(H32-E32,2)</x:f>
        <x:v>1100.28</x:v>
      </x:c>
      <x:c r="J32" s="58" t="n">
        <x:f>I32/E32</x:f>
        <x:v>0.06751426642940418</x:v>
      </x:c>
      <x:c r="K32" s="58" t="n">
        <x:f>'Calculos'!T70</x:f>
        <x:v>0.22000010231484457</x:v>
      </x:c>
      <x:c r="L32" s="75" t="str">
        <x:f>IF(I32&lt;0,"ABAIXO",IF(I32=0,"EMPATA","ACIMA"))</x:f>
        <x:v>ACIMA</x:v>
      </x:c>
    </x:row>
    <x:row r="33" ht="23" customHeight="1">
      <x:c r="A33" s="26" t="str">
        <x:f>'Calculos'!A33</x:f>
        <x:v>MIC-11</x:v>
      </x:c>
      <x:c r="B33" s="26" t="str">
        <x:f>'Calculos'!B33</x:f>
        <x:v>Micro</x:v>
      </x:c>
      <x:c r="C33" s="26" t="n">
        <x:f>'Calculos'!C33</x:f>
        <x:v>11</x:v>
      </x:c>
      <x:c r="D33" s="68" t="n">
        <x:f>'Calculos'!D33</x:f>
        <x:v>6.82</x:v>
      </x:c>
      <x:c r="E33" s="69" t="n">
        <x:f>'Calculos'!L71</x:f>
        <x:v>17497</x:v>
      </x:c>
      <x:c r="F33" s="69" t="n">
        <x:f>'Calculos'!K71</x:f>
        <x:v>18703.07</x:v>
      </x:c>
      <x:c r="G33" s="69" t="n">
        <x:f>'Calculos'!N71</x:f>
        <x:v>0</x:v>
      </x:c>
      <x:c r="H33" s="70" t="n">
        <x:f>'Calculos'!O71</x:f>
        <x:v>18703.07</x:v>
      </x:c>
      <x:c r="I33" s="69" t="n">
        <x:f>ROUND(H33-E33,2)</x:f>
        <x:v>1206.07</x:v>
      </x:c>
      <x:c r="J33" s="58" t="n">
        <x:f>I33/E33</x:f>
        <x:v>0.06893010230325199</x:v>
      </x:c>
      <x:c r="K33" s="58" t="n">
        <x:f>'Calculos'!T71</x:f>
        <x:v>0.2200002726825061</x:v>
      </x:c>
      <x:c r="L33" s="75" t="str">
        <x:f>IF(I33&lt;0,"ABAIXO",IF(I33=0,"EMPATA","ACIMA"))</x:f>
        <x:v>ACIMA</x:v>
      </x:c>
    </x:row>
    <x:row r="34" ht="23" customHeight="1">
      <x:c r="A34" s="26" t="str">
        <x:f>'Calculos'!A34</x:f>
        <x:v>MIC-12</x:v>
      </x:c>
      <x:c r="B34" s="26" t="str">
        <x:f>'Calculos'!B34</x:f>
        <x:v>Micro</x:v>
      </x:c>
      <x:c r="C34" s="26" t="n">
        <x:f>'Calculos'!C34</x:f>
        <x:v>12</x:v>
      </x:c>
      <x:c r="D34" s="68" t="n">
        <x:f>'Calculos'!D34</x:f>
        <x:v>7.44</x:v>
      </x:c>
      <x:c r="E34" s="69" t="n">
        <x:f>'Calculos'!L72</x:f>
        <x:v>18497</x:v>
      </x:c>
      <x:c r="F34" s="69" t="n">
        <x:f>'Calculos'!K72</x:f>
        <x:v>19807.77</x:v>
      </x:c>
      <x:c r="G34" s="69" t="n">
        <x:f>'Calculos'!N72</x:f>
        <x:v>0</x:v>
      </x:c>
      <x:c r="H34" s="70" t="n">
        <x:f>'Calculos'!O72</x:f>
        <x:v>19807.77</x:v>
      </x:c>
      <x:c r="I34" s="69" t="n">
        <x:f>ROUND(H34-E34,2)</x:f>
        <x:v>1310.77</x:v>
      </x:c>
      <x:c r="J34" s="58" t="n">
        <x:f>I34/E34</x:f>
        <x:v>0.07086392387954803</x:v>
      </x:c>
      <x:c r="K34" s="58" t="n">
        <x:f>'Calculos'!T72</x:f>
        <x:v>0.22000020396036502</x:v>
      </x:c>
      <x:c r="L34" s="75" t="str">
        <x:f>IF(I34&lt;0,"ABAIXO",IF(I34=0,"EMPATA","ACIMA"))</x:f>
        <x:v>ACIMA</x:v>
      </x:c>
    </x:row>
    <x:row r="35" ht="23" customHeight="1">
      <x:c r="A35" s="26" t="str">
        <x:f>'Calculos'!A35</x:f>
        <x:v>MIC-13</x:v>
      </x:c>
      <x:c r="B35" s="26" t="str">
        <x:f>'Calculos'!B35</x:f>
        <x:v>Micro</x:v>
      </x:c>
      <x:c r="C35" s="26" t="n">
        <x:f>'Calculos'!C35</x:f>
        <x:v>13</x:v>
      </x:c>
      <x:c r="D35" s="68" t="n">
        <x:f>'Calculos'!D35</x:f>
        <x:v>8.06</x:v>
      </x:c>
      <x:c r="E35" s="69" t="n">
        <x:f>'Calculos'!L73</x:f>
        <x:v>21197</x:v>
      </x:c>
      <x:c r="F35" s="69" t="n">
        <x:f>'Calculos'!K73</x:f>
        <x:v>22764.6</x:v>
      </x:c>
      <x:c r="G35" s="69" t="n">
        <x:f>'Calculos'!N73</x:f>
        <x:v>0</x:v>
      </x:c>
      <x:c r="H35" s="70" t="n">
        <x:f>'Calculos'!O73</x:f>
        <x:v>22764.6</x:v>
      </x:c>
      <x:c r="I35" s="69" t="n">
        <x:f>ROUND(H35-E35,2)</x:f>
        <x:v>1567.6</x:v>
      </x:c>
      <x:c r="J35" s="58" t="n">
        <x:f>I35/E35</x:f>
        <x:v>0.07395386139548049</x:v>
      </x:c>
      <x:c r="K35" s="58" t="n">
        <x:f>'Calculos'!T73</x:f>
        <x:v>0.2200000852200346</x:v>
      </x:c>
      <x:c r="L35" s="75" t="str">
        <x:f>IF(I35&lt;0,"ABAIXO",IF(I35=0,"EMPATA","ACIMA"))</x:f>
        <x:v>ACIMA</x:v>
      </x:c>
    </x:row>
    <x:row r="36" ht="23" customHeight="1">
      <x:c r="A36" s="26" t="str">
        <x:f>'Calculos'!A36</x:f>
        <x:v>MIC-14</x:v>
      </x:c>
      <x:c r="B36" s="26" t="str">
        <x:f>'Calculos'!B36</x:f>
        <x:v>Micro</x:v>
      </x:c>
      <x:c r="C36" s="26" t="n">
        <x:f>'Calculos'!C36</x:f>
        <x:v>14</x:v>
      </x:c>
      <x:c r="D36" s="68" t="n">
        <x:f>'Calculos'!D36</x:f>
        <x:v>8.68</x:v>
      </x:c>
      <x:c r="E36" s="69" t="n">
        <x:f>'Calculos'!L74</x:f>
        <x:v>22197</x:v>
      </x:c>
      <x:c r="F36" s="69" t="n">
        <x:f>'Calculos'!K74</x:f>
        <x:v>23871.36</x:v>
      </x:c>
      <x:c r="G36" s="69" t="n">
        <x:f>'Calculos'!N74</x:f>
        <x:v>0</x:v>
      </x:c>
      <x:c r="H36" s="70" t="n">
        <x:f>'Calculos'!O74</x:f>
        <x:v>23871.36</x:v>
      </x:c>
      <x:c r="I36" s="69" t="n">
        <x:f>ROUND(H36-E36,2)</x:f>
        <x:v>1674.36</x:v>
      </x:c>
      <x:c r="J36" s="58" t="n">
        <x:f>I36/E36</x:f>
        <x:v>0.07543181511015001</x:v>
      </x:c>
      <x:c r="K36" s="58" t="n">
        <x:f>'Calculos'!T74</x:f>
        <x:v>0.22000014745703642</x:v>
      </x:c>
      <x:c r="L36" s="75" t="str">
        <x:f>IF(I36&lt;0,"ABAIXO",IF(I36=0,"EMPATA","ACIMA"))</x:f>
        <x:v>ACIMA</x:v>
      </x:c>
    </x:row>
    <x:row r="37" ht="23" customHeight="1">
      <x:c r="A37" s="26" t="str">
        <x:f>'Calculos'!A37</x:f>
        <x:v>MIC-15</x:v>
      </x:c>
      <x:c r="B37" s="26" t="str">
        <x:f>'Calculos'!B37</x:f>
        <x:v>Micro</x:v>
      </x:c>
      <x:c r="C37" s="26" t="n">
        <x:f>'Calculos'!C37</x:f>
        <x:v>15</x:v>
      </x:c>
      <x:c r="D37" s="68" t="n">
        <x:f>'Calculos'!D37</x:f>
        <x:v>9.3</x:v>
      </x:c>
      <x:c r="E37" s="69" t="n">
        <x:f>'Calculos'!L75</x:f>
        <x:v>23397</x:v>
      </x:c>
      <x:c r="F37" s="69" t="n">
        <x:f>'Calculos'!K75</x:f>
        <x:v>25220.56</x:v>
      </x:c>
      <x:c r="G37" s="69" t="n">
        <x:f>'Calculos'!N75</x:f>
        <x:v>0</x:v>
      </x:c>
      <x:c r="H37" s="70" t="n">
        <x:f>'Calculos'!O75</x:f>
        <x:v>25220.56</x:v>
      </x:c>
      <x:c r="I37" s="69" t="n">
        <x:f>ROUND(H37-E37,2)</x:f>
        <x:v>1823.56</x:v>
      </x:c>
      <x:c r="J37" s="58" t="n">
        <x:f>I37/E37</x:f>
        <x:v>0.0779399068256614</x:v>
      </x:c>
      <x:c r="K37" s="58" t="n">
        <x:f>'Calculos'!T75</x:f>
        <x:v>0.2200000015860076</x:v>
      </x:c>
      <x:c r="L37" s="75" t="str">
        <x:f>IF(I37&lt;0,"ABAIXO",IF(I37=0,"EMPATA","ACIMA"))</x:f>
        <x:v>ACIMA</x:v>
      </x:c>
    </x:row>
    <x:row r="38" ht="23" customHeight="1">
      <x:c r="A38" s="26" t="str">
        <x:f>'Calculos'!A38</x:f>
        <x:v>MIC-16</x:v>
      </x:c>
      <x:c r="B38" s="26" t="str">
        <x:f>'Calculos'!B38</x:f>
        <x:v>Micro</x:v>
      </x:c>
      <x:c r="C38" s="26" t="n">
        <x:f>'Calculos'!C38</x:f>
        <x:v>16</x:v>
      </x:c>
      <x:c r="D38" s="68" t="n">
        <x:f>'Calculos'!D38</x:f>
        <x:v>9.92</x:v>
      </x:c>
      <x:c r="E38" s="69" t="n">
        <x:f>'Calculos'!L76</x:f>
        <x:v>24397</x:v>
      </x:c>
      <x:c r="F38" s="69" t="n">
        <x:f>'Calculos'!K76</x:f>
        <x:v>26327.32</x:v>
      </x:c>
      <x:c r="G38" s="69" t="n">
        <x:f>'Calculos'!N76</x:f>
        <x:v>0</x:v>
      </x:c>
      <x:c r="H38" s="70" t="n">
        <x:f>'Calculos'!O76</x:f>
        <x:v>26327.32</x:v>
      </x:c>
      <x:c r="I38" s="69" t="n">
        <x:f>ROUND(H38-E38,2)</x:f>
        <x:v>1930.32</x:v>
      </x:c>
      <x:c r="J38" s="58" t="n">
        <x:f>I38/E38</x:f>
        <x:v>0.07912120342665081</x:v>
      </x:c>
      <x:c r="K38" s="58" t="n">
        <x:f>'Calculos'!T76</x:f>
        <x:v>0.22000006153303872</x:v>
      </x:c>
      <x:c r="L38" s="75" t="str">
        <x:f>IF(I38&lt;0,"ABAIXO",IF(I38=0,"EMPATA","ACIMA"))</x:f>
        <x:v>ACIMA</x:v>
      </x:c>
    </x:row>
    <x:row r="39" ht="23" customHeight="1">
      <x:c r="A39" s="26" t="str">
        <x:f>'Calculos'!A39</x:f>
        <x:v>MIC-17</x:v>
      </x:c>
      <x:c r="B39" s="26" t="str">
        <x:f>'Calculos'!B39</x:f>
        <x:v>Micro</x:v>
      </x:c>
      <x:c r="C39" s="26" t="n">
        <x:f>'Calculos'!C39</x:f>
        <x:v>17</x:v>
      </x:c>
      <x:c r="D39" s="68" t="n">
        <x:f>'Calculos'!D39</x:f>
        <x:v>10.54</x:v>
      </x:c>
      <x:c r="E39" s="69" t="n">
        <x:f>'Calculos'!L77</x:f>
        <x:v>27197</x:v>
      </x:c>
      <x:c r="F39" s="69" t="n">
        <x:f>'Calculos'!K77</x:f>
        <x:v>29284.16</x:v>
      </x:c>
      <x:c r="G39" s="69" t="n">
        <x:f>'Calculos'!N77</x:f>
        <x:v>0</x:v>
      </x:c>
      <x:c r="H39" s="70" t="n">
        <x:f>'Calculos'!O77</x:f>
        <x:v>29284.16</x:v>
      </x:c>
      <x:c r="I39" s="69" t="n">
        <x:f>ROUND(H39-E39,2)</x:f>
        <x:v>2087.16</x:v>
      </x:c>
      <x:c r="J39" s="58" t="n">
        <x:f>I39/E39</x:f>
        <x:v>0.07674228775232562</x:v>
      </x:c>
      <x:c r="K39" s="58" t="n">
        <x:f>'Calculos'!T77</x:f>
        <x:v>0.2200001283970583</x:v>
      </x:c>
      <x:c r="L39" s="75" t="str">
        <x:f>IF(I39&lt;0,"ABAIXO",IF(I39=0,"EMPATA","ACIMA"))</x:f>
        <x:v>ACIMA</x:v>
      </x:c>
    </x:row>
    <x:row r="40" ht="23" customHeight="1">
      <x:c r="A40" s="26" t="str">
        <x:f>'Calculos'!A40</x:f>
        <x:v>MIC-18</x:v>
      </x:c>
      <x:c r="B40" s="26" t="str">
        <x:f>'Calculos'!B40</x:f>
        <x:v>Micro</x:v>
      </x:c>
      <x:c r="C40" s="26" t="n">
        <x:f>'Calculos'!C40</x:f>
        <x:v>18</x:v>
      </x:c>
      <x:c r="D40" s="68" t="n">
        <x:f>'Calculos'!D40</x:f>
        <x:v>11.16</x:v>
      </x:c>
      <x:c r="E40" s="69" t="n">
        <x:f>'Calculos'!L78</x:f>
        <x:v>28197</x:v>
      </x:c>
      <x:c r="F40" s="69" t="n">
        <x:f>'Calculos'!K78</x:f>
        <x:v>30390.92</x:v>
      </x:c>
      <x:c r="G40" s="69" t="n">
        <x:f>'Calculos'!N78</x:f>
        <x:v>0</x:v>
      </x:c>
      <x:c r="H40" s="70" t="n">
        <x:f>'Calculos'!O78</x:f>
        <x:v>30390.92</x:v>
      </x:c>
      <x:c r="I40" s="69" t="n">
        <x:f>ROUND(H40-E40,2)</x:f>
        <x:v>2193.92</x:v>
      </x:c>
      <x:c r="J40" s="58" t="n">
        <x:f>I40/E40</x:f>
        <x:v>0.07780685888569706</x:v>
      </x:c>
      <x:c r="K40" s="58" t="n">
        <x:f>'Calculos'!T78</x:f>
        <x:v>0.22000017571037664</x:v>
      </x:c>
      <x:c r="L40" s="75" t="str">
        <x:f>IF(I40&lt;0,"ABAIXO",IF(I40=0,"EMPATA","ACIMA"))</x:f>
        <x:v>ACIMA</x:v>
      </x:c>
    </x:row>
    <x:row r="41" ht="23" customHeight="1">
      <x:c r="A41" s="26" t="str">
        <x:f>'Calculos'!A41</x:f>
        <x:v>MIC-19</x:v>
      </x:c>
      <x:c r="B41" s="26" t="str">
        <x:f>'Calculos'!B41</x:f>
        <x:v>Micro</x:v>
      </x:c>
      <x:c r="C41" s="26" t="n">
        <x:f>'Calculos'!C41</x:f>
        <x:v>19</x:v>
      </x:c>
      <x:c r="D41" s="68" t="n">
        <x:f>'Calculos'!D41</x:f>
        <x:v>11.78</x:v>
      </x:c>
      <x:c r="E41" s="69" t="n">
        <x:f>'Calculos'!L79</x:f>
        <x:v>29397</x:v>
      </x:c>
      <x:c r="F41" s="69" t="n">
        <x:f>'Calculos'!K79</x:f>
        <x:v>31740.12</x:v>
      </x:c>
      <x:c r="G41" s="69" t="n">
        <x:f>'Calculos'!N79</x:f>
        <x:v>0</x:v>
      </x:c>
      <x:c r="H41" s="70" t="n">
        <x:f>'Calculos'!O79</x:f>
        <x:v>31740.12</x:v>
      </x:c>
      <x:c r="I41" s="69" t="n">
        <x:f>ROUND(H41-E41,2)</x:f>
        <x:v>2343.12</x:v>
      </x:c>
      <x:c r="J41" s="58" t="n">
        <x:f>I41/E41</x:f>
        <x:v>0.07970609245841412</x:v>
      </x:c>
      <x:c r="K41" s="58" t="n">
        <x:f>'Calculos'!T79</x:f>
        <x:v>0.22000005860091262</x:v>
      </x:c>
      <x:c r="L41" s="75" t="str">
        <x:f>IF(I41&lt;0,"ABAIXO",IF(I41=0,"EMPATA","ACIMA"))</x:f>
        <x:v>ACIMA</x:v>
      </x:c>
    </x:row>
    <x:row r="42" ht="23" customHeight="1">
      <x:c r="A42" s="30" t="str">
        <x:f>'Calculos'!A42</x:f>
        <x:v>MIC-20</x:v>
      </x:c>
      <x:c r="B42" s="30" t="str">
        <x:f>'Calculos'!B42</x:f>
        <x:v>Micro</x:v>
      </x:c>
      <x:c r="C42" s="30" t="n">
        <x:f>'Calculos'!C42</x:f>
        <x:v>20</x:v>
      </x:c>
      <x:c r="D42" s="71" t="n">
        <x:f>'Calculos'!D42</x:f>
        <x:v>12.4</x:v>
      </x:c>
      <x:c r="E42" s="72" t="n">
        <x:f>'Calculos'!L80</x:f>
        <x:v>30397</x:v>
      </x:c>
      <x:c r="F42" s="72" t="n">
        <x:f>'Calculos'!K80</x:f>
        <x:v>32659.88</x:v>
      </x:c>
      <x:c r="G42" s="72" t="n">
        <x:f>'Calculos'!N80</x:f>
        <x:v>0</x:v>
      </x:c>
      <x:c r="H42" s="73" t="n">
        <x:f>'Calculos'!O80</x:f>
        <x:v>32659.88</x:v>
      </x:c>
      <x:c r="I42" s="72" t="n">
        <x:f>ROUND(H42-E42,2)</x:f>
        <x:v>2262.88</x:v>
      </x:c>
      <x:c r="J42" s="60" t="n">
        <x:f>I42/E42</x:f>
        <x:v>0.07444418857124059</x:v>
      </x:c>
      <x:c r="K42" s="60" t="n">
        <x:f>'Calculos'!T80</x:f>
        <x:v>0.22000013717135516</x:v>
      </x:c>
      <x:c r="L42" s="76" t="str">
        <x:f>IF(I42&lt;0,"ABAIXO",IF(I42=0,"EMPATA","ACIMA"))</x:f>
        <x:v>ACIMA</x:v>
      </x:c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3" customHeight="1">
      <x:c r="A45" s="2" t="str">
        <x:v>A reserva elétrica é estimativa. O piso garante o critério apenas contra o kit promocional da mesma linha desta planilha.</x:v>
      </x:c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3" customHeight="1">
      <x:c r="A46" s="2" t="str">
        <x:v>Taxas calculadas sem arredondamento intermediário: a plataforma pode apresentar diferença de poucos centavos.</x:v>
      </x:c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3" customHeight="1">
      <x:c r="A47" s="2" t="str">
        <x:v>Planilha de simulação: não altera os preços ou a regra da plataforma.</x:v>
      </x:c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</x:sheetData>
  <x:conditionalFormatting sqref="G10:G42">
    <x:cfRule type="cellIs" dxfId="1" priority="1" operator="greaterThan">
      <x:formula>0</x:formula>
    </x:cfRule>
  </x:conditionalFormatting>
  <x:conditionalFormatting sqref="L10:L42">
    <x:cfRule type="containsText" dxfId="2" priority="2" operator="containsText" text="ABAIXO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17992"/>
  </x:sheetPr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1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30" customHeight="1">
      <x:c r="A2" s="3" t="str">
        <x:v>Composição do custo e formação do preço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</x:row>
    <x:row r="4" ht="23" customHeight="1">
      <x:c r="A4" s="2" t="str">
        <x:v>Reserva para média de 19,5% (R$/kWp)</x:v>
      </x:c>
      <x:c r="B4" s="2"/>
      <x:c r="C4" s="2"/>
      <x:c r="D4" s="55" t="n">
        <x:f>ROUND(SUM(W48:W80)/SUM(X48:X80),2)</x:f>
        <x:v>48.24</x:v>
      </x:c>
      <x:c r="E4" s="2"/>
      <x:c r="F4" s="2"/>
      <x:c r="G4" s="2" t="str">
        <x:v>Sem piso: tarifa uniforme que faria todos os preços por custos alcançar o piso (R$/kWp)</x:v>
      </x:c>
      <x:c r="H4" s="2"/>
      <x:c r="I4" s="2"/>
      <x:c r="J4" s="2"/>
      <x:c r="K4" s="2"/>
      <x:c r="L4" s="2"/>
      <x:c r="M4" s="2"/>
      <x:c r="N4" s="55" t="n">
        <x:f>ROUNDUP(MAX(V48:V80),2)</x:f>
        <x:v>243.68</x:v>
      </x:c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</x:row>
    <x:row r="6" ht="23" customHeight="1">
      <x:c r="A6" s="2" t="str">
        <x:v>Tarifa uniforme elevada é uma hipótese de precificação; não comprova despesa elétrica. O preço final usa o piso comercial separadamente.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</x:row>
    <x:row r="7" ht="23" customHeight="1">
      <x:c r="A7" s="2" t="str">
        <x:v>Valores em R$. As taxas usam precisão integral, sem arredondamento intermediário. Preços finais arredondados para cima a centavos.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</x:row>
    <x:row r="8" ht="23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</x:row>
    <x:row r="9" ht="48" customHeight="1">
      <x:c r="A9" s="9" t="str">
        <x:v>Kit</x:v>
      </x:c>
      <x:c r="B9" s="9" t="str">
        <x:v>Tipo</x:v>
      </x:c>
      <x:c r="C9" s="9" t="str">
        <x:v>Módulos</x:v>
      </x:c>
      <x:c r="D9" s="9" t="str">
        <x:v>kWp</x:v>
      </x:c>
      <x:c r="E9" s="9" t="str">
        <x:v>Módulos R$</x:v>
      </x:c>
      <x:c r="F9" s="9" t="str">
        <x:v>Inversores R$</x:v>
      </x:c>
      <x:c r="G9" s="9" t="str">
        <x:v>Fix. micros R$</x:v>
      </x:c>
      <x:c r="H9" s="9" t="str">
        <x:v>Qtd. perfis</x:v>
      </x:c>
      <x:c r="I9" s="9" t="str">
        <x:v>Perfis R$</x:v>
      </x:c>
      <x:c r="J9" s="9" t="str">
        <x:v>Qtd. fix. 4</x:v>
      </x:c>
      <x:c r="K9" s="9" t="str">
        <x:v>Fix. 4 R$</x:v>
      </x:c>
      <x:c r="L9" s="9" t="str">
        <x:v>Qtd. fix. 2</x:v>
      </x:c>
      <x:c r="M9" s="9" t="str">
        <x:v>Fix. 2 R$</x:v>
      </x:c>
      <x:c r="N9" s="9" t="str">
        <x:v>Cabo/cor m</x:v>
      </x:c>
      <x:c r="O9" s="9" t="str">
        <x:v>Cabos R$</x:v>
      </x:c>
      <x:c r="P9" s="9" t="str">
        <x:v>Pares conect.</x:v>
      </x:c>
      <x:c r="Q9" s="9" t="str">
        <x:v>Conectores R$</x:v>
      </x:c>
      <x:c r="R9" s="9" t="str">
        <x:v>Materiais R$</x:v>
      </x:c>
      <x:c r="S9" s="9" t="str">
        <x:v>Frete R$</x:v>
      </x:c>
      <x:c r="T9" s="9" t="str">
        <x:v>Kit + frete R$</x:v>
      </x:c>
      <x:c r="U9" s="2"/>
      <x:c r="V9" s="2"/>
      <x:c r="W9" s="2"/>
      <x:c r="X9" s="2"/>
    </x:row>
    <x:row r="10" ht="23" customHeight="1">
      <x:c r="A10" s="38" t="str">
        <x:f>'Entradas'!A44</x:f>
        <x:v>INV-05</x:v>
      </x:c>
      <x:c r="B10" s="38" t="str">
        <x:f>'Entradas'!B44</x:f>
        <x:v>Inversor</x:v>
      </x:c>
      <x:c r="C10" s="38" t="n">
        <x:f>'Entradas'!C44</x:f>
        <x:v>5</x:v>
      </x:c>
      <x:c r="D10" s="38" t="n">
        <x:f>'Entradas'!D44</x:f>
        <x:v>3.1</x:v>
      </x:c>
      <x:c r="E10" s="39" t="n">
        <x:f>C10*'Entradas'!$B$24</x:f>
        <x:v>2740</x:v>
      </x:c>
      <x:c r="F10" s="39" t="n">
        <x:f>'Entradas'!F44*IF(B10="Micro",'Entradas'!$B$30,VLOOKUP('Entradas'!E44,'Entradas'!$F$24:$H$27,2,FALSE))</x:f>
        <x:v>1399</x:v>
      </x:c>
      <x:c r="G10" s="39" t="n">
        <x:f>IF(B10="Micro",'Entradas'!F44*'Entradas'!$B$31,0)</x:f>
        <x:v>0</x:v>
      </x:c>
      <x:c r="H10" s="40" t="n">
        <x:f>2*ROUNDUP(C10/2,0)</x:f>
        <x:v>6</x:v>
      </x:c>
      <x:c r="I10" s="41" t="n">
        <x:f>H10*'Entradas'!$B$25</x:f>
        <x:v>267.84000000000003</x:v>
      </x:c>
      <x:c r="J10" s="40" t="n">
        <x:f>INT(H10/4)</x:f>
        <x:v>1</x:v>
      </x:c>
      <x:c r="K10" s="41" t="n">
        <x:f>J10*'Entradas'!$B$26</x:f>
        <x:v>135.65</x:v>
      </x:c>
      <x:c r="L10" s="40" t="n">
        <x:f>MOD(H10,4)/2</x:f>
        <x:v>1</x:v>
      </x:c>
      <x:c r="M10" s="41" t="n">
        <x:f>L10*'Entradas'!$B$27</x:f>
        <x:v>72.72</x:v>
      </x:c>
      <x:c r="N10" s="40" t="n">
        <x:f>IF(C10&lt;=19,3*C10,IF(C10&lt;=50,ROUNDUP(2.5*C10,0),2*C10))</x:f>
        <x:v>15</x:v>
      </x:c>
      <x:c r="O10" s="41" t="n">
        <x:f>2*N10*'Entradas'!$B$28</x:f>
        <x:v>176.1</x:v>
      </x:c>
      <x:c r="P10" s="40" t="n">
        <x:f>'Entradas'!F44*IF(B10="Micro",4,VLOOKUP('Entradas'!E44,'Entradas'!$F$24:$H$27,3,FALSE))</x:f>
        <x:v>1</x:v>
      </x:c>
      <x:c r="Q10" s="41" t="n">
        <x:f>P10*'Entradas'!$B$29</x:f>
        <x:v>12</x:v>
      </x:c>
      <x:c r="R10" s="41" t="n">
        <x:f>SUM(E10:G10,I10,K10,M10,O10,Q10)</x:f>
        <x:v>4803.31</x:v>
      </x:c>
      <x:c r="S10" s="41" t="n">
        <x:f>IF(R10&lt;'Entradas'!$B$35,MAX('Entradas'!$B$32,R10*'Entradas'!$B$33),R10*'Entradas'!$B$34)</x:f>
        <x:v>400</x:v>
      </x:c>
      <x:c r="T10" s="42" t="n">
        <x:f>ROUND(SUM(R10:S10),2)</x:f>
        <x:v>5203.31</x:v>
      </x:c>
      <x:c r="U10" s="2"/>
      <x:c r="V10" s="2"/>
      <x:c r="W10" s="2"/>
      <x:c r="X10" s="2"/>
    </x:row>
    <x:row r="11" ht="23" customHeight="1">
      <x:c r="A11" s="43" t="str">
        <x:f>'Entradas'!A45</x:f>
        <x:v>INV-06</x:v>
      </x:c>
      <x:c r="B11" s="43" t="str">
        <x:f>'Entradas'!B45</x:f>
        <x:v>Inversor</x:v>
      </x:c>
      <x:c r="C11" s="43" t="n">
        <x:f>'Entradas'!C45</x:f>
        <x:v>6</x:v>
      </x:c>
      <x:c r="D11" s="43" t="n">
        <x:f>'Entradas'!D45</x:f>
        <x:v>3.72</x:v>
      </x:c>
      <x:c r="E11" s="44" t="n">
        <x:f>C11*'Entradas'!$B$24</x:f>
        <x:v>3288</x:v>
      </x:c>
      <x:c r="F11" s="44" t="n">
        <x:f>'Entradas'!F45*IF(B11="Micro",'Entradas'!$B$30,VLOOKUP('Entradas'!E45,'Entradas'!$F$24:$H$27,2,FALSE))</x:f>
        <x:v>1399</x:v>
      </x:c>
      <x:c r="G11" s="44" t="n">
        <x:f>IF(B11="Micro",'Entradas'!F45*'Entradas'!$B$31,0)</x:f>
        <x:v>0</x:v>
      </x:c>
      <x:c r="H11" s="45" t="n">
        <x:f>2*ROUNDUP(C11/2,0)</x:f>
        <x:v>6</x:v>
      </x:c>
      <x:c r="I11" s="46" t="n">
        <x:f>H11*'Entradas'!$B$25</x:f>
        <x:v>267.84000000000003</x:v>
      </x:c>
      <x:c r="J11" s="45" t="n">
        <x:f>INT(H11/4)</x:f>
        <x:v>1</x:v>
      </x:c>
      <x:c r="K11" s="46" t="n">
        <x:f>J11*'Entradas'!$B$26</x:f>
        <x:v>135.65</x:v>
      </x:c>
      <x:c r="L11" s="45" t="n">
        <x:f>MOD(H11,4)/2</x:f>
        <x:v>1</x:v>
      </x:c>
      <x:c r="M11" s="46" t="n">
        <x:f>L11*'Entradas'!$B$27</x:f>
        <x:v>72.72</x:v>
      </x:c>
      <x:c r="N11" s="45" t="n">
        <x:f>IF(C11&lt;=19,3*C11,IF(C11&lt;=50,ROUNDUP(2.5*C11,0),2*C11))</x:f>
        <x:v>18</x:v>
      </x:c>
      <x:c r="O11" s="46" t="n">
        <x:f>2*N11*'Entradas'!$B$28</x:f>
        <x:v>211.32</x:v>
      </x:c>
      <x:c r="P11" s="45" t="n">
        <x:f>'Entradas'!F45*IF(B11="Micro",4,VLOOKUP('Entradas'!E45,'Entradas'!$F$24:$H$27,3,FALSE))</x:f>
        <x:v>1</x:v>
      </x:c>
      <x:c r="Q11" s="46" t="n">
        <x:f>P11*'Entradas'!$B$29</x:f>
        <x:v>12</x:v>
      </x:c>
      <x:c r="R11" s="46" t="n">
        <x:f>SUM(E11:G11,I11,K11,M11,O11,Q11)</x:f>
        <x:v>5386.53</x:v>
      </x:c>
      <x:c r="S11" s="46" t="n">
        <x:f>IF(R11&lt;'Entradas'!$B$35,MAX('Entradas'!$B$32,R11*'Entradas'!$B$33),R11*'Entradas'!$B$34)</x:f>
        <x:v>400</x:v>
      </x:c>
      <x:c r="T11" s="47" t="n">
        <x:f>ROUND(SUM(R11:S11),2)</x:f>
        <x:v>5786.53</x:v>
      </x:c>
      <x:c r="U11" s="2"/>
      <x:c r="V11" s="2"/>
      <x:c r="W11" s="2"/>
      <x:c r="X11" s="2"/>
    </x:row>
    <x:row r="12" ht="23" customHeight="1">
      <x:c r="A12" s="43" t="str">
        <x:f>'Entradas'!A46</x:f>
        <x:v>INV-07</x:v>
      </x:c>
      <x:c r="B12" s="43" t="str">
        <x:f>'Entradas'!B46</x:f>
        <x:v>Inversor</x:v>
      </x:c>
      <x:c r="C12" s="43" t="n">
        <x:f>'Entradas'!C46</x:f>
        <x:v>7</x:v>
      </x:c>
      <x:c r="D12" s="43" t="n">
        <x:f>'Entradas'!D46</x:f>
        <x:v>4.34</x:v>
      </x:c>
      <x:c r="E12" s="44" t="n">
        <x:f>C12*'Entradas'!$B$24</x:f>
        <x:v>3836</x:v>
      </x:c>
      <x:c r="F12" s="44" t="n">
        <x:f>'Entradas'!F46*IF(B12="Micro",'Entradas'!$B$30,VLOOKUP('Entradas'!E46,'Entradas'!$F$24:$H$27,2,FALSE))</x:f>
        <x:v>1399</x:v>
      </x:c>
      <x:c r="G12" s="44" t="n">
        <x:f>IF(B12="Micro",'Entradas'!F46*'Entradas'!$B$31,0)</x:f>
        <x:v>0</x:v>
      </x:c>
      <x:c r="H12" s="45" t="n">
        <x:f>2*ROUNDUP(C12/2,0)</x:f>
        <x:v>8</x:v>
      </x:c>
      <x:c r="I12" s="46" t="n">
        <x:f>H12*'Entradas'!$B$25</x:f>
        <x:v>357.12</x:v>
      </x:c>
      <x:c r="J12" s="45" t="n">
        <x:f>INT(H12/4)</x:f>
        <x:v>2</x:v>
      </x:c>
      <x:c r="K12" s="46" t="n">
        <x:f>J12*'Entradas'!$B$26</x:f>
        <x:v>271.3</x:v>
      </x:c>
      <x:c r="L12" s="45" t="n">
        <x:f>MOD(H12,4)/2</x:f>
        <x:v>0</x:v>
      </x:c>
      <x:c r="M12" s="46" t="n">
        <x:f>L12*'Entradas'!$B$27</x:f>
        <x:v>0</x:v>
      </x:c>
      <x:c r="N12" s="45" t="n">
        <x:f>IF(C12&lt;=19,3*C12,IF(C12&lt;=50,ROUNDUP(2.5*C12,0),2*C12))</x:f>
        <x:v>21</x:v>
      </x:c>
      <x:c r="O12" s="46" t="n">
        <x:f>2*N12*'Entradas'!$B$28</x:f>
        <x:v>246.54</x:v>
      </x:c>
      <x:c r="P12" s="45" t="n">
        <x:f>'Entradas'!F46*IF(B12="Micro",4,VLOOKUP('Entradas'!E46,'Entradas'!$F$24:$H$27,3,FALSE))</x:f>
        <x:v>1</x:v>
      </x:c>
      <x:c r="Q12" s="46" t="n">
        <x:f>P12*'Entradas'!$B$29</x:f>
        <x:v>12</x:v>
      </x:c>
      <x:c r="R12" s="46" t="n">
        <x:f>SUM(E12:G12,I12,K12,M12,O12,Q12)</x:f>
        <x:v>6121.96</x:v>
      </x:c>
      <x:c r="S12" s="46" t="n">
        <x:f>IF(R12&lt;'Entradas'!$B$35,MAX('Entradas'!$B$32,R12*'Entradas'!$B$33),R12*'Entradas'!$B$34)</x:f>
        <x:v>400</x:v>
      </x:c>
      <x:c r="T12" s="47" t="n">
        <x:f>ROUND(SUM(R12:S12),2)</x:f>
        <x:v>6521.96</x:v>
      </x:c>
      <x:c r="U12" s="2"/>
      <x:c r="V12" s="2"/>
      <x:c r="W12" s="2"/>
      <x:c r="X12" s="2"/>
    </x:row>
    <x:row r="13" ht="23" customHeight="1">
      <x:c r="A13" s="43" t="str">
        <x:f>'Entradas'!A47</x:f>
        <x:v>INV-08</x:v>
      </x:c>
      <x:c r="B13" s="43" t="str">
        <x:f>'Entradas'!B47</x:f>
        <x:v>Inversor</x:v>
      </x:c>
      <x:c r="C13" s="43" t="n">
        <x:f>'Entradas'!C47</x:f>
        <x:v>8</x:v>
      </x:c>
      <x:c r="D13" s="43" t="n">
        <x:f>'Entradas'!D47</x:f>
        <x:v>4.96</x:v>
      </x:c>
      <x:c r="E13" s="44" t="n">
        <x:f>C13*'Entradas'!$B$24</x:f>
        <x:v>4384</x:v>
      </x:c>
      <x:c r="F13" s="44" t="n">
        <x:f>'Entradas'!F47*IF(B13="Micro",'Entradas'!$B$30,VLOOKUP('Entradas'!E47,'Entradas'!$F$24:$H$27,2,FALSE))</x:f>
        <x:v>1399</x:v>
      </x:c>
      <x:c r="G13" s="44" t="n">
        <x:f>IF(B13="Micro",'Entradas'!F47*'Entradas'!$B$31,0)</x:f>
        <x:v>0</x:v>
      </x:c>
      <x:c r="H13" s="45" t="n">
        <x:f>2*ROUNDUP(C13/2,0)</x:f>
        <x:v>8</x:v>
      </x:c>
      <x:c r="I13" s="46" t="n">
        <x:f>H13*'Entradas'!$B$25</x:f>
        <x:v>357.12</x:v>
      </x:c>
      <x:c r="J13" s="45" t="n">
        <x:f>INT(H13/4)</x:f>
        <x:v>2</x:v>
      </x:c>
      <x:c r="K13" s="46" t="n">
        <x:f>J13*'Entradas'!$B$26</x:f>
        <x:v>271.3</x:v>
      </x:c>
      <x:c r="L13" s="45" t="n">
        <x:f>MOD(H13,4)/2</x:f>
        <x:v>0</x:v>
      </x:c>
      <x:c r="M13" s="46" t="n">
        <x:f>L13*'Entradas'!$B$27</x:f>
        <x:v>0</x:v>
      </x:c>
      <x:c r="N13" s="45" t="n">
        <x:f>IF(C13&lt;=19,3*C13,IF(C13&lt;=50,ROUNDUP(2.5*C13,0),2*C13))</x:f>
        <x:v>24</x:v>
      </x:c>
      <x:c r="O13" s="46" t="n">
        <x:f>2*N13*'Entradas'!$B$28</x:f>
        <x:v>281.76</x:v>
      </x:c>
      <x:c r="P13" s="45" t="n">
        <x:f>'Entradas'!F47*IF(B13="Micro",4,VLOOKUP('Entradas'!E47,'Entradas'!$F$24:$H$27,3,FALSE))</x:f>
        <x:v>1</x:v>
      </x:c>
      <x:c r="Q13" s="46" t="n">
        <x:f>P13*'Entradas'!$B$29</x:f>
        <x:v>12</x:v>
      </x:c>
      <x:c r="R13" s="46" t="n">
        <x:f>SUM(E13:G13,I13,K13,M13,O13,Q13)</x:f>
        <x:v>6705.18</x:v>
      </x:c>
      <x:c r="S13" s="46" t="n">
        <x:f>IF(R13&lt;'Entradas'!$B$35,MAX('Entradas'!$B$32,R13*'Entradas'!$B$33),R13*'Entradas'!$B$34)</x:f>
        <x:v>400</x:v>
      </x:c>
      <x:c r="T13" s="47" t="n">
        <x:f>ROUND(SUM(R13:S13),2)</x:f>
        <x:v>7105.18</x:v>
      </x:c>
      <x:c r="U13" s="2"/>
      <x:c r="V13" s="2"/>
      <x:c r="W13" s="2"/>
      <x:c r="X13" s="2"/>
    </x:row>
    <x:row r="14" ht="23" customHeight="1">
      <x:c r="A14" s="43" t="str">
        <x:f>'Entradas'!A48</x:f>
        <x:v>INV-09</x:v>
      </x:c>
      <x:c r="B14" s="43" t="str">
        <x:f>'Entradas'!B48</x:f>
        <x:v>Inversor</x:v>
      </x:c>
      <x:c r="C14" s="43" t="n">
        <x:f>'Entradas'!C48</x:f>
        <x:v>9</x:v>
      </x:c>
      <x:c r="D14" s="43" t="n">
        <x:f>'Entradas'!D48</x:f>
        <x:v>5.58</x:v>
      </x:c>
      <x:c r="E14" s="44" t="n">
        <x:f>C14*'Entradas'!$B$24</x:f>
        <x:v>4932</x:v>
      </x:c>
      <x:c r="F14" s="44" t="n">
        <x:f>'Entradas'!F48*IF(B14="Micro",'Entradas'!$B$30,VLOOKUP('Entradas'!E48,'Entradas'!$F$24:$H$27,2,FALSE))</x:f>
        <x:v>1590</x:v>
      </x:c>
      <x:c r="G14" s="44" t="n">
        <x:f>IF(B14="Micro",'Entradas'!F48*'Entradas'!$B$31,0)</x:f>
        <x:v>0</x:v>
      </x:c>
      <x:c r="H14" s="45" t="n">
        <x:f>2*ROUNDUP(C14/2,0)</x:f>
        <x:v>10</x:v>
      </x:c>
      <x:c r="I14" s="46" t="n">
        <x:f>H14*'Entradas'!$B$25</x:f>
        <x:v>446.4</x:v>
      </x:c>
      <x:c r="J14" s="45" t="n">
        <x:f>INT(H14/4)</x:f>
        <x:v>2</x:v>
      </x:c>
      <x:c r="K14" s="46" t="n">
        <x:f>J14*'Entradas'!$B$26</x:f>
        <x:v>271.3</x:v>
      </x:c>
      <x:c r="L14" s="45" t="n">
        <x:f>MOD(H14,4)/2</x:f>
        <x:v>1</x:v>
      </x:c>
      <x:c r="M14" s="46" t="n">
        <x:f>L14*'Entradas'!$B$27</x:f>
        <x:v>72.72</x:v>
      </x:c>
      <x:c r="N14" s="45" t="n">
        <x:f>IF(C14&lt;=19,3*C14,IF(C14&lt;=50,ROUNDUP(2.5*C14,0),2*C14))</x:f>
        <x:v>27</x:v>
      </x:c>
      <x:c r="O14" s="46" t="n">
        <x:f>2*N14*'Entradas'!$B$28</x:f>
        <x:v>316.98</x:v>
      </x:c>
      <x:c r="P14" s="45" t="n">
        <x:f>'Entradas'!F48*IF(B14="Micro",4,VLOOKUP('Entradas'!E48,'Entradas'!$F$24:$H$27,3,FALSE))</x:f>
        <x:v>2</x:v>
      </x:c>
      <x:c r="Q14" s="46" t="n">
        <x:f>P14*'Entradas'!$B$29</x:f>
        <x:v>24</x:v>
      </x:c>
      <x:c r="R14" s="46" t="n">
        <x:f>SUM(E14:G14,I14,K14,M14,O14,Q14)</x:f>
        <x:v>7653.4</x:v>
      </x:c>
      <x:c r="S14" s="46" t="n">
        <x:f>IF(R14&lt;'Entradas'!$B$35,MAX('Entradas'!$B$32,R14*'Entradas'!$B$33),R14*'Entradas'!$B$34)</x:f>
        <x:v>400</x:v>
      </x:c>
      <x:c r="T14" s="47" t="n">
        <x:f>ROUND(SUM(R14:S14),2)</x:f>
        <x:v>8053.4</x:v>
      </x:c>
      <x:c r="U14" s="2"/>
      <x:c r="V14" s="2"/>
      <x:c r="W14" s="2"/>
      <x:c r="X14" s="2"/>
    </x:row>
    <x:row r="15" ht="23" customHeight="1">
      <x:c r="A15" s="43" t="str">
        <x:f>'Entradas'!A49</x:f>
        <x:v>INV-10</x:v>
      </x:c>
      <x:c r="B15" s="43" t="str">
        <x:f>'Entradas'!B49</x:f>
        <x:v>Inversor</x:v>
      </x:c>
      <x:c r="C15" s="43" t="n">
        <x:f>'Entradas'!C49</x:f>
        <x:v>10</x:v>
      </x:c>
      <x:c r="D15" s="43" t="n">
        <x:f>'Entradas'!D49</x:f>
        <x:v>6.2</x:v>
      </x:c>
      <x:c r="E15" s="44" t="n">
        <x:f>C15*'Entradas'!$B$24</x:f>
        <x:v>5480</x:v>
      </x:c>
      <x:c r="F15" s="44" t="n">
        <x:f>'Entradas'!F49*IF(B15="Micro",'Entradas'!$B$30,VLOOKUP('Entradas'!E49,'Entradas'!$F$24:$H$27,2,FALSE))</x:f>
        <x:v>1590</x:v>
      </x:c>
      <x:c r="G15" s="44" t="n">
        <x:f>IF(B15="Micro",'Entradas'!F49*'Entradas'!$B$31,0)</x:f>
        <x:v>0</x:v>
      </x:c>
      <x:c r="H15" s="45" t="n">
        <x:f>2*ROUNDUP(C15/2,0)</x:f>
        <x:v>10</x:v>
      </x:c>
      <x:c r="I15" s="46" t="n">
        <x:f>H15*'Entradas'!$B$25</x:f>
        <x:v>446.4</x:v>
      </x:c>
      <x:c r="J15" s="45" t="n">
        <x:f>INT(H15/4)</x:f>
        <x:v>2</x:v>
      </x:c>
      <x:c r="K15" s="46" t="n">
        <x:f>J15*'Entradas'!$B$26</x:f>
        <x:v>271.3</x:v>
      </x:c>
      <x:c r="L15" s="45" t="n">
        <x:f>MOD(H15,4)/2</x:f>
        <x:v>1</x:v>
      </x:c>
      <x:c r="M15" s="46" t="n">
        <x:f>L15*'Entradas'!$B$27</x:f>
        <x:v>72.72</x:v>
      </x:c>
      <x:c r="N15" s="45" t="n">
        <x:f>IF(C15&lt;=19,3*C15,IF(C15&lt;=50,ROUNDUP(2.5*C15,0),2*C15))</x:f>
        <x:v>30</x:v>
      </x:c>
      <x:c r="O15" s="46" t="n">
        <x:f>2*N15*'Entradas'!$B$28</x:f>
        <x:v>352.2</x:v>
      </x:c>
      <x:c r="P15" s="45" t="n">
        <x:f>'Entradas'!F49*IF(B15="Micro",4,VLOOKUP('Entradas'!E49,'Entradas'!$F$24:$H$27,3,FALSE))</x:f>
        <x:v>2</x:v>
      </x:c>
      <x:c r="Q15" s="46" t="n">
        <x:f>P15*'Entradas'!$B$29</x:f>
        <x:v>24</x:v>
      </x:c>
      <x:c r="R15" s="46" t="n">
        <x:f>SUM(E15:G15,I15,K15,M15,O15,Q15)</x:f>
        <x:v>8236.62</x:v>
      </x:c>
      <x:c r="S15" s="46" t="n">
        <x:f>IF(R15&lt;'Entradas'!$B$35,MAX('Entradas'!$B$32,R15*'Entradas'!$B$33),R15*'Entradas'!$B$34)</x:f>
        <x:v>400</x:v>
      </x:c>
      <x:c r="T15" s="47" t="n">
        <x:f>ROUND(SUM(R15:S15),2)</x:f>
        <x:v>8636.62</x:v>
      </x:c>
      <x:c r="U15" s="2"/>
      <x:c r="V15" s="2"/>
      <x:c r="W15" s="2"/>
      <x:c r="X15" s="2"/>
    </x:row>
    <x:row r="16" ht="23" customHeight="1">
      <x:c r="A16" s="43" t="str">
        <x:f>'Entradas'!A50</x:f>
        <x:v>INV-11</x:v>
      </x:c>
      <x:c r="B16" s="43" t="str">
        <x:f>'Entradas'!B50</x:f>
        <x:v>Inversor</x:v>
      </x:c>
      <x:c r="C16" s="43" t="n">
        <x:f>'Entradas'!C50</x:f>
        <x:v>11</x:v>
      </x:c>
      <x:c r="D16" s="43" t="n">
        <x:f>'Entradas'!D50</x:f>
        <x:v>6.82</x:v>
      </x:c>
      <x:c r="E16" s="44" t="n">
        <x:f>C16*'Entradas'!$B$24</x:f>
        <x:v>6028</x:v>
      </x:c>
      <x:c r="F16" s="44" t="n">
        <x:f>'Entradas'!F50*IF(B16="Micro",'Entradas'!$B$30,VLOOKUP('Entradas'!E50,'Entradas'!$F$24:$H$27,2,FALSE))</x:f>
        <x:v>1590</x:v>
      </x:c>
      <x:c r="G16" s="44" t="n">
        <x:f>IF(B16="Micro",'Entradas'!F50*'Entradas'!$B$31,0)</x:f>
        <x:v>0</x:v>
      </x:c>
      <x:c r="H16" s="45" t="n">
        <x:f>2*ROUNDUP(C16/2,0)</x:f>
        <x:v>12</x:v>
      </x:c>
      <x:c r="I16" s="46" t="n">
        <x:f>H16*'Entradas'!$B$25</x:f>
        <x:v>535.6800000000001</x:v>
      </x:c>
      <x:c r="J16" s="45" t="n">
        <x:f>INT(H16/4)</x:f>
        <x:v>3</x:v>
      </x:c>
      <x:c r="K16" s="46" t="n">
        <x:f>J16*'Entradas'!$B$26</x:f>
        <x:v>406.95000000000005</x:v>
      </x:c>
      <x:c r="L16" s="45" t="n">
        <x:f>MOD(H16,4)/2</x:f>
        <x:v>0</x:v>
      </x:c>
      <x:c r="M16" s="46" t="n">
        <x:f>L16*'Entradas'!$B$27</x:f>
        <x:v>0</x:v>
      </x:c>
      <x:c r="N16" s="45" t="n">
        <x:f>IF(C16&lt;=19,3*C16,IF(C16&lt;=50,ROUNDUP(2.5*C16,0),2*C16))</x:f>
        <x:v>33</x:v>
      </x:c>
      <x:c r="O16" s="46" t="n">
        <x:f>2*N16*'Entradas'!$B$28</x:f>
        <x:v>387.42</x:v>
      </x:c>
      <x:c r="P16" s="45" t="n">
        <x:f>'Entradas'!F50*IF(B16="Micro",4,VLOOKUP('Entradas'!E50,'Entradas'!$F$24:$H$27,3,FALSE))</x:f>
        <x:v>2</x:v>
      </x:c>
      <x:c r="Q16" s="46" t="n">
        <x:f>P16*'Entradas'!$B$29</x:f>
        <x:v>24</x:v>
      </x:c>
      <x:c r="R16" s="46" t="n">
        <x:f>SUM(E16:G16,I16,K16,M16,O16,Q16)</x:f>
        <x:v>8972.050000000001</x:v>
      </x:c>
      <x:c r="S16" s="46" t="n">
        <x:f>IF(R16&lt;'Entradas'!$B$35,MAX('Entradas'!$B$32,R16*'Entradas'!$B$33),R16*'Entradas'!$B$34)</x:f>
        <x:v>400</x:v>
      </x:c>
      <x:c r="T16" s="47" t="n">
        <x:f>ROUND(SUM(R16:S16),2)</x:f>
        <x:v>9372.05</x:v>
      </x:c>
      <x:c r="U16" s="2"/>
      <x:c r="V16" s="2"/>
      <x:c r="W16" s="2"/>
      <x:c r="X16" s="2"/>
    </x:row>
    <x:row r="17" ht="23" customHeight="1">
      <x:c r="A17" s="43" t="str">
        <x:f>'Entradas'!A51</x:f>
        <x:v>INV-12</x:v>
      </x:c>
      <x:c r="B17" s="43" t="str">
        <x:f>'Entradas'!B51</x:f>
        <x:v>Inversor</x:v>
      </x:c>
      <x:c r="C17" s="43" t="n">
        <x:f>'Entradas'!C51</x:f>
        <x:v>12</x:v>
      </x:c>
      <x:c r="D17" s="43" t="n">
        <x:f>'Entradas'!D51</x:f>
        <x:v>7.44</x:v>
      </x:c>
      <x:c r="E17" s="44" t="n">
        <x:f>C17*'Entradas'!$B$24</x:f>
        <x:v>6576</x:v>
      </x:c>
      <x:c r="F17" s="44" t="n">
        <x:f>'Entradas'!F51*IF(B17="Micro",'Entradas'!$B$30,VLOOKUP('Entradas'!E51,'Entradas'!$F$24:$H$27,2,FALSE))</x:f>
        <x:v>1590</x:v>
      </x:c>
      <x:c r="G17" s="44" t="n">
        <x:f>IF(B17="Micro",'Entradas'!F51*'Entradas'!$B$31,0)</x:f>
        <x:v>0</x:v>
      </x:c>
      <x:c r="H17" s="45" t="n">
        <x:f>2*ROUNDUP(C17/2,0)</x:f>
        <x:v>12</x:v>
      </x:c>
      <x:c r="I17" s="46" t="n">
        <x:f>H17*'Entradas'!$B$25</x:f>
        <x:v>535.6800000000001</x:v>
      </x:c>
      <x:c r="J17" s="45" t="n">
        <x:f>INT(H17/4)</x:f>
        <x:v>3</x:v>
      </x:c>
      <x:c r="K17" s="46" t="n">
        <x:f>J17*'Entradas'!$B$26</x:f>
        <x:v>406.95000000000005</x:v>
      </x:c>
      <x:c r="L17" s="45" t="n">
        <x:f>MOD(H17,4)/2</x:f>
        <x:v>0</x:v>
      </x:c>
      <x:c r="M17" s="46" t="n">
        <x:f>L17*'Entradas'!$B$27</x:f>
        <x:v>0</x:v>
      </x:c>
      <x:c r="N17" s="45" t="n">
        <x:f>IF(C17&lt;=19,3*C17,IF(C17&lt;=50,ROUNDUP(2.5*C17,0),2*C17))</x:f>
        <x:v>36</x:v>
      </x:c>
      <x:c r="O17" s="46" t="n">
        <x:f>2*N17*'Entradas'!$B$28</x:f>
        <x:v>422.64</x:v>
      </x:c>
      <x:c r="P17" s="45" t="n">
        <x:f>'Entradas'!F51*IF(B17="Micro",4,VLOOKUP('Entradas'!E51,'Entradas'!$F$24:$H$27,3,FALSE))</x:f>
        <x:v>2</x:v>
      </x:c>
      <x:c r="Q17" s="46" t="n">
        <x:f>P17*'Entradas'!$B$29</x:f>
        <x:v>24</x:v>
      </x:c>
      <x:c r="R17" s="46" t="n">
        <x:f>SUM(E17:G17,I17,K17,M17,O17,Q17)</x:f>
        <x:v>9555.27</x:v>
      </x:c>
      <x:c r="S17" s="46" t="n">
        <x:f>IF(R17&lt;'Entradas'!$B$35,MAX('Entradas'!$B$32,R17*'Entradas'!$B$33),R17*'Entradas'!$B$34)</x:f>
        <x:v>400</x:v>
      </x:c>
      <x:c r="T17" s="47" t="n">
        <x:f>ROUND(SUM(R17:S17),2)</x:f>
        <x:v>9955.27</x:v>
      </x:c>
      <x:c r="U17" s="2"/>
      <x:c r="V17" s="2"/>
      <x:c r="W17" s="2"/>
      <x:c r="X17" s="2"/>
    </x:row>
    <x:row r="18" ht="23" customHeight="1">
      <x:c r="A18" s="43" t="str">
        <x:f>'Entradas'!A52</x:f>
        <x:v>INV-13</x:v>
      </x:c>
      <x:c r="B18" s="43" t="str">
        <x:f>'Entradas'!B52</x:f>
        <x:v>Inversor</x:v>
      </x:c>
      <x:c r="C18" s="43" t="n">
        <x:f>'Entradas'!C52</x:f>
        <x:v>13</x:v>
      </x:c>
      <x:c r="D18" s="43" t="n">
        <x:f>'Entradas'!D52</x:f>
        <x:v>8.06</x:v>
      </x:c>
      <x:c r="E18" s="44" t="n">
        <x:f>C18*'Entradas'!$B$24</x:f>
        <x:v>7124</x:v>
      </x:c>
      <x:c r="F18" s="44" t="n">
        <x:f>'Entradas'!F52*IF(B18="Micro",'Entradas'!$B$30,VLOOKUP('Entradas'!E52,'Entradas'!$F$24:$H$27,2,FALSE))</x:f>
        <x:v>1690</x:v>
      </x:c>
      <x:c r="G18" s="44" t="n">
        <x:f>IF(B18="Micro",'Entradas'!F52*'Entradas'!$B$31,0)</x:f>
        <x:v>0</x:v>
      </x:c>
      <x:c r="H18" s="45" t="n">
        <x:f>2*ROUNDUP(C18/2,0)</x:f>
        <x:v>14</x:v>
      </x:c>
      <x:c r="I18" s="46" t="n">
        <x:f>H18*'Entradas'!$B$25</x:f>
        <x:v>624.96</x:v>
      </x:c>
      <x:c r="J18" s="45" t="n">
        <x:f>INT(H18/4)</x:f>
        <x:v>3</x:v>
      </x:c>
      <x:c r="K18" s="46" t="n">
        <x:f>J18*'Entradas'!$B$26</x:f>
        <x:v>406.95000000000005</x:v>
      </x:c>
      <x:c r="L18" s="45" t="n">
        <x:f>MOD(H18,4)/2</x:f>
        <x:v>1</x:v>
      </x:c>
      <x:c r="M18" s="46" t="n">
        <x:f>L18*'Entradas'!$B$27</x:f>
        <x:v>72.72</x:v>
      </x:c>
      <x:c r="N18" s="45" t="n">
        <x:f>IF(C18&lt;=19,3*C18,IF(C18&lt;=50,ROUNDUP(2.5*C18,0),2*C18))</x:f>
        <x:v>39</x:v>
      </x:c>
      <x:c r="O18" s="46" t="n">
        <x:f>2*N18*'Entradas'!$B$28</x:f>
        <x:v>457.86</x:v>
      </x:c>
      <x:c r="P18" s="45" t="n">
        <x:f>'Entradas'!F52*IF(B18="Micro",4,VLOOKUP('Entradas'!E52,'Entradas'!$F$24:$H$27,3,FALSE))</x:f>
        <x:v>2</x:v>
      </x:c>
      <x:c r="Q18" s="46" t="n">
        <x:f>P18*'Entradas'!$B$29</x:f>
        <x:v>24</x:v>
      </x:c>
      <x:c r="R18" s="46" t="n">
        <x:f>SUM(E18:G18,I18,K18,M18,O18,Q18)</x:f>
        <x:v>10400.49</x:v>
      </x:c>
      <x:c r="S18" s="46" t="n">
        <x:f>IF(R18&lt;'Entradas'!$B$35,MAX('Entradas'!$B$32,R18*'Entradas'!$B$33),R18*'Entradas'!$B$34)</x:f>
        <x:v>400.35646206</x:v>
      </x:c>
      <x:c r="T18" s="47" t="n">
        <x:f>ROUND(SUM(R18:S18),2)</x:f>
        <x:v>10800.85</x:v>
      </x:c>
      <x:c r="U18" s="2"/>
      <x:c r="V18" s="2"/>
      <x:c r="W18" s="2"/>
      <x:c r="X18" s="2"/>
    </x:row>
    <x:row r="19" ht="23" customHeight="1">
      <x:c r="A19" s="43" t="str">
        <x:f>'Entradas'!A53</x:f>
        <x:v>INV-14</x:v>
      </x:c>
      <x:c r="B19" s="43" t="str">
        <x:f>'Entradas'!B53</x:f>
        <x:v>Inversor</x:v>
      </x:c>
      <x:c r="C19" s="43" t="n">
        <x:f>'Entradas'!C53</x:f>
        <x:v>14</x:v>
      </x:c>
      <x:c r="D19" s="43" t="n">
        <x:f>'Entradas'!D53</x:f>
        <x:v>8.68</x:v>
      </x:c>
      <x:c r="E19" s="44" t="n">
        <x:f>C19*'Entradas'!$B$24</x:f>
        <x:v>7672</x:v>
      </x:c>
      <x:c r="F19" s="44" t="n">
        <x:f>'Entradas'!F53*IF(B19="Micro",'Entradas'!$B$30,VLOOKUP('Entradas'!E53,'Entradas'!$F$24:$H$27,2,FALSE))</x:f>
        <x:v>1690</x:v>
      </x:c>
      <x:c r="G19" s="44" t="n">
        <x:f>IF(B19="Micro",'Entradas'!F53*'Entradas'!$B$31,0)</x:f>
        <x:v>0</x:v>
      </x:c>
      <x:c r="H19" s="45" t="n">
        <x:f>2*ROUNDUP(C19/2,0)</x:f>
        <x:v>14</x:v>
      </x:c>
      <x:c r="I19" s="46" t="n">
        <x:f>H19*'Entradas'!$B$25</x:f>
        <x:v>624.96</x:v>
      </x:c>
      <x:c r="J19" s="45" t="n">
        <x:f>INT(H19/4)</x:f>
        <x:v>3</x:v>
      </x:c>
      <x:c r="K19" s="46" t="n">
        <x:f>J19*'Entradas'!$B$26</x:f>
        <x:v>406.95000000000005</x:v>
      </x:c>
      <x:c r="L19" s="45" t="n">
        <x:f>MOD(H19,4)/2</x:f>
        <x:v>1</x:v>
      </x:c>
      <x:c r="M19" s="46" t="n">
        <x:f>L19*'Entradas'!$B$27</x:f>
        <x:v>72.72</x:v>
      </x:c>
      <x:c r="N19" s="45" t="n">
        <x:f>IF(C19&lt;=19,3*C19,IF(C19&lt;=50,ROUNDUP(2.5*C19,0),2*C19))</x:f>
        <x:v>42</x:v>
      </x:c>
      <x:c r="O19" s="46" t="n">
        <x:f>2*N19*'Entradas'!$B$28</x:f>
        <x:v>493.08</x:v>
      </x:c>
      <x:c r="P19" s="45" t="n">
        <x:f>'Entradas'!F53*IF(B19="Micro",4,VLOOKUP('Entradas'!E53,'Entradas'!$F$24:$H$27,3,FALSE))</x:f>
        <x:v>2</x:v>
      </x:c>
      <x:c r="Q19" s="46" t="n">
        <x:f>P19*'Entradas'!$B$29</x:f>
        <x:v>24</x:v>
      </x:c>
      <x:c r="R19" s="46" t="n">
        <x:f>SUM(E19:G19,I19,K19,M19,O19,Q19)</x:f>
        <x:v>10983.71</x:v>
      </x:c>
      <x:c r="S19" s="46" t="n">
        <x:f>IF(R19&lt;'Entradas'!$B$35,MAX('Entradas'!$B$32,R19*'Entradas'!$B$33),R19*'Entradas'!$B$34)</x:f>
        <x:v>422.80693274</x:v>
      </x:c>
      <x:c r="T19" s="47" t="n">
        <x:f>ROUND(SUM(R19:S19),2)</x:f>
        <x:v>11406.52</x:v>
      </x:c>
      <x:c r="U19" s="2"/>
      <x:c r="V19" s="2"/>
      <x:c r="W19" s="2"/>
      <x:c r="X19" s="2"/>
    </x:row>
    <x:row r="20" ht="23" customHeight="1">
      <x:c r="A20" s="43" t="str">
        <x:f>'Entradas'!A54</x:f>
        <x:v>INV-15</x:v>
      </x:c>
      <x:c r="B20" s="43" t="str">
        <x:f>'Entradas'!B54</x:f>
        <x:v>Inversor</x:v>
      </x:c>
      <x:c r="C20" s="43" t="n">
        <x:f>'Entradas'!C54</x:f>
        <x:v>15</x:v>
      </x:c>
      <x:c r="D20" s="43" t="n">
        <x:f>'Entradas'!D54</x:f>
        <x:v>9.3</x:v>
      </x:c>
      <x:c r="E20" s="44" t="n">
        <x:f>C20*'Entradas'!$B$24</x:f>
        <x:v>8220</x:v>
      </x:c>
      <x:c r="F20" s="44" t="n">
        <x:f>'Entradas'!F54*IF(B20="Micro",'Entradas'!$B$30,VLOOKUP('Entradas'!E54,'Entradas'!$F$24:$H$27,2,FALSE))</x:f>
        <x:v>1690</x:v>
      </x:c>
      <x:c r="G20" s="44" t="n">
        <x:f>IF(B20="Micro",'Entradas'!F54*'Entradas'!$B$31,0)</x:f>
        <x:v>0</x:v>
      </x:c>
      <x:c r="H20" s="45" t="n">
        <x:f>2*ROUNDUP(C20/2,0)</x:f>
        <x:v>16</x:v>
      </x:c>
      <x:c r="I20" s="46" t="n">
        <x:f>H20*'Entradas'!$B$25</x:f>
        <x:v>714.24</x:v>
      </x:c>
      <x:c r="J20" s="45" t="n">
        <x:f>INT(H20/4)</x:f>
        <x:v>4</x:v>
      </x:c>
      <x:c r="K20" s="46" t="n">
        <x:f>J20*'Entradas'!$B$26</x:f>
        <x:v>542.6</x:v>
      </x:c>
      <x:c r="L20" s="45" t="n">
        <x:f>MOD(H20,4)/2</x:f>
        <x:v>0</x:v>
      </x:c>
      <x:c r="M20" s="46" t="n">
        <x:f>L20*'Entradas'!$B$27</x:f>
        <x:v>0</x:v>
      </x:c>
      <x:c r="N20" s="45" t="n">
        <x:f>IF(C20&lt;=19,3*C20,IF(C20&lt;=50,ROUNDUP(2.5*C20,0),2*C20))</x:f>
        <x:v>45</x:v>
      </x:c>
      <x:c r="O20" s="46" t="n">
        <x:f>2*N20*'Entradas'!$B$28</x:f>
        <x:v>528.3</x:v>
      </x:c>
      <x:c r="P20" s="45" t="n">
        <x:f>'Entradas'!F54*IF(B20="Micro",4,VLOOKUP('Entradas'!E54,'Entradas'!$F$24:$H$27,3,FALSE))</x:f>
        <x:v>2</x:v>
      </x:c>
      <x:c r="Q20" s="46" t="n">
        <x:f>P20*'Entradas'!$B$29</x:f>
        <x:v>24</x:v>
      </x:c>
      <x:c r="R20" s="46" t="n">
        <x:f>SUM(E20:G20,I20,K20,M20,O20,Q20)</x:f>
        <x:v>11719.14</x:v>
      </x:c>
      <x:c r="S20" s="46" t="n">
        <x:f>IF(R20&lt;'Entradas'!$B$35,MAX('Entradas'!$B$32,R20*'Entradas'!$B$33),R20*'Entradas'!$B$34)</x:f>
        <x:v>451.11657515999997</x:v>
      </x:c>
      <x:c r="T20" s="47" t="n">
        <x:f>ROUND(SUM(R20:S20),2)</x:f>
        <x:v>12170.26</x:v>
      </x:c>
      <x:c r="U20" s="2"/>
      <x:c r="V20" s="2"/>
      <x:c r="W20" s="2"/>
      <x:c r="X20" s="2"/>
    </x:row>
    <x:row r="21" ht="23" customHeight="1">
      <x:c r="A21" s="43" t="str">
        <x:f>'Entradas'!A55</x:f>
        <x:v>INV-16</x:v>
      </x:c>
      <x:c r="B21" s="43" t="str">
        <x:f>'Entradas'!B55</x:f>
        <x:v>Inversor</x:v>
      </x:c>
      <x:c r="C21" s="43" t="n">
        <x:f>'Entradas'!C55</x:f>
        <x:v>16</x:v>
      </x:c>
      <x:c r="D21" s="43" t="n">
        <x:f>'Entradas'!D55</x:f>
        <x:v>9.92</x:v>
      </x:c>
      <x:c r="E21" s="44" t="n">
        <x:f>C21*'Entradas'!$B$24</x:f>
        <x:v>8768</x:v>
      </x:c>
      <x:c r="F21" s="44" t="n">
        <x:f>'Entradas'!F55*IF(B21="Micro",'Entradas'!$B$30,VLOOKUP('Entradas'!E55,'Entradas'!$F$24:$H$27,2,FALSE))</x:f>
        <x:v>1690</x:v>
      </x:c>
      <x:c r="G21" s="44" t="n">
        <x:f>IF(B21="Micro",'Entradas'!F55*'Entradas'!$B$31,0)</x:f>
        <x:v>0</x:v>
      </x:c>
      <x:c r="H21" s="45" t="n">
        <x:f>2*ROUNDUP(C21/2,0)</x:f>
        <x:v>16</x:v>
      </x:c>
      <x:c r="I21" s="46" t="n">
        <x:f>H21*'Entradas'!$B$25</x:f>
        <x:v>714.24</x:v>
      </x:c>
      <x:c r="J21" s="45" t="n">
        <x:f>INT(H21/4)</x:f>
        <x:v>4</x:v>
      </x:c>
      <x:c r="K21" s="46" t="n">
        <x:f>J21*'Entradas'!$B$26</x:f>
        <x:v>542.6</x:v>
      </x:c>
      <x:c r="L21" s="45" t="n">
        <x:f>MOD(H21,4)/2</x:f>
        <x:v>0</x:v>
      </x:c>
      <x:c r="M21" s="46" t="n">
        <x:f>L21*'Entradas'!$B$27</x:f>
        <x:v>0</x:v>
      </x:c>
      <x:c r="N21" s="45" t="n">
        <x:f>IF(C21&lt;=19,3*C21,IF(C21&lt;=50,ROUNDUP(2.5*C21,0),2*C21))</x:f>
        <x:v>48</x:v>
      </x:c>
      <x:c r="O21" s="46" t="n">
        <x:f>2*N21*'Entradas'!$B$28</x:f>
        <x:v>563.52</x:v>
      </x:c>
      <x:c r="P21" s="45" t="n">
        <x:f>'Entradas'!F55*IF(B21="Micro",4,VLOOKUP('Entradas'!E55,'Entradas'!$F$24:$H$27,3,FALSE))</x:f>
        <x:v>2</x:v>
      </x:c>
      <x:c r="Q21" s="46" t="n">
        <x:f>P21*'Entradas'!$B$29</x:f>
        <x:v>24</x:v>
      </x:c>
      <x:c r="R21" s="46" t="n">
        <x:f>SUM(E21:G21,I21,K21,M21,O21,Q21)</x:f>
        <x:v>12302.36</x:v>
      </x:c>
      <x:c r="S21" s="46" t="n">
        <x:f>IF(R21&lt;'Entradas'!$B$35,MAX('Entradas'!$B$32,R21*'Entradas'!$B$33),R21*'Entradas'!$B$34)</x:f>
        <x:v>473.56704584000005</x:v>
      </x:c>
      <x:c r="T21" s="47" t="n">
        <x:f>ROUND(SUM(R21:S21),2)</x:f>
        <x:v>12775.93</x:v>
      </x:c>
      <x:c r="U21" s="2"/>
      <x:c r="V21" s="2"/>
      <x:c r="W21" s="2"/>
      <x:c r="X21" s="2"/>
    </x:row>
    <x:row r="22" ht="23" customHeight="1">
      <x:c r="A22" s="43" t="str">
        <x:f>'Entradas'!A56</x:f>
        <x:v>INV-17</x:v>
      </x:c>
      <x:c r="B22" s="43" t="str">
        <x:f>'Entradas'!B56</x:f>
        <x:v>Inversor</x:v>
      </x:c>
      <x:c r="C22" s="43" t="n">
        <x:f>'Entradas'!C56</x:f>
        <x:v>17</x:v>
      </x:c>
      <x:c r="D22" s="43" t="n">
        <x:f>'Entradas'!D56</x:f>
        <x:v>10.54</x:v>
      </x:c>
      <x:c r="E22" s="44" t="n">
        <x:f>C22*'Entradas'!$B$24</x:f>
        <x:v>9316</x:v>
      </x:c>
      <x:c r="F22" s="44" t="n">
        <x:f>'Entradas'!F56*IF(B22="Micro",'Entradas'!$B$30,VLOOKUP('Entradas'!E56,'Entradas'!$F$24:$H$27,2,FALSE))</x:f>
        <x:v>1690</x:v>
      </x:c>
      <x:c r="G22" s="44" t="n">
        <x:f>IF(B22="Micro",'Entradas'!F56*'Entradas'!$B$31,0)</x:f>
        <x:v>0</x:v>
      </x:c>
      <x:c r="H22" s="45" t="n">
        <x:f>2*ROUNDUP(C22/2,0)</x:f>
        <x:v>18</x:v>
      </x:c>
      <x:c r="I22" s="46" t="n">
        <x:f>H22*'Entradas'!$B$25</x:f>
        <x:v>803.52</x:v>
      </x:c>
      <x:c r="J22" s="45" t="n">
        <x:f>INT(H22/4)</x:f>
        <x:v>4</x:v>
      </x:c>
      <x:c r="K22" s="46" t="n">
        <x:f>J22*'Entradas'!$B$26</x:f>
        <x:v>542.6</x:v>
      </x:c>
      <x:c r="L22" s="45" t="n">
        <x:f>MOD(H22,4)/2</x:f>
        <x:v>1</x:v>
      </x:c>
      <x:c r="M22" s="46" t="n">
        <x:f>L22*'Entradas'!$B$27</x:f>
        <x:v>72.72</x:v>
      </x:c>
      <x:c r="N22" s="45" t="n">
        <x:f>IF(C22&lt;=19,3*C22,IF(C22&lt;=50,ROUNDUP(2.5*C22,0),2*C22))</x:f>
        <x:v>51</x:v>
      </x:c>
      <x:c r="O22" s="46" t="n">
        <x:f>2*N22*'Entradas'!$B$28</x:f>
        <x:v>598.74</x:v>
      </x:c>
      <x:c r="P22" s="45" t="n">
        <x:f>'Entradas'!F56*IF(B22="Micro",4,VLOOKUP('Entradas'!E56,'Entradas'!$F$24:$H$27,3,FALSE))</x:f>
        <x:v>2</x:v>
      </x:c>
      <x:c r="Q22" s="46" t="n">
        <x:f>P22*'Entradas'!$B$29</x:f>
        <x:v>24</x:v>
      </x:c>
      <x:c r="R22" s="46" t="n">
        <x:f>SUM(E22:G22,I22,K22,M22,O22,Q22)</x:f>
        <x:v>13047.58</x:v>
      </x:c>
      <x:c r="S22" s="46" t="n">
        <x:f>IF(R22&lt;'Entradas'!$B$35,MAX('Entradas'!$B$32,R22*'Entradas'!$B$33),R22*'Entradas'!$B$34)</x:f>
        <x:v>502.25354452</x:v>
      </x:c>
      <x:c r="T22" s="47" t="n">
        <x:f>ROUND(SUM(R22:S22),2)</x:f>
        <x:v>13549.83</x:v>
      </x:c>
      <x:c r="U22" s="2"/>
      <x:c r="V22" s="2"/>
      <x:c r="W22" s="2"/>
      <x:c r="X22" s="2"/>
    </x:row>
    <x:row r="23" ht="23" customHeight="1">
      <x:c r="A23" s="43" t="str">
        <x:f>'Entradas'!A57</x:f>
        <x:v>INV-18</x:v>
      </x:c>
      <x:c r="B23" s="43" t="str">
        <x:f>'Entradas'!B57</x:f>
        <x:v>Inversor</x:v>
      </x:c>
      <x:c r="C23" s="43" t="n">
        <x:f>'Entradas'!C57</x:f>
        <x:v>18</x:v>
      </x:c>
      <x:c r="D23" s="43" t="n">
        <x:f>'Entradas'!D57</x:f>
        <x:v>11.16</x:v>
      </x:c>
      <x:c r="E23" s="44" t="n">
        <x:f>C23*'Entradas'!$B$24</x:f>
        <x:v>9864</x:v>
      </x:c>
      <x:c r="F23" s="44" t="n">
        <x:f>'Entradas'!F57*IF(B23="Micro",'Entradas'!$B$30,VLOOKUP('Entradas'!E57,'Entradas'!$F$24:$H$27,2,FALSE))</x:f>
        <x:v>2600</x:v>
      </x:c>
      <x:c r="G23" s="44" t="n">
        <x:f>IF(B23="Micro",'Entradas'!F57*'Entradas'!$B$31,0)</x:f>
        <x:v>0</x:v>
      </x:c>
      <x:c r="H23" s="45" t="n">
        <x:f>2*ROUNDUP(C23/2,0)</x:f>
        <x:v>18</x:v>
      </x:c>
      <x:c r="I23" s="46" t="n">
        <x:f>H23*'Entradas'!$B$25</x:f>
        <x:v>803.52</x:v>
      </x:c>
      <x:c r="J23" s="45" t="n">
        <x:f>INT(H23/4)</x:f>
        <x:v>4</x:v>
      </x:c>
      <x:c r="K23" s="46" t="n">
        <x:f>J23*'Entradas'!$B$26</x:f>
        <x:v>542.6</x:v>
      </x:c>
      <x:c r="L23" s="45" t="n">
        <x:f>MOD(H23,4)/2</x:f>
        <x:v>1</x:v>
      </x:c>
      <x:c r="M23" s="46" t="n">
        <x:f>L23*'Entradas'!$B$27</x:f>
        <x:v>72.72</x:v>
      </x:c>
      <x:c r="N23" s="45" t="n">
        <x:f>IF(C23&lt;=19,3*C23,IF(C23&lt;=50,ROUNDUP(2.5*C23,0),2*C23))</x:f>
        <x:v>54</x:v>
      </x:c>
      <x:c r="O23" s="46" t="n">
        <x:f>2*N23*'Entradas'!$B$28</x:f>
        <x:v>633.96</x:v>
      </x:c>
      <x:c r="P23" s="45" t="n">
        <x:f>'Entradas'!F57*IF(B23="Micro",4,VLOOKUP('Entradas'!E57,'Entradas'!$F$24:$H$27,3,FALSE))</x:f>
        <x:v>2</x:v>
      </x:c>
      <x:c r="Q23" s="46" t="n">
        <x:f>P23*'Entradas'!$B$29</x:f>
        <x:v>24</x:v>
      </x:c>
      <x:c r="R23" s="46" t="n">
        <x:f>SUM(E23:G23,I23,K23,M23,O23,Q23)</x:f>
        <x:v>14540.8</x:v>
      </x:c>
      <x:c r="S23" s="46" t="n">
        <x:f>IF(R23&lt;'Entradas'!$B$35,MAX('Entradas'!$B$32,R23*'Entradas'!$B$33),R23*'Entradas'!$B$34)</x:f>
        <x:v>559.7335552</x:v>
      </x:c>
      <x:c r="T23" s="47" t="n">
        <x:f>ROUND(SUM(R23:S23),2)</x:f>
        <x:v>15100.53</x:v>
      </x:c>
      <x:c r="U23" s="2"/>
      <x:c r="V23" s="2"/>
      <x:c r="W23" s="2"/>
      <x:c r="X23" s="2"/>
    </x:row>
    <x:row r="24" ht="23" customHeight="1">
      <x:c r="A24" s="43" t="str">
        <x:f>'Entradas'!A58</x:f>
        <x:v>INV-19</x:v>
      </x:c>
      <x:c r="B24" s="43" t="str">
        <x:f>'Entradas'!B58</x:f>
        <x:v>Inversor</x:v>
      </x:c>
      <x:c r="C24" s="43" t="n">
        <x:f>'Entradas'!C58</x:f>
        <x:v>19</x:v>
      </x:c>
      <x:c r="D24" s="43" t="n">
        <x:f>'Entradas'!D58</x:f>
        <x:v>11.78</x:v>
      </x:c>
      <x:c r="E24" s="44" t="n">
        <x:f>C24*'Entradas'!$B$24</x:f>
        <x:v>10412</x:v>
      </x:c>
      <x:c r="F24" s="44" t="n">
        <x:f>'Entradas'!F58*IF(B24="Micro",'Entradas'!$B$30,VLOOKUP('Entradas'!E58,'Entradas'!$F$24:$H$27,2,FALSE))</x:f>
        <x:v>2600</x:v>
      </x:c>
      <x:c r="G24" s="44" t="n">
        <x:f>IF(B24="Micro",'Entradas'!F58*'Entradas'!$B$31,0)</x:f>
        <x:v>0</x:v>
      </x:c>
      <x:c r="H24" s="45" t="n">
        <x:f>2*ROUNDUP(C24/2,0)</x:f>
        <x:v>20</x:v>
      </x:c>
      <x:c r="I24" s="46" t="n">
        <x:f>H24*'Entradas'!$B$25</x:f>
        <x:v>892.8</x:v>
      </x:c>
      <x:c r="J24" s="45" t="n">
        <x:f>INT(H24/4)</x:f>
        <x:v>5</x:v>
      </x:c>
      <x:c r="K24" s="46" t="n">
        <x:f>J24*'Entradas'!$B$26</x:f>
        <x:v>678.25</x:v>
      </x:c>
      <x:c r="L24" s="45" t="n">
        <x:f>MOD(H24,4)/2</x:f>
        <x:v>0</x:v>
      </x:c>
      <x:c r="M24" s="46" t="n">
        <x:f>L24*'Entradas'!$B$27</x:f>
        <x:v>0</x:v>
      </x:c>
      <x:c r="N24" s="45" t="n">
        <x:f>IF(C24&lt;=19,3*C24,IF(C24&lt;=50,ROUNDUP(2.5*C24,0),2*C24))</x:f>
        <x:v>57</x:v>
      </x:c>
      <x:c r="O24" s="46" t="n">
        <x:f>2*N24*'Entradas'!$B$28</x:f>
        <x:v>669.1800000000001</x:v>
      </x:c>
      <x:c r="P24" s="45" t="n">
        <x:f>'Entradas'!F58*IF(B24="Micro",4,VLOOKUP('Entradas'!E58,'Entradas'!$F$24:$H$27,3,FALSE))</x:f>
        <x:v>2</x:v>
      </x:c>
      <x:c r="Q24" s="46" t="n">
        <x:f>P24*'Entradas'!$B$29</x:f>
        <x:v>24</x:v>
      </x:c>
      <x:c r="R24" s="46" t="n">
        <x:f>SUM(E24:G24,I24,K24,M24,O24,Q24)</x:f>
        <x:v>15276.23</x:v>
      </x:c>
      <x:c r="S24" s="46" t="n">
        <x:f>IF(R24&lt;'Entradas'!$B$35,MAX('Entradas'!$B$32,R24*'Entradas'!$B$33),R24*'Entradas'!$B$34)</x:f>
        <x:v>588.04319762</x:v>
      </x:c>
      <x:c r="T24" s="47" t="n">
        <x:f>ROUND(SUM(R24:S24),2)</x:f>
        <x:v>15864.27</x:v>
      </x:c>
      <x:c r="U24" s="2"/>
      <x:c r="V24" s="2"/>
      <x:c r="W24" s="2"/>
      <x:c r="X24" s="2"/>
    </x:row>
    <x:row r="25" ht="23" customHeight="1">
      <x:c r="A25" s="43" t="str">
        <x:f>'Entradas'!A59</x:f>
        <x:v>INV-20</x:v>
      </x:c>
      <x:c r="B25" s="43" t="str">
        <x:f>'Entradas'!B59</x:f>
        <x:v>Inversor</x:v>
      </x:c>
      <x:c r="C25" s="43" t="n">
        <x:f>'Entradas'!C59</x:f>
        <x:v>20</x:v>
      </x:c>
      <x:c r="D25" s="43" t="n">
        <x:f>'Entradas'!D59</x:f>
        <x:v>12.4</x:v>
      </x:c>
      <x:c r="E25" s="44" t="n">
        <x:f>C25*'Entradas'!$B$24</x:f>
        <x:v>10960</x:v>
      </x:c>
      <x:c r="F25" s="44" t="n">
        <x:f>'Entradas'!F59*IF(B25="Micro",'Entradas'!$B$30,VLOOKUP('Entradas'!E59,'Entradas'!$F$24:$H$27,2,FALSE))</x:f>
        <x:v>2600</x:v>
      </x:c>
      <x:c r="G25" s="44" t="n">
        <x:f>IF(B25="Micro",'Entradas'!F59*'Entradas'!$B$31,0)</x:f>
        <x:v>0</x:v>
      </x:c>
      <x:c r="H25" s="45" t="n">
        <x:f>2*ROUNDUP(C25/2,0)</x:f>
        <x:v>20</x:v>
      </x:c>
      <x:c r="I25" s="46" t="n">
        <x:f>H25*'Entradas'!$B$25</x:f>
        <x:v>892.8</x:v>
      </x:c>
      <x:c r="J25" s="45" t="n">
        <x:f>INT(H25/4)</x:f>
        <x:v>5</x:v>
      </x:c>
      <x:c r="K25" s="46" t="n">
        <x:f>J25*'Entradas'!$B$26</x:f>
        <x:v>678.25</x:v>
      </x:c>
      <x:c r="L25" s="45" t="n">
        <x:f>MOD(H25,4)/2</x:f>
        <x:v>0</x:v>
      </x:c>
      <x:c r="M25" s="46" t="n">
        <x:f>L25*'Entradas'!$B$27</x:f>
        <x:v>0</x:v>
      </x:c>
      <x:c r="N25" s="45" t="n">
        <x:f>IF(C25&lt;=19,3*C25,IF(C25&lt;=50,ROUNDUP(2.5*C25,0),2*C25))</x:f>
        <x:v>50</x:v>
      </x:c>
      <x:c r="O25" s="46" t="n">
        <x:f>2*N25*'Entradas'!$B$28</x:f>
        <x:v>587</x:v>
      </x:c>
      <x:c r="P25" s="45" t="n">
        <x:f>'Entradas'!F59*IF(B25="Micro",4,VLOOKUP('Entradas'!E59,'Entradas'!$F$24:$H$27,3,FALSE))</x:f>
        <x:v>2</x:v>
      </x:c>
      <x:c r="Q25" s="46" t="n">
        <x:f>P25*'Entradas'!$B$29</x:f>
        <x:v>24</x:v>
      </x:c>
      <x:c r="R25" s="46" t="n">
        <x:f>SUM(E25:G25,I25,K25,M25,O25,Q25)</x:f>
        <x:v>15742.05</x:v>
      </x:c>
      <x:c r="S25" s="46" t="n">
        <x:f>IF(R25&lt;'Entradas'!$B$35,MAX('Entradas'!$B$32,R25*'Entradas'!$B$33),R25*'Entradas'!$B$34)</x:f>
        <x:v>605.9744727</x:v>
      </x:c>
      <x:c r="T25" s="47" t="n">
        <x:f>ROUND(SUM(R25:S25),2)</x:f>
        <x:v>16348.02</x:v>
      </x:c>
      <x:c r="U25" s="2"/>
      <x:c r="V25" s="2"/>
      <x:c r="W25" s="2"/>
      <x:c r="X25" s="2"/>
    </x:row>
    <x:row r="26" ht="23" customHeight="1">
      <x:c r="A26" s="43" t="str">
        <x:f>'Entradas'!A60</x:f>
        <x:v>MIC-04</x:v>
      </x:c>
      <x:c r="B26" s="43" t="str">
        <x:f>'Entradas'!B60</x:f>
        <x:v>Micro</x:v>
      </x:c>
      <x:c r="C26" s="43" t="n">
        <x:f>'Entradas'!C60</x:f>
        <x:v>4</x:v>
      </x:c>
      <x:c r="D26" s="43" t="n">
        <x:f>'Entradas'!D60</x:f>
        <x:v>2.48</x:v>
      </x:c>
      <x:c r="E26" s="44" t="n">
        <x:f>C26*'Entradas'!$B$24</x:f>
        <x:v>2192</x:v>
      </x:c>
      <x:c r="F26" s="44" t="n">
        <x:f>'Entradas'!F60*IF(B26="Micro",'Entradas'!$B$30,VLOOKUP('Entradas'!E60,'Entradas'!$F$24:$H$27,2,FALSE))</x:f>
        <x:v>942.49</x:v>
      </x:c>
      <x:c r="G26" s="44" t="n">
        <x:f>IF(B26="Micro",'Entradas'!F60*'Entradas'!$B$31,0)</x:f>
        <x:v>9</x:v>
      </x:c>
      <x:c r="H26" s="45" t="n">
        <x:f>2*ROUNDUP(C26/2,0)</x:f>
        <x:v>4</x:v>
      </x:c>
      <x:c r="I26" s="46" t="n">
        <x:f>H26*'Entradas'!$B$25</x:f>
        <x:v>178.56</x:v>
      </x:c>
      <x:c r="J26" s="45" t="n">
        <x:f>INT(H26/4)</x:f>
        <x:v>1</x:v>
      </x:c>
      <x:c r="K26" s="46" t="n">
        <x:f>J26*'Entradas'!$B$26</x:f>
        <x:v>135.65</x:v>
      </x:c>
      <x:c r="L26" s="45" t="n">
        <x:f>MOD(H26,4)/2</x:f>
        <x:v>0</x:v>
      </x:c>
      <x:c r="M26" s="46" t="n">
        <x:f>L26*'Entradas'!$B$27</x:f>
        <x:v>0</x:v>
      </x:c>
      <x:c r="N26" s="45" t="n">
        <x:f>IF(C26&lt;=19,3*C26,IF(C26&lt;=50,ROUNDUP(2.5*C26,0),2*C26))</x:f>
        <x:v>12</x:v>
      </x:c>
      <x:c r="O26" s="46" t="n">
        <x:f>2*N26*'Entradas'!$B$28</x:f>
        <x:v>140.88</x:v>
      </x:c>
      <x:c r="P26" s="45" t="n">
        <x:f>'Entradas'!F60*IF(B26="Micro",4,VLOOKUP('Entradas'!E60,'Entradas'!$F$24:$H$27,3,FALSE))</x:f>
        <x:v>4</x:v>
      </x:c>
      <x:c r="Q26" s="46" t="n">
        <x:f>P26*'Entradas'!$B$29</x:f>
        <x:v>48</x:v>
      </x:c>
      <x:c r="R26" s="46" t="n">
        <x:f>SUM(E26:G26,I26,K26,M26,O26,Q26)</x:f>
        <x:v>3646.58</x:v>
      </x:c>
      <x:c r="S26" s="46" t="n">
        <x:f>IF(R26&lt;'Entradas'!$B$35,MAX('Entradas'!$B$32,R26*'Entradas'!$B$33),R26*'Entradas'!$B$34)</x:f>
        <x:v>400</x:v>
      </x:c>
      <x:c r="T26" s="47" t="n">
        <x:f>ROUND(SUM(R26:S26),2)</x:f>
        <x:v>4046.58</x:v>
      </x:c>
      <x:c r="U26" s="2"/>
      <x:c r="V26" s="2"/>
      <x:c r="W26" s="2"/>
      <x:c r="X26" s="2"/>
    </x:row>
    <x:row r="27" ht="23" customHeight="1">
      <x:c r="A27" s="43" t="str">
        <x:f>'Entradas'!A61</x:f>
        <x:v>MIC-05</x:v>
      </x:c>
      <x:c r="B27" s="43" t="str">
        <x:f>'Entradas'!B61</x:f>
        <x:v>Micro</x:v>
      </x:c>
      <x:c r="C27" s="43" t="n">
        <x:f>'Entradas'!C61</x:f>
        <x:v>5</x:v>
      </x:c>
      <x:c r="D27" s="43" t="n">
        <x:f>'Entradas'!D61</x:f>
        <x:v>3.1</x:v>
      </x:c>
      <x:c r="E27" s="44" t="n">
        <x:f>C27*'Entradas'!$B$24</x:f>
        <x:v>2740</x:v>
      </x:c>
      <x:c r="F27" s="44" t="n">
        <x:f>'Entradas'!F61*IF(B27="Micro",'Entradas'!$B$30,VLOOKUP('Entradas'!E61,'Entradas'!$F$24:$H$27,2,FALSE))</x:f>
        <x:v>1884.98</x:v>
      </x:c>
      <x:c r="G27" s="44" t="n">
        <x:f>IF(B27="Micro",'Entradas'!F61*'Entradas'!$B$31,0)</x:f>
        <x:v>18</x:v>
      </x:c>
      <x:c r="H27" s="45" t="n">
        <x:f>2*ROUNDUP(C27/2,0)</x:f>
        <x:v>6</x:v>
      </x:c>
      <x:c r="I27" s="46" t="n">
        <x:f>H27*'Entradas'!$B$25</x:f>
        <x:v>267.84000000000003</x:v>
      </x:c>
      <x:c r="J27" s="45" t="n">
        <x:f>INT(H27/4)</x:f>
        <x:v>1</x:v>
      </x:c>
      <x:c r="K27" s="46" t="n">
        <x:f>J27*'Entradas'!$B$26</x:f>
        <x:v>135.65</x:v>
      </x:c>
      <x:c r="L27" s="45" t="n">
        <x:f>MOD(H27,4)/2</x:f>
        <x:v>1</x:v>
      </x:c>
      <x:c r="M27" s="46" t="n">
        <x:f>L27*'Entradas'!$B$27</x:f>
        <x:v>72.72</x:v>
      </x:c>
      <x:c r="N27" s="45" t="n">
        <x:f>IF(C27&lt;=19,3*C27,IF(C27&lt;=50,ROUNDUP(2.5*C27,0),2*C27))</x:f>
        <x:v>15</x:v>
      </x:c>
      <x:c r="O27" s="46" t="n">
        <x:f>2*N27*'Entradas'!$B$28</x:f>
        <x:v>176.1</x:v>
      </x:c>
      <x:c r="P27" s="45" t="n">
        <x:f>'Entradas'!F61*IF(B27="Micro",4,VLOOKUP('Entradas'!E61,'Entradas'!$F$24:$H$27,3,FALSE))</x:f>
        <x:v>8</x:v>
      </x:c>
      <x:c r="Q27" s="46" t="n">
        <x:f>P27*'Entradas'!$B$29</x:f>
        <x:v>96</x:v>
      </x:c>
      <x:c r="R27" s="46" t="n">
        <x:f>SUM(E27:G27,I27,K27,M27,O27,Q27)</x:f>
        <x:v>5391.29</x:v>
      </x:c>
      <x:c r="S27" s="46" t="n">
        <x:f>IF(R27&lt;'Entradas'!$B$35,MAX('Entradas'!$B$32,R27*'Entradas'!$B$33),R27*'Entradas'!$B$34)</x:f>
        <x:v>400</x:v>
      </x:c>
      <x:c r="T27" s="47" t="n">
        <x:f>ROUND(SUM(R27:S27),2)</x:f>
        <x:v>5791.29</x:v>
      </x:c>
      <x:c r="U27" s="2"/>
      <x:c r="V27" s="2"/>
      <x:c r="W27" s="2"/>
      <x:c r="X27" s="2"/>
    </x:row>
    <x:row r="28" ht="23" customHeight="1">
      <x:c r="A28" s="43" t="str">
        <x:f>'Entradas'!A62</x:f>
        <x:v>MIC-06</x:v>
      </x:c>
      <x:c r="B28" s="43" t="str">
        <x:f>'Entradas'!B62</x:f>
        <x:v>Micro</x:v>
      </x:c>
      <x:c r="C28" s="43" t="n">
        <x:f>'Entradas'!C62</x:f>
        <x:v>6</x:v>
      </x:c>
      <x:c r="D28" s="43" t="n">
        <x:f>'Entradas'!D62</x:f>
        <x:v>3.72</x:v>
      </x:c>
      <x:c r="E28" s="44" t="n">
        <x:f>C28*'Entradas'!$B$24</x:f>
        <x:v>3288</x:v>
      </x:c>
      <x:c r="F28" s="44" t="n">
        <x:f>'Entradas'!F62*IF(B28="Micro",'Entradas'!$B$30,VLOOKUP('Entradas'!E62,'Entradas'!$F$24:$H$27,2,FALSE))</x:f>
        <x:v>1884.98</x:v>
      </x:c>
      <x:c r="G28" s="44" t="n">
        <x:f>IF(B28="Micro",'Entradas'!F62*'Entradas'!$B$31,0)</x:f>
        <x:v>18</x:v>
      </x:c>
      <x:c r="H28" s="45" t="n">
        <x:f>2*ROUNDUP(C28/2,0)</x:f>
        <x:v>6</x:v>
      </x:c>
      <x:c r="I28" s="46" t="n">
        <x:f>H28*'Entradas'!$B$25</x:f>
        <x:v>267.84000000000003</x:v>
      </x:c>
      <x:c r="J28" s="45" t="n">
        <x:f>INT(H28/4)</x:f>
        <x:v>1</x:v>
      </x:c>
      <x:c r="K28" s="46" t="n">
        <x:f>J28*'Entradas'!$B$26</x:f>
        <x:v>135.65</x:v>
      </x:c>
      <x:c r="L28" s="45" t="n">
        <x:f>MOD(H28,4)/2</x:f>
        <x:v>1</x:v>
      </x:c>
      <x:c r="M28" s="46" t="n">
        <x:f>L28*'Entradas'!$B$27</x:f>
        <x:v>72.72</x:v>
      </x:c>
      <x:c r="N28" s="45" t="n">
        <x:f>IF(C28&lt;=19,3*C28,IF(C28&lt;=50,ROUNDUP(2.5*C28,0),2*C28))</x:f>
        <x:v>18</x:v>
      </x:c>
      <x:c r="O28" s="46" t="n">
        <x:f>2*N28*'Entradas'!$B$28</x:f>
        <x:v>211.32</x:v>
      </x:c>
      <x:c r="P28" s="45" t="n">
        <x:f>'Entradas'!F62*IF(B28="Micro",4,VLOOKUP('Entradas'!E62,'Entradas'!$F$24:$H$27,3,FALSE))</x:f>
        <x:v>8</x:v>
      </x:c>
      <x:c r="Q28" s="46" t="n">
        <x:f>P28*'Entradas'!$B$29</x:f>
        <x:v>96</x:v>
      </x:c>
      <x:c r="R28" s="46" t="n">
        <x:f>SUM(E28:G28,I28,K28,M28,O28,Q28)</x:f>
        <x:v>5974.509999999999</x:v>
      </x:c>
      <x:c r="S28" s="46" t="n">
        <x:f>IF(R28&lt;'Entradas'!$B$35,MAX('Entradas'!$B$32,R28*'Entradas'!$B$33),R28*'Entradas'!$B$34)</x:f>
        <x:v>400</x:v>
      </x:c>
      <x:c r="T28" s="47" t="n">
        <x:f>ROUND(SUM(R28:S28),2)</x:f>
        <x:v>6374.51</x:v>
      </x:c>
      <x:c r="U28" s="2"/>
      <x:c r="V28" s="2"/>
      <x:c r="W28" s="2"/>
      <x:c r="X28" s="2"/>
    </x:row>
    <x:row r="29" ht="23" customHeight="1">
      <x:c r="A29" s="43" t="str">
        <x:f>'Entradas'!A63</x:f>
        <x:v>MIC-07</x:v>
      </x:c>
      <x:c r="B29" s="43" t="str">
        <x:f>'Entradas'!B63</x:f>
        <x:v>Micro</x:v>
      </x:c>
      <x:c r="C29" s="43" t="n">
        <x:f>'Entradas'!C63</x:f>
        <x:v>7</x:v>
      </x:c>
      <x:c r="D29" s="43" t="n">
        <x:f>'Entradas'!D63</x:f>
        <x:v>4.34</x:v>
      </x:c>
      <x:c r="E29" s="44" t="n">
        <x:f>C29*'Entradas'!$B$24</x:f>
        <x:v>3836</x:v>
      </x:c>
      <x:c r="F29" s="44" t="n">
        <x:f>'Entradas'!F63*IF(B29="Micro",'Entradas'!$B$30,VLOOKUP('Entradas'!E63,'Entradas'!$F$24:$H$27,2,FALSE))</x:f>
        <x:v>1884.98</x:v>
      </x:c>
      <x:c r="G29" s="44" t="n">
        <x:f>IF(B29="Micro",'Entradas'!F63*'Entradas'!$B$31,0)</x:f>
        <x:v>18</x:v>
      </x:c>
      <x:c r="H29" s="45" t="n">
        <x:f>2*ROUNDUP(C29/2,0)</x:f>
        <x:v>8</x:v>
      </x:c>
      <x:c r="I29" s="46" t="n">
        <x:f>H29*'Entradas'!$B$25</x:f>
        <x:v>357.12</x:v>
      </x:c>
      <x:c r="J29" s="45" t="n">
        <x:f>INT(H29/4)</x:f>
        <x:v>2</x:v>
      </x:c>
      <x:c r="K29" s="46" t="n">
        <x:f>J29*'Entradas'!$B$26</x:f>
        <x:v>271.3</x:v>
      </x:c>
      <x:c r="L29" s="45" t="n">
        <x:f>MOD(H29,4)/2</x:f>
        <x:v>0</x:v>
      </x:c>
      <x:c r="M29" s="46" t="n">
        <x:f>L29*'Entradas'!$B$27</x:f>
        <x:v>0</x:v>
      </x:c>
      <x:c r="N29" s="45" t="n">
        <x:f>IF(C29&lt;=19,3*C29,IF(C29&lt;=50,ROUNDUP(2.5*C29,0),2*C29))</x:f>
        <x:v>21</x:v>
      </x:c>
      <x:c r="O29" s="46" t="n">
        <x:f>2*N29*'Entradas'!$B$28</x:f>
        <x:v>246.54</x:v>
      </x:c>
      <x:c r="P29" s="45" t="n">
        <x:f>'Entradas'!F63*IF(B29="Micro",4,VLOOKUP('Entradas'!E63,'Entradas'!$F$24:$H$27,3,FALSE))</x:f>
        <x:v>8</x:v>
      </x:c>
      <x:c r="Q29" s="46" t="n">
        <x:f>P29*'Entradas'!$B$29</x:f>
        <x:v>96</x:v>
      </x:c>
      <x:c r="R29" s="46" t="n">
        <x:f>SUM(E29:G29,I29,K29,M29,O29,Q29)</x:f>
        <x:v>6709.94</x:v>
      </x:c>
      <x:c r="S29" s="46" t="n">
        <x:f>IF(R29&lt;'Entradas'!$B$35,MAX('Entradas'!$B$32,R29*'Entradas'!$B$33),R29*'Entradas'!$B$34)</x:f>
        <x:v>400</x:v>
      </x:c>
      <x:c r="T29" s="47" t="n">
        <x:f>ROUND(SUM(R29:S29),2)</x:f>
        <x:v>7109.94</x:v>
      </x:c>
      <x:c r="U29" s="2"/>
      <x:c r="V29" s="2"/>
      <x:c r="W29" s="2"/>
      <x:c r="X29" s="2"/>
    </x:row>
    <x:row r="30" ht="23" customHeight="1">
      <x:c r="A30" s="43" t="str">
        <x:f>'Entradas'!A64</x:f>
        <x:v>MIC-08</x:v>
      </x:c>
      <x:c r="B30" s="43" t="str">
        <x:f>'Entradas'!B64</x:f>
        <x:v>Micro</x:v>
      </x:c>
      <x:c r="C30" s="43" t="n">
        <x:f>'Entradas'!C64</x:f>
        <x:v>8</x:v>
      </x:c>
      <x:c r="D30" s="43" t="n">
        <x:f>'Entradas'!D64</x:f>
        <x:v>4.96</x:v>
      </x:c>
      <x:c r="E30" s="44" t="n">
        <x:f>C30*'Entradas'!$B$24</x:f>
        <x:v>4384</x:v>
      </x:c>
      <x:c r="F30" s="44" t="n">
        <x:f>'Entradas'!F64*IF(B30="Micro",'Entradas'!$B$30,VLOOKUP('Entradas'!E64,'Entradas'!$F$24:$H$27,2,FALSE))</x:f>
        <x:v>1884.98</x:v>
      </x:c>
      <x:c r="G30" s="44" t="n">
        <x:f>IF(B30="Micro",'Entradas'!F64*'Entradas'!$B$31,0)</x:f>
        <x:v>18</x:v>
      </x:c>
      <x:c r="H30" s="45" t="n">
        <x:f>2*ROUNDUP(C30/2,0)</x:f>
        <x:v>8</x:v>
      </x:c>
      <x:c r="I30" s="46" t="n">
        <x:f>H30*'Entradas'!$B$25</x:f>
        <x:v>357.12</x:v>
      </x:c>
      <x:c r="J30" s="45" t="n">
        <x:f>INT(H30/4)</x:f>
        <x:v>2</x:v>
      </x:c>
      <x:c r="K30" s="46" t="n">
        <x:f>J30*'Entradas'!$B$26</x:f>
        <x:v>271.3</x:v>
      </x:c>
      <x:c r="L30" s="45" t="n">
        <x:f>MOD(H30,4)/2</x:f>
        <x:v>0</x:v>
      </x:c>
      <x:c r="M30" s="46" t="n">
        <x:f>L30*'Entradas'!$B$27</x:f>
        <x:v>0</x:v>
      </x:c>
      <x:c r="N30" s="45" t="n">
        <x:f>IF(C30&lt;=19,3*C30,IF(C30&lt;=50,ROUNDUP(2.5*C30,0),2*C30))</x:f>
        <x:v>24</x:v>
      </x:c>
      <x:c r="O30" s="46" t="n">
        <x:f>2*N30*'Entradas'!$B$28</x:f>
        <x:v>281.76</x:v>
      </x:c>
      <x:c r="P30" s="45" t="n">
        <x:f>'Entradas'!F64*IF(B30="Micro",4,VLOOKUP('Entradas'!E64,'Entradas'!$F$24:$H$27,3,FALSE))</x:f>
        <x:v>8</x:v>
      </x:c>
      <x:c r="Q30" s="46" t="n">
        <x:f>P30*'Entradas'!$B$29</x:f>
        <x:v>96</x:v>
      </x:c>
      <x:c r="R30" s="46" t="n">
        <x:f>SUM(E30:G30,I30,K30,M30,O30,Q30)</x:f>
        <x:v>7293.16</x:v>
      </x:c>
      <x:c r="S30" s="46" t="n">
        <x:f>IF(R30&lt;'Entradas'!$B$35,MAX('Entradas'!$B$32,R30*'Entradas'!$B$33),R30*'Entradas'!$B$34)</x:f>
        <x:v>400</x:v>
      </x:c>
      <x:c r="T30" s="47" t="n">
        <x:f>ROUND(SUM(R30:S30),2)</x:f>
        <x:v>7693.16</x:v>
      </x:c>
      <x:c r="U30" s="2"/>
      <x:c r="V30" s="2"/>
      <x:c r="W30" s="2"/>
      <x:c r="X30" s="2"/>
    </x:row>
    <x:row r="31" ht="23" customHeight="1">
      <x:c r="A31" s="43" t="str">
        <x:f>'Entradas'!A65</x:f>
        <x:v>MIC-09</x:v>
      </x:c>
      <x:c r="B31" s="43" t="str">
        <x:f>'Entradas'!B65</x:f>
        <x:v>Micro</x:v>
      </x:c>
      <x:c r="C31" s="43" t="n">
        <x:f>'Entradas'!C65</x:f>
        <x:v>9</x:v>
      </x:c>
      <x:c r="D31" s="43" t="n">
        <x:f>'Entradas'!D65</x:f>
        <x:v>5.58</x:v>
      </x:c>
      <x:c r="E31" s="44" t="n">
        <x:f>C31*'Entradas'!$B$24</x:f>
        <x:v>4932</x:v>
      </x:c>
      <x:c r="F31" s="44" t="n">
        <x:f>'Entradas'!F65*IF(B31="Micro",'Entradas'!$B$30,VLOOKUP('Entradas'!E65,'Entradas'!$F$24:$H$27,2,FALSE))</x:f>
        <x:v>2827.4700000000003</x:v>
      </x:c>
      <x:c r="G31" s="44" t="n">
        <x:f>IF(B31="Micro",'Entradas'!F65*'Entradas'!$B$31,0)</x:f>
        <x:v>27</x:v>
      </x:c>
      <x:c r="H31" s="45" t="n">
        <x:f>2*ROUNDUP(C31/2,0)</x:f>
        <x:v>10</x:v>
      </x:c>
      <x:c r="I31" s="46" t="n">
        <x:f>H31*'Entradas'!$B$25</x:f>
        <x:v>446.4</x:v>
      </x:c>
      <x:c r="J31" s="45" t="n">
        <x:f>INT(H31/4)</x:f>
        <x:v>2</x:v>
      </x:c>
      <x:c r="K31" s="46" t="n">
        <x:f>J31*'Entradas'!$B$26</x:f>
        <x:v>271.3</x:v>
      </x:c>
      <x:c r="L31" s="45" t="n">
        <x:f>MOD(H31,4)/2</x:f>
        <x:v>1</x:v>
      </x:c>
      <x:c r="M31" s="46" t="n">
        <x:f>L31*'Entradas'!$B$27</x:f>
        <x:v>72.72</x:v>
      </x:c>
      <x:c r="N31" s="45" t="n">
        <x:f>IF(C31&lt;=19,3*C31,IF(C31&lt;=50,ROUNDUP(2.5*C31,0),2*C31))</x:f>
        <x:v>27</x:v>
      </x:c>
      <x:c r="O31" s="46" t="n">
        <x:f>2*N31*'Entradas'!$B$28</x:f>
        <x:v>316.98</x:v>
      </x:c>
      <x:c r="P31" s="45" t="n">
        <x:f>'Entradas'!F65*IF(B31="Micro",4,VLOOKUP('Entradas'!E65,'Entradas'!$F$24:$H$27,3,FALSE))</x:f>
        <x:v>12</x:v>
      </x:c>
      <x:c r="Q31" s="46" t="n">
        <x:f>P31*'Entradas'!$B$29</x:f>
        <x:v>144</x:v>
      </x:c>
      <x:c r="R31" s="46" t="n">
        <x:f>SUM(E31:G31,I31,K31,M31,O31,Q31)</x:f>
        <x:v>9037.869999999999</x:v>
      </x:c>
      <x:c r="S31" s="46" t="n">
        <x:f>IF(R31&lt;'Entradas'!$B$35,MAX('Entradas'!$B$32,R31*'Entradas'!$B$33),R31*'Entradas'!$B$34)</x:f>
        <x:v>400</x:v>
      </x:c>
      <x:c r="T31" s="47" t="n">
        <x:f>ROUND(SUM(R31:S31),2)</x:f>
        <x:v>9437.87</x:v>
      </x:c>
      <x:c r="U31" s="2"/>
      <x:c r="V31" s="2"/>
      <x:c r="W31" s="2"/>
      <x:c r="X31" s="2"/>
    </x:row>
    <x:row r="32" ht="23" customHeight="1">
      <x:c r="A32" s="43" t="str">
        <x:f>'Entradas'!A66</x:f>
        <x:v>MIC-10</x:v>
      </x:c>
      <x:c r="B32" s="43" t="str">
        <x:f>'Entradas'!B66</x:f>
        <x:v>Micro</x:v>
      </x:c>
      <x:c r="C32" s="43" t="n">
        <x:f>'Entradas'!C66</x:f>
        <x:v>10</x:v>
      </x:c>
      <x:c r="D32" s="43" t="n">
        <x:f>'Entradas'!D66</x:f>
        <x:v>6.2</x:v>
      </x:c>
      <x:c r="E32" s="44" t="n">
        <x:f>C32*'Entradas'!$B$24</x:f>
        <x:v>5480</x:v>
      </x:c>
      <x:c r="F32" s="44" t="n">
        <x:f>'Entradas'!F66*IF(B32="Micro",'Entradas'!$B$30,VLOOKUP('Entradas'!E66,'Entradas'!$F$24:$H$27,2,FALSE))</x:f>
        <x:v>2827.4700000000003</x:v>
      </x:c>
      <x:c r="G32" s="44" t="n">
        <x:f>IF(B32="Micro",'Entradas'!F66*'Entradas'!$B$31,0)</x:f>
        <x:v>27</x:v>
      </x:c>
      <x:c r="H32" s="45" t="n">
        <x:f>2*ROUNDUP(C32/2,0)</x:f>
        <x:v>10</x:v>
      </x:c>
      <x:c r="I32" s="46" t="n">
        <x:f>H32*'Entradas'!$B$25</x:f>
        <x:v>446.4</x:v>
      </x:c>
      <x:c r="J32" s="45" t="n">
        <x:f>INT(H32/4)</x:f>
        <x:v>2</x:v>
      </x:c>
      <x:c r="K32" s="46" t="n">
        <x:f>J32*'Entradas'!$B$26</x:f>
        <x:v>271.3</x:v>
      </x:c>
      <x:c r="L32" s="45" t="n">
        <x:f>MOD(H32,4)/2</x:f>
        <x:v>1</x:v>
      </x:c>
      <x:c r="M32" s="46" t="n">
        <x:f>L32*'Entradas'!$B$27</x:f>
        <x:v>72.72</x:v>
      </x:c>
      <x:c r="N32" s="45" t="n">
        <x:f>IF(C32&lt;=19,3*C32,IF(C32&lt;=50,ROUNDUP(2.5*C32,0),2*C32))</x:f>
        <x:v>30</x:v>
      </x:c>
      <x:c r="O32" s="46" t="n">
        <x:f>2*N32*'Entradas'!$B$28</x:f>
        <x:v>352.2</x:v>
      </x:c>
      <x:c r="P32" s="45" t="n">
        <x:f>'Entradas'!F66*IF(B32="Micro",4,VLOOKUP('Entradas'!E66,'Entradas'!$F$24:$H$27,3,FALSE))</x:f>
        <x:v>12</x:v>
      </x:c>
      <x:c r="Q32" s="46" t="n">
        <x:f>P32*'Entradas'!$B$29</x:f>
        <x:v>144</x:v>
      </x:c>
      <x:c r="R32" s="46" t="n">
        <x:f>SUM(E32:G32,I32,K32,M32,O32,Q32)</x:f>
        <x:v>9621.09</x:v>
      </x:c>
      <x:c r="S32" s="46" t="n">
        <x:f>IF(R32&lt;'Entradas'!$B$35,MAX('Entradas'!$B$32,R32*'Entradas'!$B$33),R32*'Entradas'!$B$34)</x:f>
        <x:v>400</x:v>
      </x:c>
      <x:c r="T32" s="47" t="n">
        <x:f>ROUND(SUM(R32:S32),2)</x:f>
        <x:v>10021.09</x:v>
      </x:c>
      <x:c r="U32" s="2"/>
      <x:c r="V32" s="2"/>
      <x:c r="W32" s="2"/>
      <x:c r="X32" s="2"/>
    </x:row>
    <x:row r="33" ht="23" customHeight="1">
      <x:c r="A33" s="43" t="str">
        <x:f>'Entradas'!A67</x:f>
        <x:v>MIC-11</x:v>
      </x:c>
      <x:c r="B33" s="43" t="str">
        <x:f>'Entradas'!B67</x:f>
        <x:v>Micro</x:v>
      </x:c>
      <x:c r="C33" s="43" t="n">
        <x:f>'Entradas'!C67</x:f>
        <x:v>11</x:v>
      </x:c>
      <x:c r="D33" s="43" t="n">
        <x:f>'Entradas'!D67</x:f>
        <x:v>6.82</x:v>
      </x:c>
      <x:c r="E33" s="44" t="n">
        <x:f>C33*'Entradas'!$B$24</x:f>
        <x:v>6028</x:v>
      </x:c>
      <x:c r="F33" s="44" t="n">
        <x:f>'Entradas'!F67*IF(B33="Micro",'Entradas'!$B$30,VLOOKUP('Entradas'!E67,'Entradas'!$F$24:$H$27,2,FALSE))</x:f>
        <x:v>2827.4700000000003</x:v>
      </x:c>
      <x:c r="G33" s="44" t="n">
        <x:f>IF(B33="Micro",'Entradas'!F67*'Entradas'!$B$31,0)</x:f>
        <x:v>27</x:v>
      </x:c>
      <x:c r="H33" s="45" t="n">
        <x:f>2*ROUNDUP(C33/2,0)</x:f>
        <x:v>12</x:v>
      </x:c>
      <x:c r="I33" s="46" t="n">
        <x:f>H33*'Entradas'!$B$25</x:f>
        <x:v>535.6800000000001</x:v>
      </x:c>
      <x:c r="J33" s="45" t="n">
        <x:f>INT(H33/4)</x:f>
        <x:v>3</x:v>
      </x:c>
      <x:c r="K33" s="46" t="n">
        <x:f>J33*'Entradas'!$B$26</x:f>
        <x:v>406.95000000000005</x:v>
      </x:c>
      <x:c r="L33" s="45" t="n">
        <x:f>MOD(H33,4)/2</x:f>
        <x:v>0</x:v>
      </x:c>
      <x:c r="M33" s="46" t="n">
        <x:f>L33*'Entradas'!$B$27</x:f>
        <x:v>0</x:v>
      </x:c>
      <x:c r="N33" s="45" t="n">
        <x:f>IF(C33&lt;=19,3*C33,IF(C33&lt;=50,ROUNDUP(2.5*C33,0),2*C33))</x:f>
        <x:v>33</x:v>
      </x:c>
      <x:c r="O33" s="46" t="n">
        <x:f>2*N33*'Entradas'!$B$28</x:f>
        <x:v>387.42</x:v>
      </x:c>
      <x:c r="P33" s="45" t="n">
        <x:f>'Entradas'!F67*IF(B33="Micro",4,VLOOKUP('Entradas'!E67,'Entradas'!$F$24:$H$27,3,FALSE))</x:f>
        <x:v>12</x:v>
      </x:c>
      <x:c r="Q33" s="46" t="n">
        <x:f>P33*'Entradas'!$B$29</x:f>
        <x:v>144</x:v>
      </x:c>
      <x:c r="R33" s="46" t="n">
        <x:f>SUM(E33:G33,I33,K33,M33,O33,Q33)</x:f>
        <x:v>10356.520000000002</x:v>
      </x:c>
      <x:c r="S33" s="46" t="n">
        <x:f>IF(R33&lt;'Entradas'!$B$35,MAX('Entradas'!$B$32,R33*'Entradas'!$B$33),R33*'Entradas'!$B$34)</x:f>
        <x:v>400</x:v>
      </x:c>
      <x:c r="T33" s="47" t="n">
        <x:f>ROUND(SUM(R33:S33),2)</x:f>
        <x:v>10756.52</x:v>
      </x:c>
      <x:c r="U33" s="2"/>
      <x:c r="V33" s="2"/>
      <x:c r="W33" s="2"/>
      <x:c r="X33" s="2"/>
    </x:row>
    <x:row r="34" ht="23" customHeight="1">
      <x:c r="A34" s="43" t="str">
        <x:f>'Entradas'!A68</x:f>
        <x:v>MIC-12</x:v>
      </x:c>
      <x:c r="B34" s="43" t="str">
        <x:f>'Entradas'!B68</x:f>
        <x:v>Micro</x:v>
      </x:c>
      <x:c r="C34" s="43" t="n">
        <x:f>'Entradas'!C68</x:f>
        <x:v>12</x:v>
      </x:c>
      <x:c r="D34" s="43" t="n">
        <x:f>'Entradas'!D68</x:f>
        <x:v>7.44</x:v>
      </x:c>
      <x:c r="E34" s="44" t="n">
        <x:f>C34*'Entradas'!$B$24</x:f>
        <x:v>6576</x:v>
      </x:c>
      <x:c r="F34" s="44" t="n">
        <x:f>'Entradas'!F68*IF(B34="Micro",'Entradas'!$B$30,VLOOKUP('Entradas'!E68,'Entradas'!$F$24:$H$27,2,FALSE))</x:f>
        <x:v>2827.4700000000003</x:v>
      </x:c>
      <x:c r="G34" s="44" t="n">
        <x:f>IF(B34="Micro",'Entradas'!F68*'Entradas'!$B$31,0)</x:f>
        <x:v>27</x:v>
      </x:c>
      <x:c r="H34" s="45" t="n">
        <x:f>2*ROUNDUP(C34/2,0)</x:f>
        <x:v>12</x:v>
      </x:c>
      <x:c r="I34" s="46" t="n">
        <x:f>H34*'Entradas'!$B$25</x:f>
        <x:v>535.6800000000001</x:v>
      </x:c>
      <x:c r="J34" s="45" t="n">
        <x:f>INT(H34/4)</x:f>
        <x:v>3</x:v>
      </x:c>
      <x:c r="K34" s="46" t="n">
        <x:f>J34*'Entradas'!$B$26</x:f>
        <x:v>406.95000000000005</x:v>
      </x:c>
      <x:c r="L34" s="45" t="n">
        <x:f>MOD(H34,4)/2</x:f>
        <x:v>0</x:v>
      </x:c>
      <x:c r="M34" s="46" t="n">
        <x:f>L34*'Entradas'!$B$27</x:f>
        <x:v>0</x:v>
      </x:c>
      <x:c r="N34" s="45" t="n">
        <x:f>IF(C34&lt;=19,3*C34,IF(C34&lt;=50,ROUNDUP(2.5*C34,0),2*C34))</x:f>
        <x:v>36</x:v>
      </x:c>
      <x:c r="O34" s="46" t="n">
        <x:f>2*N34*'Entradas'!$B$28</x:f>
        <x:v>422.64</x:v>
      </x:c>
      <x:c r="P34" s="45" t="n">
        <x:f>'Entradas'!F68*IF(B34="Micro",4,VLOOKUP('Entradas'!E68,'Entradas'!$F$24:$H$27,3,FALSE))</x:f>
        <x:v>12</x:v>
      </x:c>
      <x:c r="Q34" s="46" t="n">
        <x:f>P34*'Entradas'!$B$29</x:f>
        <x:v>144</x:v>
      </x:c>
      <x:c r="R34" s="46" t="n">
        <x:f>SUM(E34:G34,I34,K34,M34,O34,Q34)</x:f>
        <x:v>10939.740000000002</x:v>
      </x:c>
      <x:c r="S34" s="46" t="n">
        <x:f>IF(R34&lt;'Entradas'!$B$35,MAX('Entradas'!$B$32,R34*'Entradas'!$B$33),R34*'Entradas'!$B$34)</x:f>
        <x:v>421.11435156000005</x:v>
      </x:c>
      <x:c r="T34" s="47" t="n">
        <x:f>ROUND(SUM(R34:S34),2)</x:f>
        <x:v>11360.85</x:v>
      </x:c>
      <x:c r="U34" s="2"/>
      <x:c r="V34" s="2"/>
      <x:c r="W34" s="2"/>
      <x:c r="X34" s="2"/>
    </x:row>
    <x:row r="35" ht="23" customHeight="1">
      <x:c r="A35" s="43" t="str">
        <x:f>'Entradas'!A69</x:f>
        <x:v>MIC-13</x:v>
      </x:c>
      <x:c r="B35" s="43" t="str">
        <x:f>'Entradas'!B69</x:f>
        <x:v>Micro</x:v>
      </x:c>
      <x:c r="C35" s="43" t="n">
        <x:f>'Entradas'!C69</x:f>
        <x:v>13</x:v>
      </x:c>
      <x:c r="D35" s="43" t="n">
        <x:f>'Entradas'!D69</x:f>
        <x:v>8.06</x:v>
      </x:c>
      <x:c r="E35" s="44" t="n">
        <x:f>C35*'Entradas'!$B$24</x:f>
        <x:v>7124</x:v>
      </x:c>
      <x:c r="F35" s="44" t="n">
        <x:f>'Entradas'!F69*IF(B35="Micro",'Entradas'!$B$30,VLOOKUP('Entradas'!E69,'Entradas'!$F$24:$H$27,2,FALSE))</x:f>
        <x:v>3769.96</x:v>
      </x:c>
      <x:c r="G35" s="44" t="n">
        <x:f>IF(B35="Micro",'Entradas'!F69*'Entradas'!$B$31,0)</x:f>
        <x:v>36</x:v>
      </x:c>
      <x:c r="H35" s="45" t="n">
        <x:f>2*ROUNDUP(C35/2,0)</x:f>
        <x:v>14</x:v>
      </x:c>
      <x:c r="I35" s="46" t="n">
        <x:f>H35*'Entradas'!$B$25</x:f>
        <x:v>624.96</x:v>
      </x:c>
      <x:c r="J35" s="45" t="n">
        <x:f>INT(H35/4)</x:f>
        <x:v>3</x:v>
      </x:c>
      <x:c r="K35" s="46" t="n">
        <x:f>J35*'Entradas'!$B$26</x:f>
        <x:v>406.95000000000005</x:v>
      </x:c>
      <x:c r="L35" s="45" t="n">
        <x:f>MOD(H35,4)/2</x:f>
        <x:v>1</x:v>
      </x:c>
      <x:c r="M35" s="46" t="n">
        <x:f>L35*'Entradas'!$B$27</x:f>
        <x:v>72.72</x:v>
      </x:c>
      <x:c r="N35" s="45" t="n">
        <x:f>IF(C35&lt;=19,3*C35,IF(C35&lt;=50,ROUNDUP(2.5*C35,0),2*C35))</x:f>
        <x:v>39</x:v>
      </x:c>
      <x:c r="O35" s="46" t="n">
        <x:f>2*N35*'Entradas'!$B$28</x:f>
        <x:v>457.86</x:v>
      </x:c>
      <x:c r="P35" s="45" t="n">
        <x:f>'Entradas'!F69*IF(B35="Micro",4,VLOOKUP('Entradas'!E69,'Entradas'!$F$24:$H$27,3,FALSE))</x:f>
        <x:v>16</x:v>
      </x:c>
      <x:c r="Q35" s="46" t="n">
        <x:f>P35*'Entradas'!$B$29</x:f>
        <x:v>192</x:v>
      </x:c>
      <x:c r="R35" s="46" t="n">
        <x:f>SUM(E35:G35,I35,K35,M35,O35,Q35)</x:f>
        <x:v>12684.449999999999</x:v>
      </x:c>
      <x:c r="S35" s="46" t="n">
        <x:f>IF(R35&lt;'Entradas'!$B$35,MAX('Entradas'!$B$32,R35*'Entradas'!$B$33),R35*'Entradas'!$B$34)</x:f>
        <x:v>488.27521829999995</x:v>
      </x:c>
      <x:c r="T35" s="47" t="n">
        <x:f>ROUND(SUM(R35:S35),2)</x:f>
        <x:v>13172.73</x:v>
      </x:c>
      <x:c r="U35" s="2"/>
      <x:c r="V35" s="2"/>
      <x:c r="W35" s="2"/>
      <x:c r="X35" s="2"/>
    </x:row>
    <x:row r="36" ht="23" customHeight="1">
      <x:c r="A36" s="43" t="str">
        <x:f>'Entradas'!A70</x:f>
        <x:v>MIC-14</x:v>
      </x:c>
      <x:c r="B36" s="43" t="str">
        <x:f>'Entradas'!B70</x:f>
        <x:v>Micro</x:v>
      </x:c>
      <x:c r="C36" s="43" t="n">
        <x:f>'Entradas'!C70</x:f>
        <x:v>14</x:v>
      </x:c>
      <x:c r="D36" s="43" t="n">
        <x:f>'Entradas'!D70</x:f>
        <x:v>8.68</x:v>
      </x:c>
      <x:c r="E36" s="44" t="n">
        <x:f>C36*'Entradas'!$B$24</x:f>
        <x:v>7672</x:v>
      </x:c>
      <x:c r="F36" s="44" t="n">
        <x:f>'Entradas'!F70*IF(B36="Micro",'Entradas'!$B$30,VLOOKUP('Entradas'!E70,'Entradas'!$F$24:$H$27,2,FALSE))</x:f>
        <x:v>3769.96</x:v>
      </x:c>
      <x:c r="G36" s="44" t="n">
        <x:f>IF(B36="Micro",'Entradas'!F70*'Entradas'!$B$31,0)</x:f>
        <x:v>36</x:v>
      </x:c>
      <x:c r="H36" s="45" t="n">
        <x:f>2*ROUNDUP(C36/2,0)</x:f>
        <x:v>14</x:v>
      </x:c>
      <x:c r="I36" s="46" t="n">
        <x:f>H36*'Entradas'!$B$25</x:f>
        <x:v>624.96</x:v>
      </x:c>
      <x:c r="J36" s="45" t="n">
        <x:f>INT(H36/4)</x:f>
        <x:v>3</x:v>
      </x:c>
      <x:c r="K36" s="46" t="n">
        <x:f>J36*'Entradas'!$B$26</x:f>
        <x:v>406.95000000000005</x:v>
      </x:c>
      <x:c r="L36" s="45" t="n">
        <x:f>MOD(H36,4)/2</x:f>
        <x:v>1</x:v>
      </x:c>
      <x:c r="M36" s="46" t="n">
        <x:f>L36*'Entradas'!$B$27</x:f>
        <x:v>72.72</x:v>
      </x:c>
      <x:c r="N36" s="45" t="n">
        <x:f>IF(C36&lt;=19,3*C36,IF(C36&lt;=50,ROUNDUP(2.5*C36,0),2*C36))</x:f>
        <x:v>42</x:v>
      </x:c>
      <x:c r="O36" s="46" t="n">
        <x:f>2*N36*'Entradas'!$B$28</x:f>
        <x:v>493.08</x:v>
      </x:c>
      <x:c r="P36" s="45" t="n">
        <x:f>'Entradas'!F70*IF(B36="Micro",4,VLOOKUP('Entradas'!E70,'Entradas'!$F$24:$H$27,3,FALSE))</x:f>
        <x:v>16</x:v>
      </x:c>
      <x:c r="Q36" s="46" t="n">
        <x:f>P36*'Entradas'!$B$29</x:f>
        <x:v>192</x:v>
      </x:c>
      <x:c r="R36" s="46" t="n">
        <x:f>SUM(E36:G36,I36,K36,M36,O36,Q36)</x:f>
        <x:v>13267.669999999998</x:v>
      </x:c>
      <x:c r="S36" s="46" t="n">
        <x:f>IF(R36&lt;'Entradas'!$B$35,MAX('Entradas'!$B$32,R36*'Entradas'!$B$33),R36*'Entradas'!$B$34)</x:f>
        <x:v>510.7256889799999</x:v>
      </x:c>
      <x:c r="T36" s="47" t="n">
        <x:f>ROUND(SUM(R36:S36),2)</x:f>
        <x:v>13778.4</x:v>
      </x:c>
      <x:c r="U36" s="2"/>
      <x:c r="V36" s="2"/>
      <x:c r="W36" s="2"/>
      <x:c r="X36" s="2"/>
    </x:row>
    <x:row r="37" ht="23" customHeight="1">
      <x:c r="A37" s="43" t="str">
        <x:f>'Entradas'!A71</x:f>
        <x:v>MIC-15</x:v>
      </x:c>
      <x:c r="B37" s="43" t="str">
        <x:f>'Entradas'!B71</x:f>
        <x:v>Micro</x:v>
      </x:c>
      <x:c r="C37" s="43" t="n">
        <x:f>'Entradas'!C71</x:f>
        <x:v>15</x:v>
      </x:c>
      <x:c r="D37" s="43" t="n">
        <x:f>'Entradas'!D71</x:f>
        <x:v>9.3</x:v>
      </x:c>
      <x:c r="E37" s="44" t="n">
        <x:f>C37*'Entradas'!$B$24</x:f>
        <x:v>8220</x:v>
      </x:c>
      <x:c r="F37" s="44" t="n">
        <x:f>'Entradas'!F71*IF(B37="Micro",'Entradas'!$B$30,VLOOKUP('Entradas'!E71,'Entradas'!$F$24:$H$27,2,FALSE))</x:f>
        <x:v>3769.96</x:v>
      </x:c>
      <x:c r="G37" s="44" t="n">
        <x:f>IF(B37="Micro",'Entradas'!F71*'Entradas'!$B$31,0)</x:f>
        <x:v>36</x:v>
      </x:c>
      <x:c r="H37" s="45" t="n">
        <x:f>2*ROUNDUP(C37/2,0)</x:f>
        <x:v>16</x:v>
      </x:c>
      <x:c r="I37" s="46" t="n">
        <x:f>H37*'Entradas'!$B$25</x:f>
        <x:v>714.24</x:v>
      </x:c>
      <x:c r="J37" s="45" t="n">
        <x:f>INT(H37/4)</x:f>
        <x:v>4</x:v>
      </x:c>
      <x:c r="K37" s="46" t="n">
        <x:f>J37*'Entradas'!$B$26</x:f>
        <x:v>542.6</x:v>
      </x:c>
      <x:c r="L37" s="45" t="n">
        <x:f>MOD(H37,4)/2</x:f>
        <x:v>0</x:v>
      </x:c>
      <x:c r="M37" s="46" t="n">
        <x:f>L37*'Entradas'!$B$27</x:f>
        <x:v>0</x:v>
      </x:c>
      <x:c r="N37" s="45" t="n">
        <x:f>IF(C37&lt;=19,3*C37,IF(C37&lt;=50,ROUNDUP(2.5*C37,0),2*C37))</x:f>
        <x:v>45</x:v>
      </x:c>
      <x:c r="O37" s="46" t="n">
        <x:f>2*N37*'Entradas'!$B$28</x:f>
        <x:v>528.3</x:v>
      </x:c>
      <x:c r="P37" s="45" t="n">
        <x:f>'Entradas'!F71*IF(B37="Micro",4,VLOOKUP('Entradas'!E71,'Entradas'!$F$24:$H$27,3,FALSE))</x:f>
        <x:v>16</x:v>
      </x:c>
      <x:c r="Q37" s="46" t="n">
        <x:f>P37*'Entradas'!$B$29</x:f>
        <x:v>192</x:v>
      </x:c>
      <x:c r="R37" s="46" t="n">
        <x:f>SUM(E37:G37,I37,K37,M37,O37,Q37)</x:f>
        <x:v>14003.099999999999</x:v>
      </x:c>
      <x:c r="S37" s="46" t="n">
        <x:f>IF(R37&lt;'Entradas'!$B$35,MAX('Entradas'!$B$32,R37*'Entradas'!$B$33),R37*'Entradas'!$B$34)</x:f>
        <x:v>539.0353313999999</x:v>
      </x:c>
      <x:c r="T37" s="47" t="n">
        <x:f>ROUND(SUM(R37:S37),2)</x:f>
        <x:v>14542.14</x:v>
      </x:c>
      <x:c r="U37" s="2"/>
      <x:c r="V37" s="2"/>
      <x:c r="W37" s="2"/>
      <x:c r="X37" s="2"/>
    </x:row>
    <x:row r="38" ht="23" customHeight="1">
      <x:c r="A38" s="43" t="str">
        <x:f>'Entradas'!A72</x:f>
        <x:v>MIC-16</x:v>
      </x:c>
      <x:c r="B38" s="43" t="str">
        <x:f>'Entradas'!B72</x:f>
        <x:v>Micro</x:v>
      </x:c>
      <x:c r="C38" s="43" t="n">
        <x:f>'Entradas'!C72</x:f>
        <x:v>16</x:v>
      </x:c>
      <x:c r="D38" s="43" t="n">
        <x:f>'Entradas'!D72</x:f>
        <x:v>9.92</x:v>
      </x:c>
      <x:c r="E38" s="44" t="n">
        <x:f>C38*'Entradas'!$B$24</x:f>
        <x:v>8768</x:v>
      </x:c>
      <x:c r="F38" s="44" t="n">
        <x:f>'Entradas'!F72*IF(B38="Micro",'Entradas'!$B$30,VLOOKUP('Entradas'!E72,'Entradas'!$F$24:$H$27,2,FALSE))</x:f>
        <x:v>3769.96</x:v>
      </x:c>
      <x:c r="G38" s="44" t="n">
        <x:f>IF(B38="Micro",'Entradas'!F72*'Entradas'!$B$31,0)</x:f>
        <x:v>36</x:v>
      </x:c>
      <x:c r="H38" s="45" t="n">
        <x:f>2*ROUNDUP(C38/2,0)</x:f>
        <x:v>16</x:v>
      </x:c>
      <x:c r="I38" s="46" t="n">
        <x:f>H38*'Entradas'!$B$25</x:f>
        <x:v>714.24</x:v>
      </x:c>
      <x:c r="J38" s="45" t="n">
        <x:f>INT(H38/4)</x:f>
        <x:v>4</x:v>
      </x:c>
      <x:c r="K38" s="46" t="n">
        <x:f>J38*'Entradas'!$B$26</x:f>
        <x:v>542.6</x:v>
      </x:c>
      <x:c r="L38" s="45" t="n">
        <x:f>MOD(H38,4)/2</x:f>
        <x:v>0</x:v>
      </x:c>
      <x:c r="M38" s="46" t="n">
        <x:f>L38*'Entradas'!$B$27</x:f>
        <x:v>0</x:v>
      </x:c>
      <x:c r="N38" s="45" t="n">
        <x:f>IF(C38&lt;=19,3*C38,IF(C38&lt;=50,ROUNDUP(2.5*C38,0),2*C38))</x:f>
        <x:v>48</x:v>
      </x:c>
      <x:c r="O38" s="46" t="n">
        <x:f>2*N38*'Entradas'!$B$28</x:f>
        <x:v>563.52</x:v>
      </x:c>
      <x:c r="P38" s="45" t="n">
        <x:f>'Entradas'!F72*IF(B38="Micro",4,VLOOKUP('Entradas'!E72,'Entradas'!$F$24:$H$27,3,FALSE))</x:f>
        <x:v>16</x:v>
      </x:c>
      <x:c r="Q38" s="46" t="n">
        <x:f>P38*'Entradas'!$B$29</x:f>
        <x:v>192</x:v>
      </x:c>
      <x:c r="R38" s="46" t="n">
        <x:f>SUM(E38:G38,I38,K38,M38,O38,Q38)</x:f>
        <x:v>14586.32</x:v>
      </x:c>
      <x:c r="S38" s="46" t="n">
        <x:f>IF(R38&lt;'Entradas'!$B$35,MAX('Entradas'!$B$32,R38*'Entradas'!$B$33),R38*'Entradas'!$B$34)</x:f>
        <x:v>561.48580208</x:v>
      </x:c>
      <x:c r="T38" s="47" t="n">
        <x:f>ROUND(SUM(R38:S38),2)</x:f>
        <x:v>15147.81</x:v>
      </x:c>
      <x:c r="U38" s="2"/>
      <x:c r="V38" s="2"/>
      <x:c r="W38" s="2"/>
      <x:c r="X38" s="2"/>
    </x:row>
    <x:row r="39" ht="23" customHeight="1">
      <x:c r="A39" s="43" t="str">
        <x:f>'Entradas'!A73</x:f>
        <x:v>MIC-17</x:v>
      </x:c>
      <x:c r="B39" s="43" t="str">
        <x:f>'Entradas'!B73</x:f>
        <x:v>Micro</x:v>
      </x:c>
      <x:c r="C39" s="43" t="n">
        <x:f>'Entradas'!C73</x:f>
        <x:v>17</x:v>
      </x:c>
      <x:c r="D39" s="43" t="n">
        <x:f>'Entradas'!D73</x:f>
        <x:v>10.54</x:v>
      </x:c>
      <x:c r="E39" s="44" t="n">
        <x:f>C39*'Entradas'!$B$24</x:f>
        <x:v>9316</x:v>
      </x:c>
      <x:c r="F39" s="44" t="n">
        <x:f>'Entradas'!F73*IF(B39="Micro",'Entradas'!$B$30,VLOOKUP('Entradas'!E73,'Entradas'!$F$24:$H$27,2,FALSE))</x:f>
        <x:v>4712.45</x:v>
      </x:c>
      <x:c r="G39" s="44" t="n">
        <x:f>IF(B39="Micro",'Entradas'!F73*'Entradas'!$B$31,0)</x:f>
        <x:v>45</x:v>
      </x:c>
      <x:c r="H39" s="45" t="n">
        <x:f>2*ROUNDUP(C39/2,0)</x:f>
        <x:v>18</x:v>
      </x:c>
      <x:c r="I39" s="46" t="n">
        <x:f>H39*'Entradas'!$B$25</x:f>
        <x:v>803.52</x:v>
      </x:c>
      <x:c r="J39" s="45" t="n">
        <x:f>INT(H39/4)</x:f>
        <x:v>4</x:v>
      </x:c>
      <x:c r="K39" s="46" t="n">
        <x:f>J39*'Entradas'!$B$26</x:f>
        <x:v>542.6</x:v>
      </x:c>
      <x:c r="L39" s="45" t="n">
        <x:f>MOD(H39,4)/2</x:f>
        <x:v>1</x:v>
      </x:c>
      <x:c r="M39" s="46" t="n">
        <x:f>L39*'Entradas'!$B$27</x:f>
        <x:v>72.72</x:v>
      </x:c>
      <x:c r="N39" s="45" t="n">
        <x:f>IF(C39&lt;=19,3*C39,IF(C39&lt;=50,ROUNDUP(2.5*C39,0),2*C39))</x:f>
        <x:v>51</x:v>
      </x:c>
      <x:c r="O39" s="46" t="n">
        <x:f>2*N39*'Entradas'!$B$28</x:f>
        <x:v>598.74</x:v>
      </x:c>
      <x:c r="P39" s="45" t="n">
        <x:f>'Entradas'!F73*IF(B39="Micro",4,VLOOKUP('Entradas'!E73,'Entradas'!$F$24:$H$27,3,FALSE))</x:f>
        <x:v>20</x:v>
      </x:c>
      <x:c r="Q39" s="46" t="n">
        <x:f>P39*'Entradas'!$B$29</x:f>
        <x:v>240</x:v>
      </x:c>
      <x:c r="R39" s="46" t="n">
        <x:f>SUM(E39:G39,I39,K39,M39,O39,Q39)</x:f>
        <x:v>16331.03</x:v>
      </x:c>
      <x:c r="S39" s="46" t="n">
        <x:f>IF(R39&lt;'Entradas'!$B$35,MAX('Entradas'!$B$32,R39*'Entradas'!$B$33),R39*'Entradas'!$B$34)</x:f>
        <x:v>628.6466688200001</x:v>
      </x:c>
      <x:c r="T39" s="47" t="n">
        <x:f>ROUND(SUM(R39:S39),2)</x:f>
        <x:v>16959.68</x:v>
      </x:c>
      <x:c r="U39" s="2"/>
      <x:c r="V39" s="2"/>
      <x:c r="W39" s="2"/>
      <x:c r="X39" s="2"/>
    </x:row>
    <x:row r="40" ht="23" customHeight="1">
      <x:c r="A40" s="43" t="str">
        <x:f>'Entradas'!A74</x:f>
        <x:v>MIC-18</x:v>
      </x:c>
      <x:c r="B40" s="43" t="str">
        <x:f>'Entradas'!B74</x:f>
        <x:v>Micro</x:v>
      </x:c>
      <x:c r="C40" s="43" t="n">
        <x:f>'Entradas'!C74</x:f>
        <x:v>18</x:v>
      </x:c>
      <x:c r="D40" s="43" t="n">
        <x:f>'Entradas'!D74</x:f>
        <x:v>11.16</x:v>
      </x:c>
      <x:c r="E40" s="44" t="n">
        <x:f>C40*'Entradas'!$B$24</x:f>
        <x:v>9864</x:v>
      </x:c>
      <x:c r="F40" s="44" t="n">
        <x:f>'Entradas'!F74*IF(B40="Micro",'Entradas'!$B$30,VLOOKUP('Entradas'!E74,'Entradas'!$F$24:$H$27,2,FALSE))</x:f>
        <x:v>4712.45</x:v>
      </x:c>
      <x:c r="G40" s="44" t="n">
        <x:f>IF(B40="Micro",'Entradas'!F74*'Entradas'!$B$31,0)</x:f>
        <x:v>45</x:v>
      </x:c>
      <x:c r="H40" s="45" t="n">
        <x:f>2*ROUNDUP(C40/2,0)</x:f>
        <x:v>18</x:v>
      </x:c>
      <x:c r="I40" s="46" t="n">
        <x:f>H40*'Entradas'!$B$25</x:f>
        <x:v>803.52</x:v>
      </x:c>
      <x:c r="J40" s="45" t="n">
        <x:f>INT(H40/4)</x:f>
        <x:v>4</x:v>
      </x:c>
      <x:c r="K40" s="46" t="n">
        <x:f>J40*'Entradas'!$B$26</x:f>
        <x:v>542.6</x:v>
      </x:c>
      <x:c r="L40" s="45" t="n">
        <x:f>MOD(H40,4)/2</x:f>
        <x:v>1</x:v>
      </x:c>
      <x:c r="M40" s="46" t="n">
        <x:f>L40*'Entradas'!$B$27</x:f>
        <x:v>72.72</x:v>
      </x:c>
      <x:c r="N40" s="45" t="n">
        <x:f>IF(C40&lt;=19,3*C40,IF(C40&lt;=50,ROUNDUP(2.5*C40,0),2*C40))</x:f>
        <x:v>54</x:v>
      </x:c>
      <x:c r="O40" s="46" t="n">
        <x:f>2*N40*'Entradas'!$B$28</x:f>
        <x:v>633.96</x:v>
      </x:c>
      <x:c r="P40" s="45" t="n">
        <x:f>'Entradas'!F74*IF(B40="Micro",4,VLOOKUP('Entradas'!E74,'Entradas'!$F$24:$H$27,3,FALSE))</x:f>
        <x:v>20</x:v>
      </x:c>
      <x:c r="Q40" s="46" t="n">
        <x:f>P40*'Entradas'!$B$29</x:f>
        <x:v>240</x:v>
      </x:c>
      <x:c r="R40" s="46" t="n">
        <x:f>SUM(E40:G40,I40,K40,M40,O40,Q40)</x:f>
        <x:v>16914.25</x:v>
      </x:c>
      <x:c r="S40" s="46" t="n">
        <x:f>IF(R40&lt;'Entradas'!$B$35,MAX('Entradas'!$B$32,R40*'Entradas'!$B$33),R40*'Entradas'!$B$34)</x:f>
        <x:v>651.0971395</x:v>
      </x:c>
      <x:c r="T40" s="47" t="n">
        <x:f>ROUND(SUM(R40:S40),2)</x:f>
        <x:v>17565.35</x:v>
      </x:c>
      <x:c r="U40" s="2"/>
      <x:c r="V40" s="2"/>
      <x:c r="W40" s="2"/>
      <x:c r="X40" s="2"/>
    </x:row>
    <x:row r="41" ht="23" customHeight="1">
      <x:c r="A41" s="43" t="str">
        <x:f>'Entradas'!A75</x:f>
        <x:v>MIC-19</x:v>
      </x:c>
      <x:c r="B41" s="43" t="str">
        <x:f>'Entradas'!B75</x:f>
        <x:v>Micro</x:v>
      </x:c>
      <x:c r="C41" s="43" t="n">
        <x:f>'Entradas'!C75</x:f>
        <x:v>19</x:v>
      </x:c>
      <x:c r="D41" s="43" t="n">
        <x:f>'Entradas'!D75</x:f>
        <x:v>11.78</x:v>
      </x:c>
      <x:c r="E41" s="44" t="n">
        <x:f>C41*'Entradas'!$B$24</x:f>
        <x:v>10412</x:v>
      </x:c>
      <x:c r="F41" s="44" t="n">
        <x:f>'Entradas'!F75*IF(B41="Micro",'Entradas'!$B$30,VLOOKUP('Entradas'!E75,'Entradas'!$F$24:$H$27,2,FALSE))</x:f>
        <x:v>4712.45</x:v>
      </x:c>
      <x:c r="G41" s="44" t="n">
        <x:f>IF(B41="Micro",'Entradas'!F75*'Entradas'!$B$31,0)</x:f>
        <x:v>45</x:v>
      </x:c>
      <x:c r="H41" s="45" t="n">
        <x:f>2*ROUNDUP(C41/2,0)</x:f>
        <x:v>20</x:v>
      </x:c>
      <x:c r="I41" s="46" t="n">
        <x:f>H41*'Entradas'!$B$25</x:f>
        <x:v>892.8</x:v>
      </x:c>
      <x:c r="J41" s="45" t="n">
        <x:f>INT(H41/4)</x:f>
        <x:v>5</x:v>
      </x:c>
      <x:c r="K41" s="46" t="n">
        <x:f>J41*'Entradas'!$B$26</x:f>
        <x:v>678.25</x:v>
      </x:c>
      <x:c r="L41" s="45" t="n">
        <x:f>MOD(H41,4)/2</x:f>
        <x:v>0</x:v>
      </x:c>
      <x:c r="M41" s="46" t="n">
        <x:f>L41*'Entradas'!$B$27</x:f>
        <x:v>0</x:v>
      </x:c>
      <x:c r="N41" s="45" t="n">
        <x:f>IF(C41&lt;=19,3*C41,IF(C41&lt;=50,ROUNDUP(2.5*C41,0),2*C41))</x:f>
        <x:v>57</x:v>
      </x:c>
      <x:c r="O41" s="46" t="n">
        <x:f>2*N41*'Entradas'!$B$28</x:f>
        <x:v>669.1800000000001</x:v>
      </x:c>
      <x:c r="P41" s="45" t="n">
        <x:f>'Entradas'!F75*IF(B41="Micro",4,VLOOKUP('Entradas'!E75,'Entradas'!$F$24:$H$27,3,FALSE))</x:f>
        <x:v>20</x:v>
      </x:c>
      <x:c r="Q41" s="46" t="n">
        <x:f>P41*'Entradas'!$B$29</x:f>
        <x:v>240</x:v>
      </x:c>
      <x:c r="R41" s="46" t="n">
        <x:f>SUM(E41:G41,I41,K41,M41,O41,Q41)</x:f>
        <x:v>17649.68</x:v>
      </x:c>
      <x:c r="S41" s="46" t="n">
        <x:f>IF(R41&lt;'Entradas'!$B$35,MAX('Entradas'!$B$32,R41*'Entradas'!$B$33),R41*'Entradas'!$B$34)</x:f>
        <x:v>679.4067819200001</x:v>
      </x:c>
      <x:c r="T41" s="47" t="n">
        <x:f>ROUND(SUM(R41:S41),2)</x:f>
        <x:v>18329.09</x:v>
      </x:c>
      <x:c r="U41" s="2"/>
      <x:c r="V41" s="2"/>
      <x:c r="W41" s="2"/>
      <x:c r="X41" s="2"/>
    </x:row>
    <x:row r="42" ht="23" customHeight="1">
      <x:c r="A42" s="48" t="str">
        <x:f>'Entradas'!A76</x:f>
        <x:v>MIC-20</x:v>
      </x:c>
      <x:c r="B42" s="48" t="str">
        <x:f>'Entradas'!B76</x:f>
        <x:v>Micro</x:v>
      </x:c>
      <x:c r="C42" s="48" t="n">
        <x:f>'Entradas'!C76</x:f>
        <x:v>20</x:v>
      </x:c>
      <x:c r="D42" s="48" t="n">
        <x:f>'Entradas'!D76</x:f>
        <x:v>12.4</x:v>
      </x:c>
      <x:c r="E42" s="49" t="n">
        <x:f>C42*'Entradas'!$B$24</x:f>
        <x:v>10960</x:v>
      </x:c>
      <x:c r="F42" s="49" t="n">
        <x:f>'Entradas'!F76*IF(B42="Micro",'Entradas'!$B$30,VLOOKUP('Entradas'!E76,'Entradas'!$F$24:$H$27,2,FALSE))</x:f>
        <x:v>4712.45</x:v>
      </x:c>
      <x:c r="G42" s="49" t="n">
        <x:f>IF(B42="Micro",'Entradas'!F76*'Entradas'!$B$31,0)</x:f>
        <x:v>45</x:v>
      </x:c>
      <x:c r="H42" s="50" t="n">
        <x:f>2*ROUNDUP(C42/2,0)</x:f>
        <x:v>20</x:v>
      </x:c>
      <x:c r="I42" s="51" t="n">
        <x:f>H42*'Entradas'!$B$25</x:f>
        <x:v>892.8</x:v>
      </x:c>
      <x:c r="J42" s="50" t="n">
        <x:f>INT(H42/4)</x:f>
        <x:v>5</x:v>
      </x:c>
      <x:c r="K42" s="51" t="n">
        <x:f>J42*'Entradas'!$B$26</x:f>
        <x:v>678.25</x:v>
      </x:c>
      <x:c r="L42" s="50" t="n">
        <x:f>MOD(H42,4)/2</x:f>
        <x:v>0</x:v>
      </x:c>
      <x:c r="M42" s="51" t="n">
        <x:f>L42*'Entradas'!$B$27</x:f>
        <x:v>0</x:v>
      </x:c>
      <x:c r="N42" s="50" t="n">
        <x:f>IF(C42&lt;=19,3*C42,IF(C42&lt;=50,ROUNDUP(2.5*C42,0),2*C42))</x:f>
        <x:v>50</x:v>
      </x:c>
      <x:c r="O42" s="51" t="n">
        <x:f>2*N42*'Entradas'!$B$28</x:f>
        <x:v>587</x:v>
      </x:c>
      <x:c r="P42" s="50" t="n">
        <x:f>'Entradas'!F76*IF(B42="Micro",4,VLOOKUP('Entradas'!E76,'Entradas'!$F$24:$H$27,3,FALSE))</x:f>
        <x:v>20</x:v>
      </x:c>
      <x:c r="Q42" s="51" t="n">
        <x:f>P42*'Entradas'!$B$29</x:f>
        <x:v>240</x:v>
      </x:c>
      <x:c r="R42" s="51" t="n">
        <x:f>SUM(E42:G42,I42,K42,M42,O42,Q42)</x:f>
        <x:v>18115.5</x:v>
      </x:c>
      <x:c r="S42" s="51" t="n">
        <x:f>IF(R42&lt;'Entradas'!$B$35,MAX('Entradas'!$B$32,R42*'Entradas'!$B$33),R42*'Entradas'!$B$34)</x:f>
        <x:v>697.338057</x:v>
      </x:c>
      <x:c r="T42" s="52" t="n">
        <x:f>ROUND(SUM(R42:S42),2)</x:f>
        <x:v>18812.84</x:v>
      </x:c>
      <x:c r="U42" s="2"/>
      <x:c r="V42" s="2"/>
      <x:c r="W42" s="2"/>
      <x:c r="X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</x:row>
    <x:row r="47" ht="48" customHeight="1">
      <x:c r="A47" s="9" t="str">
        <x:v>Kit</x:v>
      </x:c>
      <x:c r="B47" s="9" t="str">
        <x:v>Kit + frete</x:v>
      </x:c>
      <x:c r="C47" s="9" t="str">
        <x:v>Instalação</x:v>
      </x:c>
      <x:c r="D47" s="9" t="str">
        <x:v>Reserva elétrica</x:v>
      </x:c>
      <x:c r="E47" s="9" t="str">
        <x:v>ART</x:v>
      </x:c>
      <x:c r="F47" s="9" t="str">
        <x:v>Placas</x:v>
      </x:c>
      <x:c r="G47" s="9" t="str">
        <x:v>Projeto Rede</x:v>
      </x:c>
      <x:c r="H47" s="9" t="str">
        <x:v>Outras despesas</x:v>
      </x:c>
      <x:c r="I47" s="9" t="str">
        <x:v>Serviços + reserva</x:v>
      </x:c>
      <x:c r="J47" s="9" t="str">
        <x:v>Preço analítico</x:v>
      </x:c>
      <x:c r="K47" s="9" t="str">
        <x:v>Preço por custos</x:v>
      </x:c>
      <x:c r="L47" s="9" t="str">
        <x:v>Promocional</x:v>
      </x:c>
      <x:c r="M47" s="9" t="str">
        <x:v>Piso comercial</x:v>
      </x:c>
      <x:c r="N47" s="9" t="str">
        <x:v>Ajuste comercial</x:v>
      </x:c>
      <x:c r="O47" s="9" t="str">
        <x:v>Preço final</x:v>
      </x:c>
      <x:c r="P47" s="9" t="str">
        <x:v>Imposto final</x:v>
      </x:c>
      <x:c r="Q47" s="9" t="str">
        <x:v>Comissão final</x:v>
      </x:c>
      <x:c r="R47" s="9" t="str">
        <x:v>Contrato final</x:v>
      </x:c>
      <x:c r="S47" s="9" t="str">
        <x:v>Lucro final</x:v>
      </x:c>
      <x:c r="T47" s="9" t="str">
        <x:v>Margem final</x:v>
      </x:c>
      <x:c r="U47" s="9" t="str">
        <x:v>Margem no promo</x:v>
      </x:c>
      <x:c r="V47" s="9" t="str">
        <x:v>Tarifa para piso R$/kWp</x:v>
      </x:c>
      <x:c r="W47" s="9" t="str">
        <x:v>Residual da calibração</x:v>
      </x:c>
      <x:c r="X47" s="9" t="str">
        <x:v>kWp / preço</x:v>
      </x:c>
    </x:row>
    <x:row r="48" ht="23" customHeight="1">
      <x:c r="A48" s="22" t="str">
        <x:f>A10</x:f>
        <x:v>INV-05</x:v>
      </x:c>
      <x:c r="B48" s="41" t="n">
        <x:f>T10</x:f>
        <x:v>5203.31</x:v>
      </x:c>
      <x:c r="C48" s="41" t="n">
        <x:f>ROUND(C10*'Entradas'!$B$8,2)</x:f>
        <x:v>350</x:v>
      </x:c>
      <x:c r="D48" s="41" t="n">
        <x:f>ROUND(D10*'Entradas'!$B$9,2)</x:f>
        <x:v>149.54</x:v>
      </x:c>
      <x:c r="E48" s="41" t="n">
        <x:f>'Entradas'!$B$10</x:f>
        <x:v>110</x:v>
      </x:c>
      <x:c r="F48" s="41" t="n">
        <x:f>'Entradas'!$B$11</x:f>
        <x:v>30</x:v>
      </x:c>
      <x:c r="G48" s="41" t="n">
        <x:f>'Entradas'!$B$12</x:f>
        <x:v>0</x:v>
      </x:c>
      <x:c r="H48" s="41" t="n">
        <x:f>'Entradas'!$B$13</x:f>
        <x:v>0</x:v>
      </x:c>
      <x:c r="I48" s="41" t="n">
        <x:f>SUM(C48:H48)</x:f>
        <x:v>639.54</x:v>
      </x:c>
      <x:c r="J48" s="41" t="n">
        <x:f>IF('Entradas'!$B$18="OK",(B48*(1-'Entradas'!$B$6)+I48)/(1-'Entradas'!$B$6-'Entradas'!$B$7-'Entradas'!$B$14-'Entradas'!$B$15),NA())</x:f>
        <x:v>9118.849145907474</x:v>
      </x:c>
      <x:c r="K48" s="41" t="n">
        <x:f>ROUNDUP(J48,2)</x:f>
        <x:v>9118.85</x:v>
      </x:c>
      <x:c r="L48" s="41" t="n">
        <x:f>'Entradas'!G44</x:f>
        <x:v>8997</x:v>
      </x:c>
      <x:c r="M48" s="41" t="n">
        <x:f>ROUNDUP(L48*(1+'Entradas'!$B$16),2)</x:f>
        <x:v>8997</x:v>
      </x:c>
      <x:c r="N48" s="41" t="n">
        <x:f>MAX(0,M48-K48)</x:f>
        <x:v>0</x:v>
      </x:c>
      <x:c r="O48" s="42" t="n">
        <x:f>SUM(K48,N48)</x:f>
        <x:v>9118.85</x:v>
      </x:c>
      <x:c r="P48" s="41" t="n">
        <x:f>MAX(0,O48-B48)*'Entradas'!$B$6</x:f>
        <x:v>540.34452</x:v>
      </x:c>
      <x:c r="Q48" s="41" t="n">
        <x:f>O48*'Entradas'!$B$7</x:f>
        <x:v>729.508</x:v>
      </x:c>
      <x:c r="R48" s="41" t="n">
        <x:f>O48*'Entradas'!$B$14</x:f>
        <x:v>0</x:v>
      </x:c>
      <x:c r="S48" s="41" t="n">
        <x:f>O48-B48-I48-SUM(P48:R48)</x:f>
        <x:v>2006.14748</x:v>
      </x:c>
      <x:c r="T48" s="56" t="n">
        <x:f>S48/O48</x:f>
        <x:v>0.22000005263821645</x:v>
      </x:c>
      <x:c r="U48" s="56" t="n">
        <x:f>(L48-B48-I48-MAX(0,L48-B48)*'Entradas'!$B$6-L48*('Entradas'!$B$7+'Entradas'!$B$14))/L48</x:f>
        <x:v>0.21238866066466597</x:v>
      </x:c>
      <x:c r="V48" s="41" t="n">
        <x:f>MAX(0,(M48*(1-'Entradas'!$B$6-'Entradas'!$B$7-'Entradas'!$B$14-'Entradas'!$B$15)-B48*(1-'Entradas'!$B$6)-(I48-D48))/D10)</x:f>
        <x:v>26.148638709677353</x:v>
      </x:c>
      <x:c r="W48" s="57" t="n">
        <x:f>(L48-B48-(I48-D48)-MAX(0,L48-B48)*'Entradas'!$B$6-L48*('Entradas'!$B$7+'Entradas'!$B$14))/L48-'Entradas'!$B$17</x:f>
        <x:v>0.03400975658552849</x:v>
      </x:c>
      <x:c r="X48" s="57" t="n">
        <x:f>D10/L48</x:f>
        <x:v>0.0003445592975436257</x:v>
      </x:c>
    </x:row>
    <x:row r="49" ht="23" customHeight="1">
      <x:c r="A49" s="26" t="str">
        <x:f>A11</x:f>
        <x:v>INV-06</x:v>
      </x:c>
      <x:c r="B49" s="46" t="n">
        <x:f>T11</x:f>
        <x:v>5786.53</x:v>
      </x:c>
      <x:c r="C49" s="46" t="n">
        <x:f>ROUND(C11*'Entradas'!$B$8,2)</x:f>
        <x:v>420</x:v>
      </x:c>
      <x:c r="D49" s="46" t="n">
        <x:f>ROUND(D11*'Entradas'!$B$9,2)</x:f>
        <x:v>179.45</x:v>
      </x:c>
      <x:c r="E49" s="46" t="n">
        <x:f>'Entradas'!$B$10</x:f>
        <x:v>110</x:v>
      </x:c>
      <x:c r="F49" s="46" t="n">
        <x:f>'Entradas'!$B$11</x:f>
        <x:v>30</x:v>
      </x:c>
      <x:c r="G49" s="46" t="n">
        <x:f>'Entradas'!$B$12</x:f>
        <x:v>0</x:v>
      </x:c>
      <x:c r="H49" s="46" t="n">
        <x:f>'Entradas'!$B$13</x:f>
        <x:v>0</x:v>
      </x:c>
      <x:c r="I49" s="46" t="n">
        <x:f>SUM(C49:H49)</x:f>
        <x:v>739.45</x:v>
      </x:c>
      <x:c r="J49" s="46" t="n">
        <x:f>IF('Entradas'!$B$18="OK",(B49*(1-'Entradas'!$B$6)+I49)/(1-'Entradas'!$B$6-'Entradas'!$B$7-'Entradas'!$B$14-'Entradas'!$B$15),NA())</x:f>
        <x:v>10191.172348754446</x:v>
      </x:c>
      <x:c r="K49" s="46" t="n">
        <x:f>ROUNDUP(J49,2)</x:f>
        <x:v>10191.18</x:v>
      </x:c>
      <x:c r="L49" s="46" t="n">
        <x:f>'Entradas'!G45</x:f>
        <x:v>9897</x:v>
      </x:c>
      <x:c r="M49" s="46" t="n">
        <x:f>ROUNDUP(L49*(1+'Entradas'!$B$16),2)</x:f>
        <x:v>9897</x:v>
      </x:c>
      <x:c r="N49" s="46" t="n">
        <x:f>MAX(0,M49-K49)</x:f>
        <x:v>0</x:v>
      </x:c>
      <x:c r="O49" s="47" t="n">
        <x:f>SUM(K49,N49)</x:f>
        <x:v>10191.18</x:v>
      </x:c>
      <x:c r="P49" s="46" t="n">
        <x:f>MAX(0,O49-B49)*'Entradas'!$B$6</x:f>
        <x:v>607.8417000000002</x:v>
      </x:c>
      <x:c r="Q49" s="46" t="n">
        <x:f>O49*'Entradas'!$B$7</x:f>
        <x:v>815.2944</x:v>
      </x:c>
      <x:c r="R49" s="46" t="n">
        <x:f>O49*'Entradas'!$B$14</x:f>
        <x:v>0</x:v>
      </x:c>
      <x:c r="S49" s="46" t="n">
        <x:f>O49-B49-I49-SUM(P49:R49)</x:f>
        <x:v>2242.0639000000006</x:v>
      </x:c>
      <x:c r="T49" s="58" t="n">
        <x:f>S49/O49</x:f>
        <x:v>0.22000042193347585</x:v>
      </x:c>
      <x:c r="U49" s="58" t="n">
        <x:f>(L49-B49-I49-MAX(0,L49-B49)*'Entradas'!$B$6-L49*('Entradas'!$B$7+'Entradas'!$B$14))/L49</x:f>
        <x:v>0.20329545720925535</x:v>
      </x:c>
      <x:c r="V49" s="46" t="n">
        <x:f>MAX(0,(M49*(1-'Entradas'!$B$6-'Entradas'!$B$7-'Entradas'!$B$14-'Entradas'!$B$15)-B49*(1-'Entradas'!$B$6)-(I49-D49))/D11)</x:f>
        <x:v>3.7970806451615617</x:v>
      </x:c>
      <x:c r="W49" s="59" t="n">
        <x:f>(L49-B49-(I49-D49)-MAX(0,L49-B49)*'Entradas'!$B$6-L49*('Entradas'!$B$7+'Entradas'!$B$14))/L49-'Entradas'!$B$17</x:f>
        <x:v>0.026427214307365887</x:v>
      </x:c>
      <x:c r="X49" s="59" t="n">
        <x:f>D11/L49</x:f>
        <x:v>0.0003758714762049106</x:v>
      </x:c>
    </x:row>
    <x:row r="50" ht="23" customHeight="1">
      <x:c r="A50" s="26" t="str">
        <x:f>A12</x:f>
        <x:v>INV-07</x:v>
      </x:c>
      <x:c r="B50" s="46" t="n">
        <x:f>T12</x:f>
        <x:v>6521.96</x:v>
      </x:c>
      <x:c r="C50" s="46" t="n">
        <x:f>ROUND(C12*'Entradas'!$B$8,2)</x:f>
        <x:v>490</x:v>
      </x:c>
      <x:c r="D50" s="46" t="n">
        <x:f>ROUND(D12*'Entradas'!$B$9,2)</x:f>
        <x:v>209.36</x:v>
      </x:c>
      <x:c r="E50" s="46" t="n">
        <x:f>'Entradas'!$B$10</x:f>
        <x:v>110</x:v>
      </x:c>
      <x:c r="F50" s="46" t="n">
        <x:f>'Entradas'!$B$11</x:f>
        <x:v>30</x:v>
      </x:c>
      <x:c r="G50" s="46" t="n">
        <x:f>'Entradas'!$B$12</x:f>
        <x:v>0</x:v>
      </x:c>
      <x:c r="H50" s="46" t="n">
        <x:f>'Entradas'!$B$13</x:f>
        <x:v>0</x:v>
      </x:c>
      <x:c r="I50" s="46" t="n">
        <x:f>SUM(C50:H50)</x:f>
        <x:v>839.36</x:v>
      </x:c>
      <x:c r="J50" s="46" t="n">
        <x:f>IF('Entradas'!$B$18="OK",(B50*(1-'Entradas'!$B$6)+I50)/(1-'Entradas'!$B$6-'Entradas'!$B$7-'Entradas'!$B$14-'Entradas'!$B$15),NA())</x:f>
        <x:v>11496.956441281136</x:v>
      </x:c>
      <x:c r="K50" s="46" t="n">
        <x:f>ROUNDUP(J50,2)</x:f>
        <x:v>11496.96</x:v>
      </x:c>
      <x:c r="L50" s="46" t="n">
        <x:f>'Entradas'!G46</x:f>
        <x:v>10897</x:v>
      </x:c>
      <x:c r="M50" s="46" t="n">
        <x:f>ROUNDUP(L50*(1+'Entradas'!$B$16),2)</x:f>
        <x:v>10897</x:v>
      </x:c>
      <x:c r="N50" s="46" t="n">
        <x:f>MAX(0,M50-K50)</x:f>
        <x:v>0</x:v>
      </x:c>
      <x:c r="O50" s="47" t="n">
        <x:f>SUM(K50,N50)</x:f>
        <x:v>11496.96</x:v>
      </x:c>
      <x:c r="P50" s="46" t="n">
        <x:f>MAX(0,O50-B50)*'Entradas'!$B$6</x:f>
        <x:v>686.55</x:v>
      </x:c>
      <x:c r="Q50" s="46" t="n">
        <x:f>O50*'Entradas'!$B$7</x:f>
        <x:v>919.7568</x:v>
      </x:c>
      <x:c r="R50" s="46" t="n">
        <x:f>O50*'Entradas'!$B$14</x:f>
        <x:v>0</x:v>
      </x:c>
      <x:c r="S50" s="46" t="n">
        <x:f>O50-B50-I50-SUM(P50:R50)</x:f>
        <x:v>2529.3331999999996</x:v>
      </x:c>
      <x:c r="T50" s="58" t="n">
        <x:f>S50/O50</x:f>
        <x:v>0.22000017395902915</x:v>
      </x:c>
      <x:c r="U50" s="58" t="n">
        <x:f>(L50-B50-I50-MAX(0,L50-B50)*'Entradas'!$B$6-L50*('Entradas'!$B$7+'Entradas'!$B$14))/L50</x:f>
        <x:v>0.1890579498944663</x:v>
      </x:c>
      <x:c r="V50" s="46" t="n">
        <x:f>MAX(0,(M50*(1-'Entradas'!$B$6-'Entradas'!$B$7-'Entradas'!$B$14-'Entradas'!$B$15)-B50*(1-'Entradas'!$B$6)-(I50-D50))/D12)</x:f>
        <x:v>0</x:v>
      </x:c>
      <x:c r="W50" s="59" t="n">
        <x:f>(L50-B50-(I50-D50)-MAX(0,L50-B50)*'Entradas'!$B$6-L50*('Entradas'!$B$7+'Entradas'!$B$14))/L50-'Entradas'!$B$17</x:f>
        <x:v>0.013270577223088914</x:v>
      </x:c>
      <x:c r="X50" s="59" t="n">
        <x:f>D12/L50</x:f>
        <x:v>0.00039827475451959253</x:v>
      </x:c>
    </x:row>
    <x:row r="51" ht="23" customHeight="1">
      <x:c r="A51" s="26" t="str">
        <x:f>A13</x:f>
        <x:v>INV-08</x:v>
      </x:c>
      <x:c r="B51" s="46" t="n">
        <x:f>T13</x:f>
        <x:v>7105.18</x:v>
      </x:c>
      <x:c r="C51" s="46" t="n">
        <x:f>ROUND(C13*'Entradas'!$B$8,2)</x:f>
        <x:v>560</x:v>
      </x:c>
      <x:c r="D51" s="46" t="n">
        <x:f>ROUND(D13*'Entradas'!$B$9,2)</x:f>
        <x:v>239.27</x:v>
      </x:c>
      <x:c r="E51" s="46" t="n">
        <x:f>'Entradas'!$B$10</x:f>
        <x:v>110</x:v>
      </x:c>
      <x:c r="F51" s="46" t="n">
        <x:f>'Entradas'!$B$11</x:f>
        <x:v>30</x:v>
      </x:c>
      <x:c r="G51" s="46" t="n">
        <x:f>'Entradas'!$B$12</x:f>
        <x:v>0</x:v>
      </x:c>
      <x:c r="H51" s="46" t="n">
        <x:f>'Entradas'!$B$13</x:f>
        <x:v>0</x:v>
      </x:c>
      <x:c r="I51" s="46" t="n">
        <x:f>SUM(C51:H51)</x:f>
        <x:v>939.27</x:v>
      </x:c>
      <x:c r="J51" s="46" t="n">
        <x:f>IF('Entradas'!$B$18="OK",(B51*(1-'Entradas'!$B$6)+I51)/(1-'Entradas'!$B$6-'Entradas'!$B$7-'Entradas'!$B$14-'Entradas'!$B$15),NA())</x:f>
        <x:v>12569.279644128113</x:v>
      </x:c>
      <x:c r="K51" s="46" t="n">
        <x:f>ROUNDUP(J51,2)</x:f>
        <x:v>12569.28</x:v>
      </x:c>
      <x:c r="L51" s="46" t="n">
        <x:f>'Entradas'!G47</x:f>
        <x:v>11897</x:v>
      </x:c>
      <x:c r="M51" s="46" t="n">
        <x:f>ROUNDUP(L51*(1+'Entradas'!$B$16),2)</x:f>
        <x:v>11897</x:v>
      </x:c>
      <x:c r="N51" s="46" t="n">
        <x:f>MAX(0,M51-K51)</x:f>
        <x:v>0</x:v>
      </x:c>
      <x:c r="O51" s="47" t="n">
        <x:f>SUM(K51,N51)</x:f>
        <x:v>12569.28</x:v>
      </x:c>
      <x:c r="P51" s="46" t="n">
        <x:f>MAX(0,O51-B51)*'Entradas'!$B$6</x:f>
        <x:v>754.0458000000001</x:v>
      </x:c>
      <x:c r="Q51" s="46" t="n">
        <x:f>O51*'Entradas'!$B$7</x:f>
        <x:v>1005.5424</x:v>
      </x:c>
      <x:c r="R51" s="46" t="n">
        <x:f>O51*'Entradas'!$B$14</x:f>
        <x:v>0</x:v>
      </x:c>
      <x:c r="S51" s="46" t="n">
        <x:f>O51-B51-I51-SUM(P51:R51)</x:f>
        <x:v>2765.2418</x:v>
      </x:c>
      <x:c r="T51" s="58" t="n">
        <x:f>S51/O51</x:f>
        <x:v>0.22000001591181034</x:v>
      </x:c>
      <x:c r="U51" s="58" t="n">
        <x:f>(L51-B51-I51-MAX(0,L51-B51)*'Entradas'!$B$6-L51*('Entradas'!$B$7+'Entradas'!$B$14))/L51</x:f>
        <x:v>0.18824231655039084</x:v>
      </x:c>
      <x:c r="V51" s="46" t="n">
        <x:f>MAX(0,(M51*(1-'Entradas'!$B$6-'Entradas'!$B$7-'Entradas'!$B$14-'Entradas'!$B$15)-B51*(1-'Entradas'!$B$6)-(I51-D51))/D13)</x:f>
        <x:v>0</x:v>
      </x:c>
      <x:c r="W51" s="59" t="n">
        <x:f>(L51-B51-(I51-D51)-MAX(0,L51-B51)*'Entradas'!$B$6-L51*('Entradas'!$B$7+'Entradas'!$B$14))/L51-'Entradas'!$B$17</x:f>
        <x:v>0.013354109439354389</x:v>
      </x:c>
      <x:c r="X51" s="59" t="n">
        <x:f>D13/L51</x:f>
        <x:v>0.0004169118265108851</x:v>
      </x:c>
    </x:row>
    <x:row r="52" ht="23" customHeight="1">
      <x:c r="A52" s="26" t="str">
        <x:f>A14</x:f>
        <x:v>INV-09</x:v>
      </x:c>
      <x:c r="B52" s="46" t="n">
        <x:f>T14</x:f>
        <x:v>8053.4</x:v>
      </x:c>
      <x:c r="C52" s="46" t="n">
        <x:f>ROUND(C14*'Entradas'!$B$8,2)</x:f>
        <x:v>630</x:v>
      </x:c>
      <x:c r="D52" s="46" t="n">
        <x:f>ROUND(D14*'Entradas'!$B$9,2)</x:f>
        <x:v>269.18</x:v>
      </x:c>
      <x:c r="E52" s="46" t="n">
        <x:f>'Entradas'!$B$10</x:f>
        <x:v>110</x:v>
      </x:c>
      <x:c r="F52" s="46" t="n">
        <x:f>'Entradas'!$B$11</x:f>
        <x:v>30</x:v>
      </x:c>
      <x:c r="G52" s="46" t="n">
        <x:f>'Entradas'!$B$12</x:f>
        <x:v>0</x:v>
      </x:c>
      <x:c r="H52" s="46" t="n">
        <x:f>'Entradas'!$B$13</x:f>
        <x:v>0</x:v>
      </x:c>
      <x:c r="I52" s="46" t="n">
        <x:f>SUM(C52:H52)</x:f>
        <x:v>1039.18</x:v>
      </x:c>
      <x:c r="J52" s="46" t="n">
        <x:f>IF('Entradas'!$B$18="OK",(B52*(1-'Entradas'!$B$6)+I52)/(1-'Entradas'!$B$6-'Entradas'!$B$7-'Entradas'!$B$14-'Entradas'!$B$15),NA())</x:f>
        <x:v>14201.442704626334</x:v>
      </x:c>
      <x:c r="K52" s="46" t="n">
        <x:f>ROUNDUP(J52,2)</x:f>
        <x:v>14201.45</x:v>
      </x:c>
      <x:c r="L52" s="46" t="n">
        <x:f>'Entradas'!G48</x:f>
        <x:v>13997</x:v>
      </x:c>
      <x:c r="M52" s="46" t="n">
        <x:f>ROUNDUP(L52*(1+'Entradas'!$B$16),2)</x:f>
        <x:v>13997</x:v>
      </x:c>
      <x:c r="N52" s="46" t="n">
        <x:f>MAX(0,M52-K52)</x:f>
        <x:v>0</x:v>
      </x:c>
      <x:c r="O52" s="47" t="n">
        <x:f>SUM(K52,N52)</x:f>
        <x:v>14201.45</x:v>
      </x:c>
      <x:c r="P52" s="46" t="n">
        <x:f>MAX(0,O52-B52)*'Entradas'!$B$6</x:f>
        <x:v>848.4309000000002</x:v>
      </x:c>
      <x:c r="Q52" s="46" t="n">
        <x:f>O52*'Entradas'!$B$7</x:f>
        <x:v>1136.116</x:v>
      </x:c>
      <x:c r="R52" s="46" t="n">
        <x:f>O52*'Entradas'!$B$14</x:f>
        <x:v>0</x:v>
      </x:c>
      <x:c r="S52" s="46" t="n">
        <x:f>O52-B52-I52-SUM(P52:R52)</x:f>
        <x:v>3124.3231000000005</x:v>
      </x:c>
      <x:c r="T52" s="58" t="n">
        <x:f>S52/O52</x:f>
        <x:v>0.22000028870291416</x:v>
      </x:c>
      <x:c r="U52" s="58" t="n">
        <x:f>(L52-B52-I52-MAX(0,L52-B52)*'Entradas'!$B$6-L52*('Entradas'!$B$7+'Entradas'!$B$14))/L52</x:f>
        <x:v>0.21179132671286702</x:v>
      </x:c>
      <x:c r="V52" s="46" t="n">
        <x:f>MAX(0,(M52*(1-'Entradas'!$B$6-'Entradas'!$B$7-'Entradas'!$B$14-'Entradas'!$B$15)-B52*(1-'Entradas'!$B$6)-(I52-D52))/D14)</x:f>
        <x:v>27.64931899641607</x:v>
      </x:c>
      <x:c r="W52" s="59" t="n">
        <x:f>(L52-B52-(I52-D52)-MAX(0,L52-B52)*'Entradas'!$B$6-L52*('Entradas'!$B$7+'Entradas'!$B$14))/L52-'Entradas'!$B$17</x:f>
        <x:v>0.036022590555118944</x:v>
      </x:c>
      <x:c r="X52" s="59" t="n">
        <x:f>D14/L52</x:f>
        <x:v>0.0003986568550403658</x:v>
      </x:c>
    </x:row>
    <x:row r="53" ht="23" customHeight="1">
      <x:c r="A53" s="26" t="str">
        <x:f>A15</x:f>
        <x:v>INV-10</x:v>
      </x:c>
      <x:c r="B53" s="46" t="n">
        <x:f>T15</x:f>
        <x:v>8636.62</x:v>
      </x:c>
      <x:c r="C53" s="46" t="n">
        <x:f>ROUND(C15*'Entradas'!$B$8,2)</x:f>
        <x:v>700</x:v>
      </x:c>
      <x:c r="D53" s="46" t="n">
        <x:f>ROUND(D15*'Entradas'!$B$9,2)</x:f>
        <x:v>299.09</x:v>
      </x:c>
      <x:c r="E53" s="46" t="n">
        <x:f>'Entradas'!$B$10</x:f>
        <x:v>110</x:v>
      </x:c>
      <x:c r="F53" s="46" t="n">
        <x:f>'Entradas'!$B$11</x:f>
        <x:v>30</x:v>
      </x:c>
      <x:c r="G53" s="46" t="n">
        <x:f>'Entradas'!$B$12</x:f>
        <x:v>0</x:v>
      </x:c>
      <x:c r="H53" s="46" t="n">
        <x:f>'Entradas'!$B$13</x:f>
        <x:v>0</x:v>
      </x:c>
      <x:c r="I53" s="46" t="n">
        <x:f>SUM(C53:H53)</x:f>
        <x:v>1139.09</x:v>
      </x:c>
      <x:c r="J53" s="46" t="n">
        <x:f>IF('Entradas'!$B$18="OK",(B53*(1-'Entradas'!$B$6)+I53)/(1-'Entradas'!$B$6-'Entradas'!$B$7-'Entradas'!$B$14-'Entradas'!$B$15),NA())</x:f>
        <x:v>15273.765907473307</x:v>
      </x:c>
      <x:c r="K53" s="46" t="n">
        <x:f>ROUNDUP(J53,2)</x:f>
        <x:v>15273.77</x:v>
      </x:c>
      <x:c r="L53" s="46" t="n">
        <x:f>'Entradas'!G49</x:f>
        <x:v>14997</x:v>
      </x:c>
      <x:c r="M53" s="46" t="n">
        <x:f>ROUNDUP(L53*(1+'Entradas'!$B$16),2)</x:f>
        <x:v>14997</x:v>
      </x:c>
      <x:c r="N53" s="46" t="n">
        <x:f>MAX(0,M53-K53)</x:f>
        <x:v>0</x:v>
      </x:c>
      <x:c r="O53" s="47" t="n">
        <x:f>SUM(K53,N53)</x:f>
        <x:v>15273.77</x:v>
      </x:c>
      <x:c r="P53" s="46" t="n">
        <x:f>MAX(0,O53-B53)*'Entradas'!$B$6</x:f>
        <x:v>915.9267</x:v>
      </x:c>
      <x:c r="Q53" s="46" t="n">
        <x:f>O53*'Entradas'!$B$7</x:f>
        <x:v>1221.9016000000001</x:v>
      </x:c>
      <x:c r="R53" s="46" t="n">
        <x:f>O53*'Entradas'!$B$14</x:f>
        <x:v>0</x:v>
      </x:c>
      <x:c r="S53" s="46" t="n">
        <x:f>O53-B53-I53-SUM(P53:R53)</x:f>
        <x:v>3360.2316999999994</x:v>
      </x:c>
      <x:c r="T53" s="58" t="n">
        <x:f>S53/O53</x:f>
        <x:v>0.22000015058495703</x:v>
      </x:c>
      <x:c r="U53" s="58" t="n">
        <x:f>(L53-B53-I53-MAX(0,L53-B53)*'Entradas'!$B$6-L53*('Entradas'!$B$7+'Entradas'!$B$14))/L53</x:f>
        <x:v>0.20962842968593712</x:v>
      </x:c>
      <x:c r="V53" s="46" t="n">
        <x:f>MAX(0,(M53*(1-'Entradas'!$B$6-'Entradas'!$B$7-'Entradas'!$B$14-'Entradas'!$B$15)-B53*(1-'Entradas'!$B$6)-(I53-D53))/D15)</x:f>
        <x:v>23.15283225806451</x:v>
      </x:c>
      <x:c r="W53" s="59" t="n">
        <x:f>(L53-B53-(I53-D53)-MAX(0,L53-B53)*'Entradas'!$B$6-L53*('Entradas'!$B$7+'Entradas'!$B$14))/L53-'Entradas'!$B$17</x:f>
        <x:v>0.03457175168367002</x:v>
      </x:c>
      <x:c r="X53" s="59" t="n">
        <x:f>D15/L53</x:f>
        <x:v>0.00041341601653664066</x:v>
      </x:c>
    </x:row>
    <x:row r="54" ht="23" customHeight="1">
      <x:c r="A54" s="26" t="str">
        <x:f>A16</x:f>
        <x:v>INV-11</x:v>
      </x:c>
      <x:c r="B54" s="46" t="n">
        <x:f>T16</x:f>
        <x:v>9372.05</x:v>
      </x:c>
      <x:c r="C54" s="46" t="n">
        <x:f>ROUND(C16*'Entradas'!$B$8,2)</x:f>
        <x:v>770</x:v>
      </x:c>
      <x:c r="D54" s="46" t="n">
        <x:f>ROUND(D16*'Entradas'!$B$9,2)</x:f>
        <x:v>329</x:v>
      </x:c>
      <x:c r="E54" s="46" t="n">
        <x:f>'Entradas'!$B$10</x:f>
        <x:v>110</x:v>
      </x:c>
      <x:c r="F54" s="46" t="n">
        <x:f>'Entradas'!$B$11</x:f>
        <x:v>30</x:v>
      </x:c>
      <x:c r="G54" s="46" t="n">
        <x:f>'Entradas'!$B$12</x:f>
        <x:v>0</x:v>
      </x:c>
      <x:c r="H54" s="46" t="n">
        <x:f>'Entradas'!$B$13</x:f>
        <x:v>0</x:v>
      </x:c>
      <x:c r="I54" s="46" t="n">
        <x:f>SUM(C54:H54)</x:f>
        <x:v>1239</x:v>
      </x:c>
      <x:c r="J54" s="46" t="n">
        <x:f>IF('Entradas'!$B$18="OK",(B54*(1-'Entradas'!$B$6)+I54)/(1-'Entradas'!$B$6-'Entradas'!$B$7-'Entradas'!$B$14-'Entradas'!$B$15),NA())</x:f>
        <x:v>16579.55</x:v>
      </x:c>
      <x:c r="K54" s="46" t="n">
        <x:f>ROUNDUP(J54,2)</x:f>
        <x:v>16579.55</x:v>
      </x:c>
      <x:c r="L54" s="46" t="n">
        <x:f>'Entradas'!G50</x:f>
        <x:v>15997</x:v>
      </x:c>
      <x:c r="M54" s="46" t="n">
        <x:f>ROUNDUP(L54*(1+'Entradas'!$B$16),2)</x:f>
        <x:v>15997</x:v>
      </x:c>
      <x:c r="N54" s="46" t="n">
        <x:f>MAX(0,M54-K54)</x:f>
        <x:v>0</x:v>
      </x:c>
      <x:c r="O54" s="47" t="n">
        <x:f>SUM(K54,N54)</x:f>
        <x:v>16579.55</x:v>
      </x:c>
      <x:c r="P54" s="46" t="n">
        <x:f>MAX(0,O54-B54)*'Entradas'!$B$6</x:f>
        <x:v>994.6350000000001</x:v>
      </x:c>
      <x:c r="Q54" s="46" t="n">
        <x:f>O54*'Entradas'!$B$7</x:f>
        <x:v>1326.364</x:v>
      </x:c>
      <x:c r="R54" s="46" t="n">
        <x:f>O54*'Entradas'!$B$14</x:f>
        <x:v>0</x:v>
      </x:c>
      <x:c r="S54" s="46" t="n">
        <x:f>O54-B54-I54-SUM(P54:R54)</x:f>
        <x:v>3647.5009999999997</x:v>
      </x:c>
      <x:c r="T54" s="58" t="n">
        <x:f>S54/O54</x:f>
        <x:v>0.22</x:v>
      </x:c>
      <x:c r="U54" s="58" t="n">
        <x:f>(L54-B54-I54-MAX(0,L54-B54)*'Entradas'!$B$6-L54*('Entradas'!$B$7+'Entradas'!$B$14))/L54</x:f>
        <x:v>0.1995340938926049</x:v>
      </x:c>
      <x:c r="V54" s="46" t="n">
        <x:f>MAX(0,(M54*(1-'Entradas'!$B$6-'Entradas'!$B$7-'Entradas'!$B$14-'Entradas'!$B$15)-B54*(1-'Entradas'!$B$6)-(I54-D54))/D16)</x:f>
        <x:v>0.23561583577722553</x:v>
      </x:c>
      <x:c r="W54" s="59" t="n">
        <x:f>(L54-B54-(I54-D54)-MAX(0,L54-B54)*'Entradas'!$B$6-L54*('Entradas'!$B$7+'Entradas'!$B$14))/L54-'Entradas'!$B$17</x:f>
        <x:v>0.02510045008439088</x:v>
      </x:c>
      <x:c r="X54" s="59" t="n">
        <x:f>D16/L54</x:f>
        <x:v>0.00042632993686316184</x:v>
      </x:c>
    </x:row>
    <x:row r="55" ht="23" customHeight="1">
      <x:c r="A55" s="26" t="str">
        <x:f>A17</x:f>
        <x:v>INV-12</x:v>
      </x:c>
      <x:c r="B55" s="46" t="n">
        <x:f>T17</x:f>
        <x:v>9955.27</x:v>
      </x:c>
      <x:c r="C55" s="46" t="n">
        <x:f>ROUND(C17*'Entradas'!$B$8,2)</x:f>
        <x:v>840</x:v>
      </x:c>
      <x:c r="D55" s="46" t="n">
        <x:f>ROUND(D17*'Entradas'!$B$9,2)</x:f>
        <x:v>358.91</x:v>
      </x:c>
      <x:c r="E55" s="46" t="n">
        <x:f>'Entradas'!$B$10</x:f>
        <x:v>110</x:v>
      </x:c>
      <x:c r="F55" s="46" t="n">
        <x:f>'Entradas'!$B$11</x:f>
        <x:v>30</x:v>
      </x:c>
      <x:c r="G55" s="46" t="n">
        <x:f>'Entradas'!$B$12</x:f>
        <x:v>0</x:v>
      </x:c>
      <x:c r="H55" s="46" t="n">
        <x:f>'Entradas'!$B$13</x:f>
        <x:v>0</x:v>
      </x:c>
      <x:c r="I55" s="46" t="n">
        <x:f>SUM(C55:H55)</x:f>
        <x:v>1338.91</x:v>
      </x:c>
      <x:c r="J55" s="46" t="n">
        <x:f>IF('Entradas'!$B$18="OK",(B55*(1-'Entradas'!$B$6)+I55)/(1-'Entradas'!$B$6-'Entradas'!$B$7-'Entradas'!$B$14-'Entradas'!$B$15),NA())</x:f>
        <x:v>17651.873202846975</x:v>
      </x:c>
      <x:c r="K55" s="46" t="n">
        <x:f>ROUNDUP(J55,2)</x:f>
        <x:v>17651.88</x:v>
      </x:c>
      <x:c r="L55" s="46" t="n">
        <x:f>'Entradas'!G51</x:f>
        <x:v>16997</x:v>
      </x:c>
      <x:c r="M55" s="46" t="n">
        <x:f>ROUNDUP(L55*(1+'Entradas'!$B$16),2)</x:f>
        <x:v>16997</x:v>
      </x:c>
      <x:c r="N55" s="46" t="n">
        <x:f>MAX(0,M55-K55)</x:f>
        <x:v>0</x:v>
      </x:c>
      <x:c r="O55" s="47" t="n">
        <x:f>SUM(K55,N55)</x:f>
        <x:v>17651.88</x:v>
      </x:c>
      <x:c r="P55" s="46" t="n">
        <x:f>MAX(0,O55-B55)*'Entradas'!$B$6</x:f>
        <x:v>1062.13218</x:v>
      </x:c>
      <x:c r="Q55" s="46" t="n">
        <x:f>O55*'Entradas'!$B$7</x:f>
        <x:v>1412.1504000000002</x:v>
      </x:c>
      <x:c r="R55" s="46" t="n">
        <x:f>O55*'Entradas'!$B$14</x:f>
        <x:v>0</x:v>
      </x:c>
      <x:c r="S55" s="46" t="n">
        <x:f>O55-B55-I55-SUM(P55:R55)</x:f>
        <x:v>3883.4174200000007</x:v>
      </x:c>
      <x:c r="T55" s="58" t="n">
        <x:f>S55/O55</x:f>
        <x:v>0.22000021640754416</x:v>
      </x:c>
      <x:c r="U55" s="58" t="n">
        <x:f>(L55-B55-I55-MAX(0,L55-B55)*'Entradas'!$B$6-L55*('Entradas'!$B$7+'Entradas'!$B$14))/L55</x:f>
        <x:v>0.19834684120727183</x:v>
      </x:c>
      <x:c r="V55" s="46" t="n">
        <x:f>MAX(0,(M55*(1-'Entradas'!$B$6-'Entradas'!$B$7-'Entradas'!$B$14-'Entradas'!$B$15)-B55*(1-'Entradas'!$B$6)-(I55-D55))/D17)</x:f>
        <x:v>0</x:v>
      </x:c>
      <x:c r="W55" s="59" t="n">
        <x:f>(L55-B55-(I55-D55)-MAX(0,L55-B55)*'Entradas'!$B$6-L55*('Entradas'!$B$7+'Entradas'!$B$14))/L55-'Entradas'!$B$17</x:f>
        <x:v>0.02446292051538501</x:v>
      </x:c>
      <x:c r="X55" s="59" t="n">
        <x:f>D17/L55</x:f>
        <x:v>0.0004377243042889922</x:v>
      </x:c>
    </x:row>
    <x:row r="56" ht="23" customHeight="1">
      <x:c r="A56" s="26" t="str">
        <x:f>A18</x:f>
        <x:v>INV-13</x:v>
      </x:c>
      <x:c r="B56" s="46" t="n">
        <x:f>T18</x:f>
        <x:v>10800.85</x:v>
      </x:c>
      <x:c r="C56" s="46" t="n">
        <x:f>ROUND(C18*'Entradas'!$B$8,2)</x:f>
        <x:v>910</x:v>
      </x:c>
      <x:c r="D56" s="46" t="n">
        <x:f>ROUND(D18*'Entradas'!$B$9,2)</x:f>
        <x:v>388.81</x:v>
      </x:c>
      <x:c r="E56" s="46" t="n">
        <x:f>'Entradas'!$B$10</x:f>
        <x:v>110</x:v>
      </x:c>
      <x:c r="F56" s="46" t="n">
        <x:f>'Entradas'!$B$11</x:f>
        <x:v>30</x:v>
      </x:c>
      <x:c r="G56" s="46" t="n">
        <x:f>'Entradas'!$B$12</x:f>
        <x:v>0</x:v>
      </x:c>
      <x:c r="H56" s="46" t="n">
        <x:f>'Entradas'!$B$13</x:f>
        <x:v>0</x:v>
      </x:c>
      <x:c r="I56" s="46" t="n">
        <x:f>SUM(C56:H56)</x:f>
        <x:v>1438.81</x:v>
      </x:c>
      <x:c r="J56" s="46" t="n">
        <x:f>IF('Entradas'!$B$18="OK",(B56*(1-'Entradas'!$B$6)+I56)/(1-'Entradas'!$B$6-'Entradas'!$B$7-'Entradas'!$B$14-'Entradas'!$B$15),NA())</x:f>
        <x:v>19126.5884341637</x:v>
      </x:c>
      <x:c r="K56" s="46" t="n">
        <x:f>ROUNDUP(J56,2)</x:f>
        <x:v>19126.59</x:v>
      </x:c>
      <x:c r="L56" s="46" t="n">
        <x:f>'Entradas'!G52</x:f>
        <x:v>18197</x:v>
      </x:c>
      <x:c r="M56" s="46" t="n">
        <x:f>ROUNDUP(L56*(1+'Entradas'!$B$16),2)</x:f>
        <x:v>18197</x:v>
      </x:c>
      <x:c r="N56" s="46" t="n">
        <x:f>MAX(0,M56-K56)</x:f>
        <x:v>0</x:v>
      </x:c>
      <x:c r="O56" s="47" t="n">
        <x:f>SUM(K56,N56)</x:f>
        <x:v>19126.59</x:v>
      </x:c>
      <x:c r="P56" s="46" t="n">
        <x:f>MAX(0,O56-B56)*'Entradas'!$B$6</x:f>
        <x:v>1148.9521200000001</x:v>
      </x:c>
      <x:c r="Q56" s="46" t="n">
        <x:f>O56*'Entradas'!$B$7</x:f>
        <x:v>1530.1272000000001</x:v>
      </x:c>
      <x:c r="R56" s="46" t="n">
        <x:f>O56*'Entradas'!$B$14</x:f>
        <x:v>0</x:v>
      </x:c>
      <x:c r="S56" s="46" t="n">
        <x:f>O56-B56-I56-SUM(P56:R56)</x:f>
        <x:v>4207.85068</x:v>
      </x:c>
      <x:c r="T56" s="58" t="n">
        <x:f>S56/O56</x:f>
        <x:v>0.22000004600924677</x:v>
      </x:c>
      <x:c r="U56" s="58" t="n">
        <x:f>(L56-B56-I56-MAX(0,L56-B56)*'Entradas'!$B$6-L56*('Entradas'!$B$7+'Entradas'!$B$14))/L56</x:f>
        <x:v>0.19129039402099246</x:v>
      </x:c>
      <x:c r="V56" s="46" t="n">
        <x:f>MAX(0,(M56*(1-'Entradas'!$B$6-'Entradas'!$B$7-'Entradas'!$B$14-'Entradas'!$B$15)-B56*(1-'Entradas'!$B$6)-(I56-D56))/D18)</x:f>
        <x:v>0</x:v>
      </x:c>
      <x:c r="W56" s="59" t="n">
        <x:f>(L56-B56-(I56-D56)-MAX(0,L56-B56)*'Entradas'!$B$6-L56*('Entradas'!$B$7+'Entradas'!$B$14))/L56-'Entradas'!$B$17</x:f>
        <x:v>0.017657102819145953</x:v>
      </x:c>
      <x:c r="X56" s="59" t="n">
        <x:f>D18/L56</x:f>
        <x:v>0.00044293015332197617</x:v>
      </x:c>
    </x:row>
    <x:row r="57" ht="23" customHeight="1">
      <x:c r="A57" s="26" t="str">
        <x:f>A19</x:f>
        <x:v>INV-14</x:v>
      </x:c>
      <x:c r="B57" s="46" t="n">
        <x:f>T19</x:f>
        <x:v>11406.52</x:v>
      </x:c>
      <x:c r="C57" s="46" t="n">
        <x:f>ROUND(C19*'Entradas'!$B$8,2)</x:f>
        <x:v>980</x:v>
      </x:c>
      <x:c r="D57" s="46" t="n">
        <x:f>ROUND(D19*'Entradas'!$B$9,2)</x:f>
        <x:v>418.72</x:v>
      </x:c>
      <x:c r="E57" s="46" t="n">
        <x:f>'Entradas'!$B$10</x:f>
        <x:v>110</x:v>
      </x:c>
      <x:c r="F57" s="46" t="n">
        <x:f>'Entradas'!$B$11</x:f>
        <x:v>30</x:v>
      </x:c>
      <x:c r="G57" s="46" t="n">
        <x:f>'Entradas'!$B$12</x:f>
        <x:v>0</x:v>
      </x:c>
      <x:c r="H57" s="46" t="n">
        <x:f>'Entradas'!$B$13</x:f>
        <x:v>0</x:v>
      </x:c>
      <x:c r="I57" s="46" t="n">
        <x:f>SUM(C57:H57)</x:f>
        <x:v>1538.72</x:v>
      </x:c>
      <x:c r="J57" s="46" t="n">
        <x:f>IF('Entradas'!$B$18="OK",(B57*(1-'Entradas'!$B$6)+I57)/(1-'Entradas'!$B$6-'Entradas'!$B$7-'Entradas'!$B$14-'Entradas'!$B$15),NA())</x:f>
        <x:v>20233.345622775796</x:v>
      </x:c>
      <x:c r="K57" s="46" t="n">
        <x:f>ROUNDUP(J57,2)</x:f>
        <x:v>20233.35</x:v>
      </x:c>
      <x:c r="L57" s="46" t="n">
        <x:f>'Entradas'!G53</x:f>
        <x:v>19897</x:v>
      </x:c>
      <x:c r="M57" s="46" t="n">
        <x:f>ROUNDUP(L57*(1+'Entradas'!$B$16),2)</x:f>
        <x:v>19897</x:v>
      </x:c>
      <x:c r="N57" s="46" t="n">
        <x:f>MAX(0,M57-K57)</x:f>
        <x:v>0</x:v>
      </x:c>
      <x:c r="O57" s="47" t="n">
        <x:f>SUM(K57,N57)</x:f>
        <x:v>20233.35</x:v>
      </x:c>
      <x:c r="P57" s="46" t="n">
        <x:f>MAX(0,O57-B57)*'Entradas'!$B$6</x:f>
        <x:v>1218.1025399999999</x:v>
      </x:c>
      <x:c r="Q57" s="46" t="n">
        <x:f>O57*'Entradas'!$B$7</x:f>
        <x:v>1618.668</x:v>
      </x:c>
      <x:c r="R57" s="46" t="n">
        <x:f>O57*'Entradas'!$B$14</x:f>
        <x:v>0</x:v>
      </x:c>
      <x:c r="S57" s="46" t="n">
        <x:f>O57-B57-I57-SUM(P57:R57)</x:f>
        <x:v>4451.339459999998</x:v>
      </x:c>
      <x:c r="T57" s="58" t="n">
        <x:f>S57/O57</x:f>
        <x:v>0.22000012158144838</x:v>
      </x:c>
      <x:c r="U57" s="58" t="n">
        <x:f>(L57-B57-I57-MAX(0,L57-B57)*'Entradas'!$B$6-L57*('Entradas'!$B$7+'Entradas'!$B$14))/L57</x:f>
        <x:v>0.2104997617731316</x:v>
      </x:c>
      <x:c r="V57" s="46" t="n">
        <x:f>MAX(0,(M57*(1-'Entradas'!$B$6-'Entradas'!$B$7-'Entradas'!$B$14-'Entradas'!$B$15)-B57*(1-'Entradas'!$B$6)-(I57-D57))/D19)</x:f>
        <x:v>26.462414746544002</x:v>
      </x:c>
      <x:c r="W57" s="59" t="n">
        <x:f>(L57-B57-(I57-D57)-MAX(0,L57-B57)*'Entradas'!$B$6-L57*('Entradas'!$B$7+'Entradas'!$B$14))/L57-'Entradas'!$B$17</x:f>
        <x:v>0.03654414032266168</x:v>
      </x:c>
      <x:c r="X57" s="59" t="n">
        <x:f>D19/L57</x:f>
        <x:v>0.0004362466703523144</x:v>
      </x:c>
    </x:row>
    <x:row r="58" ht="23" customHeight="1">
      <x:c r="A58" s="26" t="str">
        <x:f>A20</x:f>
        <x:v>INV-15</x:v>
      </x:c>
      <x:c r="B58" s="46" t="n">
        <x:f>T20</x:f>
        <x:v>12170.26</x:v>
      </x:c>
      <x:c r="C58" s="46" t="n">
        <x:f>ROUND(C20*'Entradas'!$B$8,2)</x:f>
        <x:v>1050</x:v>
      </x:c>
      <x:c r="D58" s="46" t="n">
        <x:f>ROUND(D20*'Entradas'!$B$9,2)</x:f>
        <x:v>448.63</x:v>
      </x:c>
      <x:c r="E58" s="46" t="n">
        <x:f>'Entradas'!$B$10</x:f>
        <x:v>110</x:v>
      </x:c>
      <x:c r="F58" s="46" t="n">
        <x:f>'Entradas'!$B$11</x:f>
        <x:v>30</x:v>
      </x:c>
      <x:c r="G58" s="46" t="n">
        <x:f>'Entradas'!$B$12</x:f>
        <x:v>0</x:v>
      </x:c>
      <x:c r="H58" s="46" t="n">
        <x:f>'Entradas'!$B$13</x:f>
        <x:v>0</x:v>
      </x:c>
      <x:c r="I58" s="46" t="n">
        <x:f>SUM(C58:H58)</x:f>
        <x:v>1638.63</x:v>
      </x:c>
      <x:c r="J58" s="46" t="n">
        <x:f>IF('Entradas'!$B$18="OK",(B58*(1-'Entradas'!$B$6)+I58)/(1-'Entradas'!$B$6-'Entradas'!$B$7-'Entradas'!$B$14-'Entradas'!$B$15),NA())</x:f>
        <x:v>21582.55181494662</x:v>
      </x:c>
      <x:c r="K58" s="46" t="n">
        <x:f>ROUNDUP(J58,2)</x:f>
        <x:v>21582.56</x:v>
      </x:c>
      <x:c r="L58" s="46" t="n">
        <x:f>'Entradas'!G54</x:f>
        <x:v>20597</x:v>
      </x:c>
      <x:c r="M58" s="46" t="n">
        <x:f>ROUNDUP(L58*(1+'Entradas'!$B$16),2)</x:f>
        <x:v>20597</x:v>
      </x:c>
      <x:c r="N58" s="46" t="n">
        <x:f>MAX(0,M58-K58)</x:f>
        <x:v>0</x:v>
      </x:c>
      <x:c r="O58" s="47" t="n">
        <x:f>SUM(K58,N58)</x:f>
        <x:v>21582.56</x:v>
      </x:c>
      <x:c r="P58" s="46" t="n">
        <x:f>MAX(0,O58-B58)*'Entradas'!$B$6</x:f>
        <x:v>1298.8974000000003</x:v>
      </x:c>
      <x:c r="Q58" s="46" t="n">
        <x:f>O58*'Entradas'!$B$7</x:f>
        <x:v>1726.6048</x:v>
      </x:c>
      <x:c r="R58" s="46" t="n">
        <x:f>O58*'Entradas'!$B$14</x:f>
        <x:v>0</x:v>
      </x:c>
      <x:c r="S58" s="46" t="n">
        <x:f>O58-B58-I58-SUM(P58:R58)</x:f>
        <x:v>4748.167800000001</x:v>
      </x:c>
      <x:c r="T58" s="58" t="n">
        <x:f>S58/O58</x:f>
        <x:v>0.2200002131350498</x:v>
      </x:c>
      <x:c r="U58" s="58" t="n">
        <x:f>(L58-B58-I58-MAX(0,L58-B58)*'Entradas'!$B$6-L58*('Entradas'!$B$7+'Entradas'!$B$14))/L58</x:f>
        <x:v>0.1931086993251444</x:v>
      </x:c>
      <x:c r="V58" s="46" t="n">
        <x:f>MAX(0,(M58*(1-'Entradas'!$B$6-'Entradas'!$B$7-'Entradas'!$B$14-'Entradas'!$B$15)-B58*(1-'Entradas'!$B$6)-(I58-D58))/D20)</x:f>
        <x:v>0</x:v>
      </x:c>
      <x:c r="W58" s="59" t="n">
        <x:f>(L58-B58-(I58-D58)-MAX(0,L58-B58)*'Entradas'!$B$6-L58*('Entradas'!$B$7+'Entradas'!$B$14))/L58-'Entradas'!$B$17</x:f>
        <x:v>0.019890026702917868</x:v>
      </x:c>
      <x:c r="X58" s="59" t="n">
        <x:f>D20/L58</x:f>
        <x:v>0.00045152206632033794</x:v>
      </x:c>
    </x:row>
    <x:row r="59" ht="23" customHeight="1">
      <x:c r="A59" s="26" t="str">
        <x:f>A21</x:f>
        <x:v>INV-16</x:v>
      </x:c>
      <x:c r="B59" s="46" t="n">
        <x:f>T21</x:f>
        <x:v>12775.93</x:v>
      </x:c>
      <x:c r="C59" s="46" t="n">
        <x:f>ROUND(C21*'Entradas'!$B$8,2)</x:f>
        <x:v>1120</x:v>
      </x:c>
      <x:c r="D59" s="46" t="n">
        <x:f>ROUND(D21*'Entradas'!$B$9,2)</x:f>
        <x:v>478.54</x:v>
      </x:c>
      <x:c r="E59" s="46" t="n">
        <x:f>'Entradas'!$B$10</x:f>
        <x:v>110</x:v>
      </x:c>
      <x:c r="F59" s="46" t="n">
        <x:f>'Entradas'!$B$11</x:f>
        <x:v>30</x:v>
      </x:c>
      <x:c r="G59" s="46" t="n">
        <x:f>'Entradas'!$B$12</x:f>
        <x:v>0</x:v>
      </x:c>
      <x:c r="H59" s="46" t="n">
        <x:f>'Entradas'!$B$13</x:f>
        <x:v>0</x:v>
      </x:c>
      <x:c r="I59" s="46" t="n">
        <x:f>SUM(C59:H59)</x:f>
        <x:v>1738.54</x:v>
      </x:c>
      <x:c r="J59" s="46" t="n">
        <x:f>IF('Entradas'!$B$18="OK",(B59*(1-'Entradas'!$B$6)+I59)/(1-'Entradas'!$B$6-'Entradas'!$B$7-'Entradas'!$B$14-'Entradas'!$B$15),NA())</x:f>
        <x:v>22689.30900355872</x:v>
      </x:c>
      <x:c r="K59" s="46" t="n">
        <x:f>ROUNDUP(J59,2)</x:f>
        <x:v>22689.31</x:v>
      </x:c>
      <x:c r="L59" s="46" t="n">
        <x:f>'Entradas'!G55</x:f>
        <x:v>21697</x:v>
      </x:c>
      <x:c r="M59" s="46" t="n">
        <x:f>ROUNDUP(L59*(1+'Entradas'!$B$16),2)</x:f>
        <x:v>21697</x:v>
      </x:c>
      <x:c r="N59" s="46" t="n">
        <x:f>MAX(0,M59-K59)</x:f>
        <x:v>0</x:v>
      </x:c>
      <x:c r="O59" s="47" t="n">
        <x:f>SUM(K59,N59)</x:f>
        <x:v>22689.31</x:v>
      </x:c>
      <x:c r="P59" s="46" t="n">
        <x:f>MAX(0,O59-B59)*'Entradas'!$B$6</x:f>
        <x:v>1368.0464400000003</x:v>
      </x:c>
      <x:c r="Q59" s="46" t="n">
        <x:f>O59*'Entradas'!$B$7</x:f>
        <x:v>1815.1448</x:v>
      </x:c>
      <x:c r="R59" s="46" t="n">
        <x:f>O59*'Entradas'!$B$14</x:f>
        <x:v>0</x:v>
      </x:c>
      <x:c r="S59" s="46" t="n">
        <x:f>O59-B59-I59-SUM(P59:R59)</x:f>
        <x:v>4991.648760000001</x:v>
      </x:c>
      <x:c r="T59" s="58" t="n">
        <x:f>S59/O59</x:f>
        <x:v>0.22000002468122656</x:v>
      </x:c>
      <x:c r="U59" s="58" t="n">
        <x:f>(L59-B59-I59-MAX(0,L59-B59)*'Entradas'!$B$6-L59*('Entradas'!$B$7+'Entradas'!$B$14))/L59</x:f>
        <x:v>0.19429701525556523</x:v>
      </x:c>
      <x:c r="V59" s="46" t="n">
        <x:f>MAX(0,(M59*(1-'Entradas'!$B$6-'Entradas'!$B$7-'Entradas'!$B$14-'Entradas'!$B$15)-B59*(1-'Entradas'!$B$6)-(I59-D59))/D21)</x:f>
        <x:v>0</x:v>
      </x:c>
      <x:c r="W59" s="59" t="n">
        <x:f>(L59-B59-(I59-D59)-MAX(0,L59-B59)*'Entradas'!$B$6-L59*('Entradas'!$B$7+'Entradas'!$B$14))/L59-'Entradas'!$B$17</x:f>
        <x:v>0.021352598976817044</x:v>
      </x:c>
      <x:c r="X59" s="59" t="n">
        <x:f>D21/L59</x:f>
        <x:v>0.00045720606535465733</x:v>
      </x:c>
    </x:row>
    <x:row r="60" ht="23" customHeight="1">
      <x:c r="A60" s="26" t="str">
        <x:f>A22</x:f>
        <x:v>INV-17</x:v>
      </x:c>
      <x:c r="B60" s="46" t="n">
        <x:f>T22</x:f>
        <x:v>13549.83</x:v>
      </x:c>
      <x:c r="C60" s="46" t="n">
        <x:f>ROUND(C22*'Entradas'!$B$8,2)</x:f>
        <x:v>1190</x:v>
      </x:c>
      <x:c r="D60" s="46" t="n">
        <x:f>ROUND(D22*'Entradas'!$B$9,2)</x:f>
        <x:v>508.45</x:v>
      </x:c>
      <x:c r="E60" s="46" t="n">
        <x:f>'Entradas'!$B$10</x:f>
        <x:v>110</x:v>
      </x:c>
      <x:c r="F60" s="46" t="n">
        <x:f>'Entradas'!$B$11</x:f>
        <x:v>30</x:v>
      </x:c>
      <x:c r="G60" s="46" t="n">
        <x:f>'Entradas'!$B$12</x:f>
        <x:v>0</x:v>
      </x:c>
      <x:c r="H60" s="46" t="n">
        <x:f>'Entradas'!$B$13</x:f>
        <x:v>0</x:v>
      </x:c>
      <x:c r="I60" s="46" t="n">
        <x:f>SUM(C60:H60)</x:f>
        <x:v>1838.45</x:v>
      </x:c>
      <x:c r="J60" s="46" t="n">
        <x:f>IF('Entradas'!$B$18="OK",(B60*(1-'Entradas'!$B$6)+I60)/(1-'Entradas'!$B$6-'Entradas'!$B$7-'Entradas'!$B$14-'Entradas'!$B$15),NA())</x:f>
        <x:v>24054.09868327402</x:v>
      </x:c>
      <x:c r="K60" s="46" t="n">
        <x:f>ROUNDUP(J60,2)</x:f>
        <x:v>24054.1</x:v>
      </x:c>
      <x:c r="L60" s="46" t="n">
        <x:f>'Entradas'!G56</x:f>
        <x:v>23897</x:v>
      </x:c>
      <x:c r="M60" s="46" t="n">
        <x:f>ROUNDUP(L60*(1+'Entradas'!$B$16),2)</x:f>
        <x:v>23897</x:v>
      </x:c>
      <x:c r="N60" s="46" t="n">
        <x:f>MAX(0,M60-K60)</x:f>
        <x:v>0</x:v>
      </x:c>
      <x:c r="O60" s="47" t="n">
        <x:f>SUM(K60,N60)</x:f>
        <x:v>24054.1</x:v>
      </x:c>
      <x:c r="P60" s="46" t="n">
        <x:f>MAX(0,O60-B60)*'Entradas'!$B$6</x:f>
        <x:v>1449.58926</x:v>
      </x:c>
      <x:c r="Q60" s="46" t="n">
        <x:f>O60*'Entradas'!$B$7</x:f>
        <x:v>1924.328</x:v>
      </x:c>
      <x:c r="R60" s="46" t="n">
        <x:f>O60*'Entradas'!$B$14</x:f>
        <x:v>0</x:v>
      </x:c>
      <x:c r="S60" s="46" t="n">
        <x:f>O60-B60-I60-SUM(P60:R60)</x:f>
        <x:v>5291.902739999998</x:v>
      </x:c>
      <x:c r="T60" s="58" t="n">
        <x:f>S60/O60</x:f>
        <x:v>0.2200000307639861</x:v>
      </x:c>
      <x:c r="U60" s="58" t="n">
        <x:f>(L60-B60-I60-MAX(0,L60-B60)*'Entradas'!$B$6-L60*('Entradas'!$B$7+'Entradas'!$B$14))/L60</x:f>
        <x:v>0.21630541657948693</x:v>
      </x:c>
      <x:c r="V60" s="46" t="n">
        <x:f>MAX(0,(M60*(1-'Entradas'!$B$6-'Entradas'!$B$7-'Entradas'!$B$14-'Entradas'!$B$15)-B60*(1-'Entradas'!$B$6)-(I60-D60))/D22)</x:f>
        <x:v>39.86342884250482</x:v>
      </x:c>
      <x:c r="W60" s="59" t="n">
        <x:f>(L60-B60-(I60-D60)-MAX(0,L60-B60)*'Entradas'!$B$6-L60*('Entradas'!$B$7+'Entradas'!$B$14))/L60-'Entradas'!$B$17</x:f>
        <x:v>0.042582145876051386</x:v>
      </x:c>
      <x:c r="X60" s="59" t="n">
        <x:f>D22/L60</x:f>
        <x:v>0.0004410595472235008</x:v>
      </x:c>
    </x:row>
    <x:row r="61" ht="23" customHeight="1">
      <x:c r="A61" s="26" t="str">
        <x:f>A23</x:f>
        <x:v>INV-18</x:v>
      </x:c>
      <x:c r="B61" s="46" t="n">
        <x:f>T23</x:f>
        <x:v>15100.53</x:v>
      </x:c>
      <x:c r="C61" s="46" t="n">
        <x:f>ROUND(C23*'Entradas'!$B$8,2)</x:f>
        <x:v>1260</x:v>
      </x:c>
      <x:c r="D61" s="46" t="n">
        <x:f>ROUND(D23*'Entradas'!$B$9,2)</x:f>
        <x:v>538.36</x:v>
      </x:c>
      <x:c r="E61" s="46" t="n">
        <x:f>'Entradas'!$B$10</x:f>
        <x:v>110</x:v>
      </x:c>
      <x:c r="F61" s="46" t="n">
        <x:f>'Entradas'!$B$11</x:f>
        <x:v>30</x:v>
      </x:c>
      <x:c r="G61" s="46" t="n">
        <x:f>'Entradas'!$B$12</x:f>
        <x:v>0</x:v>
      </x:c>
      <x:c r="H61" s="46" t="n">
        <x:f>'Entradas'!$B$13</x:f>
        <x:v>0</x:v>
      </x:c>
      <x:c r="I61" s="46" t="n">
        <x:f>SUM(C61:H61)</x:f>
        <x:v>1938.3600000000001</x:v>
      </x:c>
      <x:c r="J61" s="46" t="n">
        <x:f>IF('Entradas'!$B$18="OK",(B61*(1-'Entradas'!$B$6)+I61)/(1-'Entradas'!$B$6-'Entradas'!$B$7-'Entradas'!$B$14-'Entradas'!$B$15),NA())</x:f>
        <x:v>26610.35028469751</x:v>
      </x:c>
      <x:c r="K61" s="46" t="n">
        <x:f>ROUNDUP(J61,2)</x:f>
        <x:v>26610.36</x:v>
      </x:c>
      <x:c r="L61" s="46" t="n">
        <x:f>'Entradas'!G57</x:f>
        <x:v>24897</x:v>
      </x:c>
      <x:c r="M61" s="46" t="n">
        <x:f>ROUNDUP(L61*(1+'Entradas'!$B$16),2)</x:f>
        <x:v>24897</x:v>
      </x:c>
      <x:c r="N61" s="46" t="n">
        <x:f>MAX(0,M61-K61)</x:f>
        <x:v>0</x:v>
      </x:c>
      <x:c r="O61" s="47" t="n">
        <x:f>SUM(K61,N61)</x:f>
        <x:v>26610.36</x:v>
      </x:c>
      <x:c r="P61" s="46" t="n">
        <x:f>MAX(0,O61-B61)*'Entradas'!$B$6</x:f>
        <x:v>1588.3565400000002</x:v>
      </x:c>
      <x:c r="Q61" s="46" t="n">
        <x:f>O61*'Entradas'!$B$7</x:f>
        <x:v>2128.8288000000002</x:v>
      </x:c>
      <x:c r="R61" s="46" t="n">
        <x:f>O61*'Entradas'!$B$14</x:f>
        <x:v>0</x:v>
      </x:c>
      <x:c r="S61" s="46" t="n">
        <x:f>O61-B61-I61-SUM(P61:R61)</x:f>
        <x:v>5854.284659999999</x:v>
      </x:c>
      <x:c r="T61" s="58" t="n">
        <x:f>S61/O61</x:f>
        <x:v>0.2200002051832444</x:v>
      </x:c>
      <x:c r="U61" s="58" t="n">
        <x:f>(L61-B61-I61-MAX(0,L61-B61)*'Entradas'!$B$6-L61*('Entradas'!$B$7+'Entradas'!$B$14))/L61</x:f>
        <x:v>0.1813245427159898</x:v>
      </x:c>
      <x:c r="V61" s="46" t="n">
        <x:f>MAX(0,(M61*(1-'Entradas'!$B$6-'Entradas'!$B$7-'Entradas'!$B$14-'Entradas'!$B$15)-B61*(1-'Entradas'!$B$6)-(I61-D61))/D23)</x:f>
        <x:v>0</x:v>
      </x:c>
      <x:c r="W61" s="59" t="n">
        <x:f>(L61-B61-(I61-D61)-MAX(0,L61-B61)*'Entradas'!$B$6-L61*('Entradas'!$B$7+'Entradas'!$B$14))/L61-'Entradas'!$B$17</x:f>
        <x:v>0.007948031489737661</x:v>
      </x:c>
      <x:c r="X61" s="59" t="n">
        <x:f>D23/L61</x:f>
        <x:v>0.00044824677672008676</x:v>
      </x:c>
    </x:row>
    <x:row r="62" ht="23" customHeight="1">
      <x:c r="A62" s="26" t="str">
        <x:f>A24</x:f>
        <x:v>INV-19</x:v>
      </x:c>
      <x:c r="B62" s="46" t="n">
        <x:f>T24</x:f>
        <x:v>15864.27</x:v>
      </x:c>
      <x:c r="C62" s="46" t="n">
        <x:f>ROUND(C24*'Entradas'!$B$8,2)</x:f>
        <x:v>1330</x:v>
      </x:c>
      <x:c r="D62" s="46" t="n">
        <x:f>ROUND(D24*'Entradas'!$B$9,2)</x:f>
        <x:v>568.27</x:v>
      </x:c>
      <x:c r="E62" s="46" t="n">
        <x:f>'Entradas'!$B$10</x:f>
        <x:v>110</x:v>
      </x:c>
      <x:c r="F62" s="46" t="n">
        <x:f>'Entradas'!$B$11</x:f>
        <x:v>30</x:v>
      </x:c>
      <x:c r="G62" s="46" t="n">
        <x:f>'Entradas'!$B$12</x:f>
        <x:v>0</x:v>
      </x:c>
      <x:c r="H62" s="46" t="n">
        <x:f>'Entradas'!$B$13</x:f>
        <x:v>0</x:v>
      </x:c>
      <x:c r="I62" s="46" t="n">
        <x:f>SUM(C62:H62)</x:f>
        <x:v>2038.27</x:v>
      </x:c>
      <x:c r="J62" s="46" t="n">
        <x:f>IF('Entradas'!$B$18="OK",(B62*(1-'Entradas'!$B$6)+I62)/(1-'Entradas'!$B$6-'Entradas'!$B$7-'Entradas'!$B$14-'Entradas'!$B$15),NA())</x:f>
        <x:v>27959.556476868325</x:v>
      </x:c>
      <x:c r="K62" s="46" t="n">
        <x:f>ROUNDUP(J62,2)</x:f>
        <x:v>27959.56</x:v>
      </x:c>
      <x:c r="L62" s="46" t="n">
        <x:f>'Entradas'!G58</x:f>
        <x:v>25997</x:v>
      </x:c>
      <x:c r="M62" s="46" t="n">
        <x:f>ROUNDUP(L62*(1+'Entradas'!$B$16),2)</x:f>
        <x:v>25997</x:v>
      </x:c>
      <x:c r="N62" s="46" t="n">
        <x:f>MAX(0,M62-K62)</x:f>
        <x:v>0</x:v>
      </x:c>
      <x:c r="O62" s="47" t="n">
        <x:f>SUM(K62,N62)</x:f>
        <x:v>27959.56</x:v>
      </x:c>
      <x:c r="P62" s="46" t="n">
        <x:f>MAX(0,O62-B62)*'Entradas'!$B$6</x:f>
        <x:v>1669.1500200000003</x:v>
      </x:c>
      <x:c r="Q62" s="46" t="n">
        <x:f>O62*'Entradas'!$B$7</x:f>
        <x:v>2236.7648000000004</x:v>
      </x:c>
      <x:c r="R62" s="46" t="n">
        <x:f>O62*'Entradas'!$B$14</x:f>
        <x:v>0</x:v>
      </x:c>
      <x:c r="S62" s="46" t="n">
        <x:f>O62-B62-I62-SUM(P62:R62)</x:f>
        <x:v>6151.10518</x:v>
      </x:c>
      <x:c r="T62" s="58" t="n">
        <x:f>S62/O62</x:f>
        <x:v>0.22000007081656503</x:v>
      </x:c>
      <x:c r="U62" s="58" t="n">
        <x:f>(L62-B62-I62-MAX(0,L62-B62)*'Entradas'!$B$6-L62*('Entradas'!$B$7+'Entradas'!$B$14))/L62</x:f>
        <x:v>0.17757369157979763</x:v>
      </x:c>
      <x:c r="V62" s="46" t="n">
        <x:f>MAX(0,(M62*(1-'Entradas'!$B$6-'Entradas'!$B$7-'Entradas'!$B$14-'Entradas'!$B$15)-B62*(1-'Entradas'!$B$6)-(I62-D62))/D24)</x:f>
        <x:v>0</x:v>
      </x:c>
      <x:c r="W62" s="59" t="n">
        <x:f>(L62-B62-(I62-D62)-MAX(0,L62-B62)*'Entradas'!$B$6-L62*('Entradas'!$B$7+'Entradas'!$B$14))/L62-'Entradas'!$B$17</x:f>
        <x:v>0.004432752240643101</x:v>
      </x:c>
      <x:c r="X62" s="59" t="n">
        <x:f>D24/L62</x:f>
        <x:v>0.00045312920721621725</x:v>
      </x:c>
    </x:row>
    <x:row r="63" ht="23" customHeight="1">
      <x:c r="A63" s="26" t="str">
        <x:f>A25</x:f>
        <x:v>INV-20</x:v>
      </x:c>
      <x:c r="B63" s="46" t="n">
        <x:f>T25</x:f>
        <x:v>16348.02</x:v>
      </x:c>
      <x:c r="C63" s="46" t="n">
        <x:f>ROUND(C25*'Entradas'!$B$8,2)</x:f>
        <x:v>1400</x:v>
      </x:c>
      <x:c r="D63" s="46" t="n">
        <x:f>ROUND(D25*'Entradas'!$B$9,2)</x:f>
        <x:v>598.18</x:v>
      </x:c>
      <x:c r="E63" s="46" t="n">
        <x:f>'Entradas'!$B$10</x:f>
        <x:v>110</x:v>
      </x:c>
      <x:c r="F63" s="46" t="n">
        <x:f>'Entradas'!$B$11</x:f>
        <x:v>30</x:v>
      </x:c>
      <x:c r="G63" s="46" t="n">
        <x:f>'Entradas'!$B$12</x:f>
        <x:v>0</x:v>
      </x:c>
      <x:c r="H63" s="46" t="n">
        <x:f>'Entradas'!$B$13</x:f>
        <x:v>0</x:v>
      </x:c>
      <x:c r="I63" s="46" t="n">
        <x:f>SUM(C63:H63)</x:f>
        <x:v>2138.18</x:v>
      </x:c>
      <x:c r="J63" s="46" t="n">
        <x:f>IF('Entradas'!$B$18="OK",(B63*(1-'Entradas'!$B$6)+I63)/(1-'Entradas'!$B$6-'Entradas'!$B$7-'Entradas'!$B$14-'Entradas'!$B$15),NA())</x:f>
        <x:v>28879.311814946617</x:v>
      </x:c>
      <x:c r="K63" s="46" t="n">
        <x:f>ROUNDUP(J63,2)</x:f>
        <x:v>28879.32</x:v>
      </x:c>
      <x:c r="L63" s="46" t="n">
        <x:f>'Entradas'!G59</x:f>
        <x:v>26997</x:v>
      </x:c>
      <x:c r="M63" s="46" t="n">
        <x:f>ROUNDUP(L63*(1+'Entradas'!$B$16),2)</x:f>
        <x:v>26997</x:v>
      </x:c>
      <x:c r="N63" s="46" t="n">
        <x:f>MAX(0,M63-K63)</x:f>
        <x:v>0</x:v>
      </x:c>
      <x:c r="O63" s="47" t="n">
        <x:f>SUM(K63,N63)</x:f>
        <x:v>28879.32</x:v>
      </x:c>
      <x:c r="P63" s="46" t="n">
        <x:f>MAX(0,O63-B63)*'Entradas'!$B$6</x:f>
        <x:v>1729.3194</x:v>
      </x:c>
      <x:c r="Q63" s="46" t="n">
        <x:f>O63*'Entradas'!$B$7</x:f>
        <x:v>2310.3456</x:v>
      </x:c>
      <x:c r="R63" s="46" t="n">
        <x:f>O63*'Entradas'!$B$14</x:f>
        <x:v>0</x:v>
      </x:c>
      <x:c r="S63" s="46" t="n">
        <x:f>O63-B63-I63-SUM(P63:R63)</x:f>
        <x:v>6353.454999999999</x:v>
      </x:c>
      <x:c r="T63" s="58" t="n">
        <x:f>S63/O63</x:f>
        <x:v>0.2200001592835288</x:v>
      </x:c>
      <x:c r="U63" s="58" t="n">
        <x:f>(L63-B63-I63-MAX(0,L63-B63)*'Entradas'!$B$6-L63*('Entradas'!$B$7+'Entradas'!$B$14))/L63</x:f>
        <x:v>0.18081567433418522</x:v>
      </x:c>
      <x:c r="V63" s="46" t="n">
        <x:f>MAX(0,(M63*(1-'Entradas'!$B$6-'Entradas'!$B$7-'Entradas'!$B$14-'Entradas'!$B$15)-B63*(1-'Entradas'!$B$6)-(I63-D63))/D25)</x:f>
        <x:v>0</x:v>
      </x:c>
      <x:c r="W63" s="59" t="n">
        <x:f>(L63-B63-(I63-D63)-MAX(0,L63-B63)*'Entradas'!$B$6-L63*('Entradas'!$B$7+'Entradas'!$B$14))/L63-'Entradas'!$B$17</x:f>
        <x:v>0.007972951068637213</x:v>
      </x:c>
      <x:c r="X63" s="59" t="n">
        <x:f>D25/L63</x:f>
        <x:v>0.00045931029373634107</x:v>
      </x:c>
    </x:row>
    <x:row r="64" ht="23" customHeight="1">
      <x:c r="A64" s="26" t="str">
        <x:f>A26</x:f>
        <x:v>MIC-04</x:v>
      </x:c>
      <x:c r="B64" s="46" t="n">
        <x:f>T26</x:f>
        <x:v>4046.58</x:v>
      </x:c>
      <x:c r="C64" s="46" t="n">
        <x:f>ROUND(C26*'Entradas'!$B$8,2)</x:f>
        <x:v>280</x:v>
      </x:c>
      <x:c r="D64" s="46" t="n">
        <x:f>ROUND(D26*'Entradas'!$B$9,2)</x:f>
        <x:v>119.64</x:v>
      </x:c>
      <x:c r="E64" s="46" t="n">
        <x:f>'Entradas'!$B$10</x:f>
        <x:v>110</x:v>
      </x:c>
      <x:c r="F64" s="46" t="n">
        <x:f>'Entradas'!$B$11</x:f>
        <x:v>30</x:v>
      </x:c>
      <x:c r="G64" s="46" t="n">
        <x:f>'Entradas'!$B$12</x:f>
        <x:v>0</x:v>
      </x:c>
      <x:c r="H64" s="46" t="n">
        <x:f>'Entradas'!$B$13</x:f>
        <x:v>0</x:v>
      </x:c>
      <x:c r="I64" s="46" t="n">
        <x:f>SUM(C64:H64)</x:f>
        <x:v>539.64</x:v>
      </x:c>
      <x:c r="J64" s="46" t="n">
        <x:f>IF('Entradas'!$B$18="OK",(B64*(1-'Entradas'!$B$6)+I64)/(1-'Entradas'!$B$6-'Entradas'!$B$7-'Entradas'!$B$14-'Entradas'!$B$15),NA())</x:f>
        <x:v>7166.889608540924</x:v>
      </x:c>
      <x:c r="K64" s="46" t="n">
        <x:f>ROUNDUP(J64,2)</x:f>
        <x:v>7166.89</x:v>
      </x:c>
      <x:c r="L64" s="46" t="n">
        <x:f>'Entradas'!G60</x:f>
        <x:v>8029.29</x:v>
      </x:c>
      <x:c r="M64" s="46" t="n">
        <x:f>ROUNDUP(L64*(1+'Entradas'!$B$16),2)</x:f>
        <x:v>8029.29</x:v>
      </x:c>
      <x:c r="N64" s="46" t="n">
        <x:f>MAX(0,M64-K64)</x:f>
        <x:v>862.3999999999996</x:v>
      </x:c>
      <x:c r="O64" s="47" t="n">
        <x:f>SUM(K64,N64)</x:f>
        <x:v>8029.29</x:v>
      </x:c>
      <x:c r="P64" s="46" t="n">
        <x:f>MAX(0,O64-B64)*'Entradas'!$B$6</x:f>
        <x:v>549.6139800000001</x:v>
      </x:c>
      <x:c r="Q64" s="46" t="n">
        <x:f>O64*'Entradas'!$B$7</x:f>
        <x:v>642.3432</x:v>
      </x:c>
      <x:c r="R64" s="46" t="n">
        <x:f>O64*'Entradas'!$B$14</x:f>
        <x:v>0</x:v>
      </x:c>
      <x:c r="S64" s="46" t="n">
        <x:f>O64-B64-I64-SUM(P64:R64)</x:f>
        <x:v>2251.1128200000003</x:v>
      </x:c>
      <x:c r="T64" s="58" t="n">
        <x:f>S64/O64</x:f>
        <x:v>0.2803626248398053</x:v>
      </x:c>
      <x:c r="U64" s="58" t="n">
        <x:f>(L64-B64-I64-MAX(0,L64-B64)*'Entradas'!$B$6-L64*('Entradas'!$B$7+'Entradas'!$B$14))/L64</x:f>
        <x:v>0.2803626248398053</x:v>
      </x:c>
      <x:c r="V64" s="46" t="n">
        <x:f>MAX(0,(M64*(1-'Entradas'!$B$6-'Entradas'!$B$7-'Entradas'!$B$14-'Entradas'!$B$15)-B64*(1-'Entradas'!$B$6)-(I64-D64))/D26)</x:f>
        <x:v>243.6729919354843</x:v>
      </x:c>
      <x:c r="W64" s="59" t="n">
        <x:f>(L64-B64-(I64-D64)-MAX(0,L64-B64)*'Entradas'!$B$6-L64*('Entradas'!$B$7+'Entradas'!$B$14))/L64-'Entradas'!$B$17</x:f>
        <x:v>0.10026307058282857</x:v>
      </x:c>
      <x:c r="X64" s="59" t="n">
        <x:f>D26/L64</x:f>
        <x:v>0.0003088691528142588</x:v>
      </x:c>
    </x:row>
    <x:row r="65" ht="23" customHeight="1">
      <x:c r="A65" s="26" t="str">
        <x:f>A27</x:f>
        <x:v>MIC-05</x:v>
      </x:c>
      <x:c r="B65" s="46" t="n">
        <x:f>T27</x:f>
        <x:v>5791.29</x:v>
      </x:c>
      <x:c r="C65" s="46" t="n">
        <x:f>ROUND(C27*'Entradas'!$B$8,2)</x:f>
        <x:v>350</x:v>
      </x:c>
      <x:c r="D65" s="46" t="n">
        <x:f>ROUND(D27*'Entradas'!$B$9,2)</x:f>
        <x:v>149.54</x:v>
      </x:c>
      <x:c r="E65" s="46" t="n">
        <x:f>'Entradas'!$B$10</x:f>
        <x:v>110</x:v>
      </x:c>
      <x:c r="F65" s="46" t="n">
        <x:f>'Entradas'!$B$11</x:f>
        <x:v>30</x:v>
      </x:c>
      <x:c r="G65" s="46" t="n">
        <x:f>'Entradas'!$B$12</x:f>
        <x:v>0</x:v>
      </x:c>
      <x:c r="H65" s="46" t="n">
        <x:f>'Entradas'!$B$13</x:f>
        <x:v>0</x:v>
      </x:c>
      <x:c r="I65" s="46" t="n">
        <x:f>SUM(C65:H65)</x:f>
        <x:v>639.54</x:v>
      </x:c>
      <x:c r="J65" s="46" t="n">
        <x:f>IF('Entradas'!$B$18="OK",(B65*(1-'Entradas'!$B$6)+I65)/(1-'Entradas'!$B$6-'Entradas'!$B$7-'Entradas'!$B$14-'Entradas'!$B$15),NA())</x:f>
        <x:v>10020.697473309609</x:v>
      </x:c>
      <x:c r="K65" s="46" t="n">
        <x:f>ROUNDUP(J65,2)</x:f>
        <x:v>10020.7</x:v>
      </x:c>
      <x:c r="L65" s="46" t="n">
        <x:f>'Entradas'!G61</x:f>
        <x:v>10171.29</x:v>
      </x:c>
      <x:c r="M65" s="46" t="n">
        <x:f>ROUNDUP(L65*(1+'Entradas'!$B$16),2)</x:f>
        <x:v>10171.29</x:v>
      </x:c>
      <x:c r="N65" s="46" t="n">
        <x:f>MAX(0,M65-K65)</x:f>
        <x:v>150.59000000000015</x:v>
      </x:c>
      <x:c r="O65" s="47" t="n">
        <x:f>SUM(K65,N65)</x:f>
        <x:v>10171.29</x:v>
      </x:c>
      <x:c r="P65" s="46" t="n">
        <x:f>MAX(0,O65-B65)*'Entradas'!$B$6</x:f>
        <x:v>604.4400000000002</x:v>
      </x:c>
      <x:c r="Q65" s="46" t="n">
        <x:f>O65*'Entradas'!$B$7</x:f>
        <x:v>813.7032</x:v>
      </x:c>
      <x:c r="R65" s="46" t="n">
        <x:f>O65*'Entradas'!$B$14</x:f>
        <x:v>0</x:v>
      </x:c>
      <x:c r="S65" s="46" t="n">
        <x:f>O65-B65-I65-SUM(P65:R65)</x:f>
        <x:v>2322.3168000000005</x:v>
      </x:c>
      <x:c r="T65" s="58" t="n">
        <x:f>S65/O65</x:f>
        <x:v>0.22832077347121166</x:v>
      </x:c>
      <x:c r="U65" s="58" t="n">
        <x:f>(L65-B65-I65-MAX(0,L65-B65)*'Entradas'!$B$6-L65*('Entradas'!$B$7+'Entradas'!$B$14))/L65</x:f>
        <x:v>0.22832077347121169</x:v>
      </x:c>
      <x:c r="V65" s="46" t="n">
        <x:f>MAX(0,(M65*(1-'Entradas'!$B$6-'Entradas'!$B$7-'Entradas'!$B$14-'Entradas'!$B$15)-B65*(1-'Entradas'!$B$6)-(I65-D65))/D27)</x:f>
        <x:v>75.53967741935506</x:v>
      </x:c>
      <x:c r="W65" s="59" t="n">
        <x:f>(L65-B65-(I65-D65)-MAX(0,L65-B65)*'Entradas'!$B$6-L65*('Entradas'!$B$7+'Entradas'!$B$14))/L65-'Entradas'!$B$17</x:f>
        <x:v>0.04802294005971716</x:v>
      </x:c>
      <x:c r="X65" s="59" t="n">
        <x:f>D27/L65</x:f>
        <x:v>0.00030477943309059125</x:v>
      </x:c>
    </x:row>
    <x:row r="66" ht="23" customHeight="1">
      <x:c r="A66" s="26" t="str">
        <x:f>A28</x:f>
        <x:v>MIC-06</x:v>
      </x:c>
      <x:c r="B66" s="46" t="n">
        <x:f>T28</x:f>
        <x:v>6374.51</x:v>
      </x:c>
      <x:c r="C66" s="46" t="n">
        <x:f>ROUND(C28*'Entradas'!$B$8,2)</x:f>
        <x:v>420</x:v>
      </x:c>
      <x:c r="D66" s="46" t="n">
        <x:f>ROUND(D28*'Entradas'!$B$9,2)</x:f>
        <x:v>179.45</x:v>
      </x:c>
      <x:c r="E66" s="46" t="n">
        <x:f>'Entradas'!$B$10</x:f>
        <x:v>110</x:v>
      </x:c>
      <x:c r="F66" s="46" t="n">
        <x:f>'Entradas'!$B$11</x:f>
        <x:v>30</x:v>
      </x:c>
      <x:c r="G66" s="46" t="n">
        <x:f>'Entradas'!$B$12</x:f>
        <x:v>0</x:v>
      </x:c>
      <x:c r="H66" s="46" t="n">
        <x:f>'Entradas'!$B$13</x:f>
        <x:v>0</x:v>
      </x:c>
      <x:c r="I66" s="46" t="n">
        <x:f>SUM(C66:H66)</x:f>
        <x:v>739.45</x:v>
      </x:c>
      <x:c r="J66" s="46" t="n">
        <x:f>IF('Entradas'!$B$18="OK",(B66*(1-'Entradas'!$B$6)+I66)/(1-'Entradas'!$B$6-'Entradas'!$B$7-'Entradas'!$B$14-'Entradas'!$B$15),NA())</x:f>
        <x:v>11093.020676156582</x:v>
      </x:c>
      <x:c r="K66" s="46" t="n">
        <x:f>ROUNDUP(J66,2)</x:f>
        <x:v>11093.03</x:v>
      </x:c>
      <x:c r="L66" s="46" t="n">
        <x:f>'Entradas'!G62</x:f>
        <x:v>11135.19</x:v>
      </x:c>
      <x:c r="M66" s="46" t="n">
        <x:f>ROUNDUP(L66*(1+'Entradas'!$B$16),2)</x:f>
        <x:v>11135.19</x:v>
      </x:c>
      <x:c r="N66" s="46" t="n">
        <x:f>MAX(0,M66-K66)</x:f>
        <x:v>42.159999999999854</x:v>
      </x:c>
      <x:c r="O66" s="47" t="n">
        <x:f>SUM(K66,N66)</x:f>
        <x:v>11135.19</x:v>
      </x:c>
      <x:c r="P66" s="46" t="n">
        <x:f>MAX(0,O66-B66)*'Entradas'!$B$6</x:f>
        <x:v>656.9738400000001</x:v>
      </x:c>
      <x:c r="Q66" s="46" t="n">
        <x:f>O66*'Entradas'!$B$7</x:f>
        <x:v>890.8152</x:v>
      </x:c>
      <x:c r="R66" s="46" t="n">
        <x:f>O66*'Entradas'!$B$14</x:f>
        <x:v>0</x:v>
      </x:c>
      <x:c r="S66" s="46" t="n">
        <x:f>O66-B66-I66-SUM(P66:R66)</x:f>
        <x:v>2473.4409600000004</x:v>
      </x:c>
      <x:c r="T66" s="58" t="n">
        <x:f>S66/O66</x:f>
        <x:v>0.22212831213477274</x:v>
      </x:c>
      <x:c r="U66" s="58" t="n">
        <x:f>(L66-B66-I66-MAX(0,L66-B66)*'Entradas'!$B$6-L66*('Entradas'!$B$7+'Entradas'!$B$14))/L66</x:f>
        <x:v>0.22212831213477274</x:v>
      </x:c>
      <x:c r="V66" s="46" t="n">
        <x:f>MAX(0,(M66*(1-'Entradas'!$B$6-'Entradas'!$B$7-'Entradas'!$B$14-'Entradas'!$B$15)-B66*(1-'Entradas'!$B$6)-(I66-D66))/D28)</x:f>
        <x:v>54.60998924731205</x:v>
      </x:c>
      <x:c r="W66" s="59" t="n">
        <x:f>(L66-B66-(I66-D66)-MAX(0,L66-B66)*'Entradas'!$B$6-L66*('Entradas'!$B$7+'Entradas'!$B$14))/L66-'Entradas'!$B$17</x:f>
        <x:v>0.04324388807016316</x:v>
      </x:c>
      <x:c r="X66" s="59" t="n">
        <x:f>D28/L66</x:f>
        <x:v>0.0003340760238487174</x:v>
      </x:c>
    </x:row>
    <x:row r="67" ht="23" customHeight="1">
      <x:c r="A67" s="26" t="str">
        <x:f>A29</x:f>
        <x:v>MIC-07</x:v>
      </x:c>
      <x:c r="B67" s="46" t="n">
        <x:f>T29</x:f>
        <x:v>7109.94</x:v>
      </x:c>
      <x:c r="C67" s="46" t="n">
        <x:f>ROUND(C29*'Entradas'!$B$8,2)</x:f>
        <x:v>490</x:v>
      </x:c>
      <x:c r="D67" s="46" t="n">
        <x:f>ROUND(D29*'Entradas'!$B$9,2)</x:f>
        <x:v>209.36</x:v>
      </x:c>
      <x:c r="E67" s="46" t="n">
        <x:f>'Entradas'!$B$10</x:f>
        <x:v>110</x:v>
      </x:c>
      <x:c r="F67" s="46" t="n">
        <x:f>'Entradas'!$B$11</x:f>
        <x:v>30</x:v>
      </x:c>
      <x:c r="G67" s="46" t="n">
        <x:f>'Entradas'!$B$12</x:f>
        <x:v>0</x:v>
      </x:c>
      <x:c r="H67" s="46" t="n">
        <x:f>'Entradas'!$B$13</x:f>
        <x:v>0</x:v>
      </x:c>
      <x:c r="I67" s="46" t="n">
        <x:f>SUM(C67:H67)</x:f>
        <x:v>839.36</x:v>
      </x:c>
      <x:c r="J67" s="46" t="n">
        <x:f>IF('Entradas'!$B$18="OK",(B67*(1-'Entradas'!$B$6)+I67)/(1-'Entradas'!$B$6-'Entradas'!$B$7-'Entradas'!$B$14-'Entradas'!$B$15),NA())</x:f>
        <x:v>12398.80476868327</x:v>
      </x:c>
      <x:c r="K67" s="46" t="n">
        <x:f>ROUNDUP(J67,2)</x:f>
        <x:v>12398.81</x:v>
      </x:c>
      <x:c r="L67" s="46" t="n">
        <x:f>'Entradas'!G63</x:f>
        <x:v>12420.39</x:v>
      </x:c>
      <x:c r="M67" s="46" t="n">
        <x:f>ROUNDUP(L67*(1+'Entradas'!$B$16),2)</x:f>
        <x:v>12420.39</x:v>
      </x:c>
      <x:c r="N67" s="46" t="n">
        <x:f>MAX(0,M67-K67)</x:f>
        <x:v>21.579999999999927</x:v>
      </x:c>
      <x:c r="O67" s="47" t="n">
        <x:f>SUM(K67,N67)</x:f>
        <x:v>12420.39</x:v>
      </x:c>
      <x:c r="P67" s="46" t="n">
        <x:f>MAX(0,O67-B67)*'Entradas'!$B$6</x:f>
        <x:v>732.8421000000001</x:v>
      </x:c>
      <x:c r="Q67" s="46" t="n">
        <x:f>O67*'Entradas'!$B$7</x:f>
        <x:v>993.6311999999999</x:v>
      </x:c>
      <x:c r="R67" s="46" t="n">
        <x:f>O67*'Entradas'!$B$14</x:f>
        <x:v>0</x:v>
      </x:c>
      <x:c r="S67" s="46" t="n">
        <x:f>O67-B67-I67-SUM(P67:R67)</x:f>
        <x:v>2744.6167</x:v>
      </x:c>
      <x:c r="T67" s="58" t="n">
        <x:f>S67/O67</x:f>
        <x:v>0.2209766923582915</x:v>
      </x:c>
      <x:c r="U67" s="58" t="n">
        <x:f>(L67-B67-I67-MAX(0,L67-B67)*'Entradas'!$B$6-L67*('Entradas'!$B$7+'Entradas'!$B$14))/L67</x:f>
        <x:v>0.22097669235829154</x:v>
      </x:c>
      <x:c r="V67" s="46" t="n">
        <x:f>MAX(0,(M67*(1-'Entradas'!$B$6-'Entradas'!$B$7-'Entradas'!$B$14-'Entradas'!$B$15)-B67*(1-'Entradas'!$B$6)-(I67-D67))/D29)</x:f>
        <x:v>51.03476958525362</x:v>
      </x:c>
      <x:c r="W67" s="59" t="n">
        <x:f>(L67-B67-(I67-D67)-MAX(0,L67-B67)*'Entradas'!$B$6-L67*('Entradas'!$B$7+'Entradas'!$B$14))/L67-'Entradas'!$B$17</x:f>
        <x:v>0.042832845828512656</x:v>
      </x:c>
      <x:c r="X67" s="59" t="n">
        <x:f>D29/L67</x:f>
        <x:v>0.0003494254206188373</x:v>
      </x:c>
    </x:row>
    <x:row r="68" ht="23" customHeight="1">
      <x:c r="A68" s="26" t="str">
        <x:f>A30</x:f>
        <x:v>MIC-08</x:v>
      </x:c>
      <x:c r="B68" s="46" t="n">
        <x:f>T30</x:f>
        <x:v>7693.16</x:v>
      </x:c>
      <x:c r="C68" s="46" t="n">
        <x:f>ROUND(C30*'Entradas'!$B$8,2)</x:f>
        <x:v>560</x:v>
      </x:c>
      <x:c r="D68" s="46" t="n">
        <x:f>ROUND(D30*'Entradas'!$B$9,2)</x:f>
        <x:v>239.27</x:v>
      </x:c>
      <x:c r="E68" s="46" t="n">
        <x:f>'Entradas'!$B$10</x:f>
        <x:v>110</x:v>
      </x:c>
      <x:c r="F68" s="46" t="n">
        <x:f>'Entradas'!$B$11</x:f>
        <x:v>30</x:v>
      </x:c>
      <x:c r="G68" s="46" t="n">
        <x:f>'Entradas'!$B$12</x:f>
        <x:v>0</x:v>
      </x:c>
      <x:c r="H68" s="46" t="n">
        <x:f>'Entradas'!$B$13</x:f>
        <x:v>0</x:v>
      </x:c>
      <x:c r="I68" s="46" t="n">
        <x:f>SUM(C68:H68)</x:f>
        <x:v>939.27</x:v>
      </x:c>
      <x:c r="J68" s="46" t="n">
        <x:f>IF('Entradas'!$B$18="OK",(B68*(1-'Entradas'!$B$6)+I68)/(1-'Entradas'!$B$6-'Entradas'!$B$7-'Entradas'!$B$14-'Entradas'!$B$15),NA())</x:f>
        <x:v>13471.127971530248</x:v>
      </x:c>
      <x:c r="K68" s="46" t="n">
        <x:f>ROUNDUP(J68,2)</x:f>
        <x:v>13471.13</x:v>
      </x:c>
      <x:c r="L68" s="46" t="n">
        <x:f>'Entradas'!G64</x:f>
        <x:v>12697</x:v>
      </x:c>
      <x:c r="M68" s="46" t="n">
        <x:f>ROUNDUP(L68*(1+'Entradas'!$B$16),2)</x:f>
        <x:v>12697</x:v>
      </x:c>
      <x:c r="N68" s="46" t="n">
        <x:f>MAX(0,M68-K68)</x:f>
        <x:v>0</x:v>
      </x:c>
      <x:c r="O68" s="47" t="n">
        <x:f>SUM(K68,N68)</x:f>
        <x:v>13471.13</x:v>
      </x:c>
      <x:c r="P68" s="46" t="n">
        <x:f>MAX(0,O68-B68)*'Entradas'!$B$6</x:f>
        <x:v>797.35986</x:v>
      </x:c>
      <x:c r="Q68" s="46" t="n">
        <x:f>O68*'Entradas'!$B$7</x:f>
        <x:v>1077.6904</x:v>
      </x:c>
      <x:c r="R68" s="46" t="n">
        <x:f>O68*'Entradas'!$B$14</x:f>
        <x:v>0</x:v>
      </x:c>
      <x:c r="S68" s="46" t="n">
        <x:f>O68-B68-I68-SUM(P68:R68)</x:f>
        <x:v>2963.649739999999</x:v>
      </x:c>
      <x:c r="T68" s="58" t="n">
        <x:f>S68/O68</x:f>
        <x:v>0.2200000846254174</x:v>
      </x:c>
      <x:c r="U68" s="58" t="n">
        <x:f>(L68-B68-I68-MAX(0,L68-B68)*'Entradas'!$B$6-L68*('Entradas'!$B$7+'Entradas'!$B$14))/L68</x:f>
        <x:v>0.18573521934315196</x:v>
      </x:c>
      <x:c r="V68" s="46" t="n">
        <x:f>MAX(0,(M68*(1-'Entradas'!$B$6-'Entradas'!$B$7-'Entradas'!$B$14-'Entradas'!$B$15)-B68*(1-'Entradas'!$B$6)-(I68-D68))/D30)</x:f>
        <x:v>0</x:v>
      </x:c>
      <x:c r="W68" s="59" t="n">
        <x:f>(L68-B68-(I68-D68)-MAX(0,L68-B68)*'Entradas'!$B$6-L68*('Entradas'!$B$7+'Entradas'!$B$14))/L68-'Entradas'!$B$17</x:f>
        <x:v>0.009579828305899013</x:v>
      </x:c>
      <x:c r="X68" s="59" t="n">
        <x:f>D30/L68</x:f>
        <x:v>0.0003906434590848232</x:v>
      </x:c>
    </x:row>
    <x:row r="69" ht="23" customHeight="1">
      <x:c r="A69" s="26" t="str">
        <x:f>A31</x:f>
        <x:v>MIC-09</x:v>
      </x:c>
      <x:c r="B69" s="46" t="n">
        <x:f>T31</x:f>
        <x:v>9437.87</x:v>
      </x:c>
      <x:c r="C69" s="46" t="n">
        <x:f>ROUND(C31*'Entradas'!$B$8,2)</x:f>
        <x:v>630</x:v>
      </x:c>
      <x:c r="D69" s="46" t="n">
        <x:f>ROUND(D31*'Entradas'!$B$9,2)</x:f>
        <x:v>269.18</x:v>
      </x:c>
      <x:c r="E69" s="46" t="n">
        <x:f>'Entradas'!$B$10</x:f>
        <x:v>110</x:v>
      </x:c>
      <x:c r="F69" s="46" t="n">
        <x:f>'Entradas'!$B$11</x:f>
        <x:v>30</x:v>
      </x:c>
      <x:c r="G69" s="46" t="n">
        <x:f>'Entradas'!$B$12</x:f>
        <x:v>0</x:v>
      </x:c>
      <x:c r="H69" s="46" t="n">
        <x:f>'Entradas'!$B$13</x:f>
        <x:v>0</x:v>
      </x:c>
      <x:c r="I69" s="46" t="n">
        <x:f>SUM(C69:H69)</x:f>
        <x:v>1039.18</x:v>
      </x:c>
      <x:c r="J69" s="46" t="n">
        <x:f>IF('Entradas'!$B$18="OK",(B69*(1-'Entradas'!$B$6)+I69)/(1-'Entradas'!$B$6-'Entradas'!$B$7-'Entradas'!$B$14-'Entradas'!$B$15),NA())</x:f>
        <x:v>16324.95362989324</x:v>
      </x:c>
      <x:c r="K69" s="46" t="n">
        <x:f>ROUNDUP(J69,2)</x:f>
        <x:v>16324.96</x:v>
      </x:c>
      <x:c r="L69" s="46" t="n">
        <x:f>'Entradas'!G65</x:f>
        <x:v>15297</x:v>
      </x:c>
      <x:c r="M69" s="46" t="n">
        <x:f>ROUNDUP(L69*(1+'Entradas'!$B$16),2)</x:f>
        <x:v>15297</x:v>
      </x:c>
      <x:c r="N69" s="46" t="n">
        <x:f>MAX(0,M69-K69)</x:f>
        <x:v>0</x:v>
      </x:c>
      <x:c r="O69" s="47" t="n">
        <x:f>SUM(K69,N69)</x:f>
        <x:v>16324.96</x:v>
      </x:c>
      <x:c r="P69" s="46" t="n">
        <x:f>MAX(0,O69-B69)*'Entradas'!$B$6</x:f>
        <x:v>950.4184199999999</x:v>
      </x:c>
      <x:c r="Q69" s="46" t="n">
        <x:f>O69*'Entradas'!$B$7</x:f>
        <x:v>1305.9968</x:v>
      </x:c>
      <x:c r="R69" s="46" t="n">
        <x:f>O69*'Entradas'!$B$14</x:f>
        <x:v>0</x:v>
      </x:c>
      <x:c r="S69" s="46" t="n">
        <x:f>O69-B69-I69-SUM(P69:R69)</x:f>
        <x:v>3591.494779999998</x:v>
      </x:c>
      <x:c r="T69" s="58" t="n">
        <x:f>S69/O69</x:f>
        <x:v>0.22000021929609617</x:v>
      </x:c>
      <x:c r="U69" s="58" t="n">
        <x:f>(L69-B69-I69-MAX(0,L69-B69)*'Entradas'!$B$6-L69*('Entradas'!$B$7+'Entradas'!$B$14))/L69</x:f>
        <x:v>0.18223377525004894</x:v>
      </x:c>
      <x:c r="V69" s="46" t="n">
        <x:f>MAX(0,(M69*(1-'Entradas'!$B$6-'Entradas'!$B$7-'Entradas'!$B$14-'Entradas'!$B$15)-B69*(1-'Entradas'!$B$6)-(I69-D69))/D31)</x:f>
        <x:v>0</x:v>
      </x:c>
      <x:c r="W69" s="59" t="n">
        <x:f>(L69-B69-(I69-D69)-MAX(0,L69-B69)*'Entradas'!$B$6-L69*('Entradas'!$B$7+'Entradas'!$B$14))/L69-'Entradas'!$B$17</x:f>
        <x:v>0.004830689677714495</x:v>
      </x:c>
      <x:c r="X69" s="59" t="n">
        <x:f>D31/L69</x:f>
        <x:v>0.00036477740733477154</x:v>
      </x:c>
    </x:row>
    <x:row r="70" ht="23" customHeight="1">
      <x:c r="A70" s="26" t="str">
        <x:f>A32</x:f>
        <x:v>MIC-10</x:v>
      </x:c>
      <x:c r="B70" s="46" t="n">
        <x:f>T32</x:f>
        <x:v>10021.09</x:v>
      </x:c>
      <x:c r="C70" s="46" t="n">
        <x:f>ROUND(C32*'Entradas'!$B$8,2)</x:f>
        <x:v>700</x:v>
      </x:c>
      <x:c r="D70" s="46" t="n">
        <x:f>ROUND(D32*'Entradas'!$B$9,2)</x:f>
        <x:v>299.09</x:v>
      </x:c>
      <x:c r="E70" s="46" t="n">
        <x:f>'Entradas'!$B$10</x:f>
        <x:v>110</x:v>
      </x:c>
      <x:c r="F70" s="46" t="n">
        <x:f>'Entradas'!$B$11</x:f>
        <x:v>30</x:v>
      </x:c>
      <x:c r="G70" s="46" t="n">
        <x:f>'Entradas'!$B$12</x:f>
        <x:v>0</x:v>
      </x:c>
      <x:c r="H70" s="46" t="n">
        <x:f>'Entradas'!$B$13</x:f>
        <x:v>0</x:v>
      </x:c>
      <x:c r="I70" s="46" t="n">
        <x:f>SUM(C70:H70)</x:f>
        <x:v>1139.09</x:v>
      </x:c>
      <x:c r="J70" s="46" t="n">
        <x:f>IF('Entradas'!$B$18="OK",(B70*(1-'Entradas'!$B$6)+I70)/(1-'Entradas'!$B$6-'Entradas'!$B$7-'Entradas'!$B$14-'Entradas'!$B$15),NA())</x:f>
        <x:v>17397.276832740212</x:v>
      </x:c>
      <x:c r="K70" s="46" t="n">
        <x:f>ROUNDUP(J70,2)</x:f>
        <x:v>17397.28</x:v>
      </x:c>
      <x:c r="L70" s="46" t="n">
        <x:f>'Entradas'!G66</x:f>
        <x:v>16297</x:v>
      </x:c>
      <x:c r="M70" s="46" t="n">
        <x:f>ROUNDUP(L70*(1+'Entradas'!$B$16),2)</x:f>
        <x:v>16297</x:v>
      </x:c>
      <x:c r="N70" s="46" t="n">
        <x:f>MAX(0,M70-K70)</x:f>
        <x:v>0</x:v>
      </x:c>
      <x:c r="O70" s="47" t="n">
        <x:f>SUM(K70,N70)</x:f>
        <x:v>17397.28</x:v>
      </x:c>
      <x:c r="P70" s="46" t="n">
        <x:f>MAX(0,O70-B70)*'Entradas'!$B$6</x:f>
        <x:v>1017.9142199999999</x:v>
      </x:c>
      <x:c r="Q70" s="46" t="n">
        <x:f>O70*'Entradas'!$B$7</x:f>
        <x:v>1391.7823999999998</x:v>
      </x:c>
      <x:c r="R70" s="46" t="n">
        <x:f>O70*'Entradas'!$B$14</x:f>
        <x:v>0</x:v>
      </x:c>
      <x:c r="S70" s="46" t="n">
        <x:f>O70-B70-I70-SUM(P70:R70)</x:f>
        <x:v>3827.403379999999</x:v>
      </x:c>
      <x:c r="T70" s="58" t="n">
        <x:f>S70/O70</x:f>
        <x:v>0.22000010231484457</x:v>
      </x:c>
      <x:c r="U70" s="58" t="n">
        <x:f>(L70-B70-I70-MAX(0,L70-B70)*'Entradas'!$B$6-L70*('Entradas'!$B$7+'Entradas'!$B$14))/L70</x:f>
        <x:v>0.18205709148923113</x:v>
      </x:c>
      <x:c r="V70" s="46" t="n">
        <x:f>MAX(0,(M70*(1-'Entradas'!$B$6-'Entradas'!$B$7-'Entradas'!$B$14-'Entradas'!$B$15)-B70*(1-'Entradas'!$B$6)-(I70-D70))/D32)</x:f>
        <x:v>0</x:v>
      </x:c>
      <x:c r="W70" s="59" t="n">
        <x:f>(L70-B70-(I70-D70)-MAX(0,L70-B70)*'Entradas'!$B$6-L70*('Entradas'!$B$7+'Entradas'!$B$14))/L70-'Entradas'!$B$17</x:f>
        <x:v>0.005409548996747865</x:v>
      </x:c>
      <x:c r="X70" s="59" t="n">
        <x:f>D32/L70</x:f>
        <x:v>0.00038043811744492854</x:v>
      </x:c>
    </x:row>
    <x:row r="71" ht="23" customHeight="1">
      <x:c r="A71" s="26" t="str">
        <x:f>A33</x:f>
        <x:v>MIC-11</x:v>
      </x:c>
      <x:c r="B71" s="46" t="n">
        <x:f>T33</x:f>
        <x:v>10756.52</x:v>
      </x:c>
      <x:c r="C71" s="46" t="n">
        <x:f>ROUND(C33*'Entradas'!$B$8,2)</x:f>
        <x:v>770</x:v>
      </x:c>
      <x:c r="D71" s="46" t="n">
        <x:f>ROUND(D33*'Entradas'!$B$9,2)</x:f>
        <x:v>329</x:v>
      </x:c>
      <x:c r="E71" s="46" t="n">
        <x:f>'Entradas'!$B$10</x:f>
        <x:v>110</x:v>
      </x:c>
      <x:c r="F71" s="46" t="n">
        <x:f>'Entradas'!$B$11</x:f>
        <x:v>30</x:v>
      </x:c>
      <x:c r="G71" s="46" t="n">
        <x:f>'Entradas'!$B$12</x:f>
        <x:v>0</x:v>
      </x:c>
      <x:c r="H71" s="46" t="n">
        <x:f>'Entradas'!$B$13</x:f>
        <x:v>0</x:v>
      </x:c>
      <x:c r="I71" s="46" t="n">
        <x:f>SUM(C71:H71)</x:f>
        <x:v>1239</x:v>
      </x:c>
      <x:c r="J71" s="46" t="n">
        <x:f>IF('Entradas'!$B$18="OK",(B71*(1-'Entradas'!$B$6)+I71)/(1-'Entradas'!$B$6-'Entradas'!$B$7-'Entradas'!$B$14-'Entradas'!$B$15),NA())</x:f>
        <x:v>18703.060925266902</x:v>
      </x:c>
      <x:c r="K71" s="46" t="n">
        <x:f>ROUNDUP(J71,2)</x:f>
        <x:v>18703.07</x:v>
      </x:c>
      <x:c r="L71" s="46" t="n">
        <x:f>'Entradas'!G67</x:f>
        <x:v>17497</x:v>
      </x:c>
      <x:c r="M71" s="46" t="n">
        <x:f>ROUNDUP(L71*(1+'Entradas'!$B$16),2)</x:f>
        <x:v>17497</x:v>
      </x:c>
      <x:c r="N71" s="46" t="n">
        <x:f>MAX(0,M71-K71)</x:f>
        <x:v>0</x:v>
      </x:c>
      <x:c r="O71" s="47" t="n">
        <x:f>SUM(K71,N71)</x:f>
        <x:v>18703.07</x:v>
      </x:c>
      <x:c r="P71" s="46" t="n">
        <x:f>MAX(0,O71-B71)*'Entradas'!$B$6</x:f>
        <x:v>1096.6239</x:v>
      </x:c>
      <x:c r="Q71" s="46" t="n">
        <x:f>O71*'Entradas'!$B$7</x:f>
        <x:v>1496.2456</x:v>
      </x:c>
      <x:c r="R71" s="46" t="n">
        <x:f>O71*'Entradas'!$B$14</x:f>
        <x:v>0</x:v>
      </x:c>
      <x:c r="S71" s="46" t="n">
        <x:f>O71-B71-I71-SUM(P71:R71)</x:f>
        <x:v>4114.6804999999995</x:v>
      </x:c>
      <x:c r="T71" s="58" t="n">
        <x:f>S71/O71</x:f>
        <x:v>0.2200002726825061</x:v>
      </x:c>
      <x:c r="U71" s="58" t="n">
        <x:f>(L71-B71-I71-MAX(0,L71-B71)*'Entradas'!$B$6-L71*('Entradas'!$B$7+'Entradas'!$B$14))/L71</x:f>
        <x:v>0.18126157398411152</x:v>
      </x:c>
      <x:c r="V71" s="46" t="n">
        <x:f>MAX(0,(M71*(1-'Entradas'!$B$6-'Entradas'!$B$7-'Entradas'!$B$14-'Entradas'!$B$15)-B71*(1-'Entradas'!$B$6)-(I71-D71))/D33)</x:f>
        <x:v>0</x:v>
      </x:c>
      <x:c r="W71" s="59" t="n">
        <x:f>(L71-B71-(I71-D71)-MAX(0,L71-B71)*'Entradas'!$B$6-L71*('Entradas'!$B$7+'Entradas'!$B$14))/L71-'Entradas'!$B$17</x:f>
        <x:v>0.005064797393838888</x:v>
      </x:c>
      <x:c r="X71" s="59" t="n">
        <x:f>D33/L71</x:f>
        <x:v>0.0003897811053323427</x:v>
      </x:c>
    </x:row>
    <x:row r="72" ht="23" customHeight="1">
      <x:c r="A72" s="26" t="str">
        <x:f>A34</x:f>
        <x:v>MIC-12</x:v>
      </x:c>
      <x:c r="B72" s="46" t="n">
        <x:f>T34</x:f>
        <x:v>11360.85</x:v>
      </x:c>
      <x:c r="C72" s="46" t="n">
        <x:f>ROUND(C34*'Entradas'!$B$8,2)</x:f>
        <x:v>840</x:v>
      </x:c>
      <x:c r="D72" s="46" t="n">
        <x:f>ROUND(D34*'Entradas'!$B$9,2)</x:f>
        <x:v>358.91</x:v>
      </x:c>
      <x:c r="E72" s="46" t="n">
        <x:f>'Entradas'!$B$10</x:f>
        <x:v>110</x:v>
      </x:c>
      <x:c r="F72" s="46" t="n">
        <x:f>'Entradas'!$B$11</x:f>
        <x:v>30</x:v>
      </x:c>
      <x:c r="G72" s="46" t="n">
        <x:f>'Entradas'!$B$12</x:f>
        <x:v>0</x:v>
      </x:c>
      <x:c r="H72" s="46" t="n">
        <x:f>'Entradas'!$B$13</x:f>
        <x:v>0</x:v>
      </x:c>
      <x:c r="I72" s="46" t="n">
        <x:f>SUM(C72:H72)</x:f>
        <x:v>1338.91</x:v>
      </x:c>
      <x:c r="J72" s="46" t="n">
        <x:f>IF('Entradas'!$B$18="OK",(B72*(1-'Entradas'!$B$6)+I72)/(1-'Entradas'!$B$6-'Entradas'!$B$7-'Entradas'!$B$14-'Entradas'!$B$15),NA())</x:f>
        <x:v>19807.7628113879</x:v>
      </x:c>
      <x:c r="K72" s="46" t="n">
        <x:f>ROUNDUP(J72,2)</x:f>
        <x:v>19807.77</x:v>
      </x:c>
      <x:c r="L72" s="46" t="n">
        <x:f>'Entradas'!G68</x:f>
        <x:v>18497</x:v>
      </x:c>
      <x:c r="M72" s="46" t="n">
        <x:f>ROUNDUP(L72*(1+'Entradas'!$B$16),2)</x:f>
        <x:v>18497</x:v>
      </x:c>
      <x:c r="N72" s="46" t="n">
        <x:f>MAX(0,M72-K72)</x:f>
        <x:v>0</x:v>
      </x:c>
      <x:c r="O72" s="47" t="n">
        <x:f>SUM(K72,N72)</x:f>
        <x:v>19807.77</x:v>
      </x:c>
      <x:c r="P72" s="46" t="n">
        <x:f>MAX(0,O72-B72)*'Entradas'!$B$6</x:f>
        <x:v>1165.67496</x:v>
      </x:c>
      <x:c r="Q72" s="46" t="n">
        <x:f>O72*'Entradas'!$B$7</x:f>
        <x:v>1584.6216000000002</x:v>
      </x:c>
      <x:c r="R72" s="46" t="n">
        <x:f>O72*'Entradas'!$B$14</x:f>
        <x:v>0</x:v>
      </x:c>
      <x:c r="S72" s="46" t="n">
        <x:f>O72-B72-I72-SUM(P72:R72)</x:f>
        <x:v>4357.7134399999995</x:v>
      </x:c>
      <x:c r="T72" s="58" t="n">
        <x:f>S72/O72</x:f>
        <x:v>0.22000020396036502</x:v>
      </x:c>
      <x:c r="U72" s="58" t="n">
        <x:f>(L72-B72-I72-MAX(0,L72-B72)*'Entradas'!$B$6-L72*('Entradas'!$B$7+'Entradas'!$B$14))/L72</x:f>
        <x:v>0.1801746931934908</x:v>
      </x:c>
      <x:c r="V72" s="46" t="n">
        <x:f>MAX(0,(M72*(1-'Entradas'!$B$6-'Entradas'!$B$7-'Entradas'!$B$14-'Entradas'!$B$15)-B72*(1-'Entradas'!$B$6)-(I72-D72))/D34)</x:f>
        <x:v>0</x:v>
      </x:c>
      <x:c r="W72" s="59" t="n">
        <x:f>(L72-B72-(I72-D72)-MAX(0,L72-B72)*'Entradas'!$B$6-L72*('Entradas'!$B$7+'Entradas'!$B$14))/L72-'Entradas'!$B$17</x:f>
        <x:v>0.004578380277882849</x:v>
      </x:c>
      <x:c r="X72" s="59" t="n">
        <x:f>D34/L72</x:f>
        <x:v>0.0004022273882251176</x:v>
      </x:c>
    </x:row>
    <x:row r="73" ht="23" customHeight="1">
      <x:c r="A73" s="26" t="str">
        <x:f>A35</x:f>
        <x:v>MIC-13</x:v>
      </x:c>
      <x:c r="B73" s="46" t="n">
        <x:f>T35</x:f>
        <x:v>13172.73</x:v>
      </x:c>
      <x:c r="C73" s="46" t="n">
        <x:f>ROUND(C35*'Entradas'!$B$8,2)</x:f>
        <x:v>910</x:v>
      </x:c>
      <x:c r="D73" s="46" t="n">
        <x:f>ROUND(D35*'Entradas'!$B$9,2)</x:f>
        <x:v>388.81</x:v>
      </x:c>
      <x:c r="E73" s="46" t="n">
        <x:f>'Entradas'!$B$10</x:f>
        <x:v>110</x:v>
      </x:c>
      <x:c r="F73" s="46" t="n">
        <x:f>'Entradas'!$B$11</x:f>
        <x:v>30</x:v>
      </x:c>
      <x:c r="G73" s="46" t="n">
        <x:f>'Entradas'!$B$12</x:f>
        <x:v>0</x:v>
      </x:c>
      <x:c r="H73" s="46" t="n">
        <x:f>'Entradas'!$B$13</x:f>
        <x:v>0</x:v>
      </x:c>
      <x:c r="I73" s="46" t="n">
        <x:f>SUM(C73:H73)</x:f>
        <x:v>1438.81</x:v>
      </x:c>
      <x:c r="J73" s="46" t="n">
        <x:f>IF('Entradas'!$B$18="OK",(B73*(1-'Entradas'!$B$6)+I73)/(1-'Entradas'!$B$6-'Entradas'!$B$7-'Entradas'!$B$14-'Entradas'!$B$15),NA())</x:f>
        <x:v>22764.5965480427</x:v>
      </x:c>
      <x:c r="K73" s="46" t="n">
        <x:f>ROUNDUP(J73,2)</x:f>
        <x:v>22764.6</x:v>
      </x:c>
      <x:c r="L73" s="46" t="n">
        <x:f>'Entradas'!G69</x:f>
        <x:v>21197</x:v>
      </x:c>
      <x:c r="M73" s="46" t="n">
        <x:f>ROUNDUP(L73*(1+'Entradas'!$B$16),2)</x:f>
        <x:v>21197</x:v>
      </x:c>
      <x:c r="N73" s="46" t="n">
        <x:f>MAX(0,M73-K73)</x:f>
        <x:v>0</x:v>
      </x:c>
      <x:c r="O73" s="47" t="n">
        <x:f>SUM(K73,N73)</x:f>
        <x:v>22764.6</x:v>
      </x:c>
      <x:c r="P73" s="46" t="n">
        <x:f>MAX(0,O73-B73)*'Entradas'!$B$6</x:f>
        <x:v>1323.67806</x:v>
      </x:c>
      <x:c r="Q73" s="46" t="n">
        <x:f>O73*'Entradas'!$B$7</x:f>
        <x:v>1821.168</x:v>
      </x:c>
      <x:c r="R73" s="46" t="n">
        <x:f>O73*'Entradas'!$B$14</x:f>
        <x:v>0</x:v>
      </x:c>
      <x:c r="S73" s="46" t="n">
        <x:f>O73-B73-I73-SUM(P73:R73)</x:f>
        <x:v>5008.21394</x:v>
      </x:c>
      <x:c r="T73" s="58" t="n">
        <x:f>S73/O73</x:f>
        <x:v>0.2200000852200346</x:v>
      </x:c>
      <x:c r="U73" s="58" t="n">
        <x:f>(L73-B73-I73-MAX(0,L73-B73)*'Entradas'!$B$6-L73*('Entradas'!$B$7+'Entradas'!$B$14))/L73</x:f>
        <x:v>0.17843802141812523</x:v>
      </x:c>
      <x:c r="V73" s="46" t="n">
        <x:f>MAX(0,(M73*(1-'Entradas'!$B$6-'Entradas'!$B$7-'Entradas'!$B$14-'Entradas'!$B$15)-B73*(1-'Entradas'!$B$6)-(I73-D73))/D35)</x:f>
        <x:v>0</x:v>
      </x:c>
      <x:c r="W73" s="59" t="n">
        <x:f>(L73-B73-(I73-D73)-MAX(0,L73-B73)*'Entradas'!$B$6-L73*('Entradas'!$B$7+'Entradas'!$B$14))/L73-'Entradas'!$B$17</x:f>
        <x:v>0.0017807114214275777</x:v>
      </x:c>
      <x:c r="X73" s="59" t="n">
        <x:f>D35/L73</x:f>
        <x:v>0.00038024248714440726</x:v>
      </x:c>
    </x:row>
    <x:row r="74" ht="23" customHeight="1">
      <x:c r="A74" s="26" t="str">
        <x:f>A36</x:f>
        <x:v>MIC-14</x:v>
      </x:c>
      <x:c r="B74" s="46" t="n">
        <x:f>T36</x:f>
        <x:v>13778.4</x:v>
      </x:c>
      <x:c r="C74" s="46" t="n">
        <x:f>ROUND(C36*'Entradas'!$B$8,2)</x:f>
        <x:v>980</x:v>
      </x:c>
      <x:c r="D74" s="46" t="n">
        <x:f>ROUND(D36*'Entradas'!$B$9,2)</x:f>
        <x:v>418.72</x:v>
      </x:c>
      <x:c r="E74" s="46" t="n">
        <x:f>'Entradas'!$B$10</x:f>
        <x:v>110</x:v>
      </x:c>
      <x:c r="F74" s="46" t="n">
        <x:f>'Entradas'!$B$11</x:f>
        <x:v>30</x:v>
      </x:c>
      <x:c r="G74" s="46" t="n">
        <x:f>'Entradas'!$B$12</x:f>
        <x:v>0</x:v>
      </x:c>
      <x:c r="H74" s="46" t="n">
        <x:f>'Entradas'!$B$13</x:f>
        <x:v>0</x:v>
      </x:c>
      <x:c r="I74" s="46" t="n">
        <x:f>SUM(C74:H74)</x:f>
        <x:v>1538.72</x:v>
      </x:c>
      <x:c r="J74" s="46" t="n">
        <x:f>IF('Entradas'!$B$18="OK",(B74*(1-'Entradas'!$B$6)+I74)/(1-'Entradas'!$B$6-'Entradas'!$B$7-'Entradas'!$B$14-'Entradas'!$B$15),NA())</x:f>
        <x:v>23871.3537366548</x:v>
      </x:c>
      <x:c r="K74" s="46" t="n">
        <x:f>ROUNDUP(J74,2)</x:f>
        <x:v>23871.36</x:v>
      </x:c>
      <x:c r="L74" s="46" t="n">
        <x:f>'Entradas'!G70</x:f>
        <x:v>22197</x:v>
      </x:c>
      <x:c r="M74" s="46" t="n">
        <x:f>ROUNDUP(L74*(1+'Entradas'!$B$16),2)</x:f>
        <x:v>22197</x:v>
      </x:c>
      <x:c r="N74" s="46" t="n">
        <x:f>MAX(0,M74-K74)</x:f>
        <x:v>0</x:v>
      </x:c>
      <x:c r="O74" s="47" t="n">
        <x:f>SUM(K74,N74)</x:f>
        <x:v>23871.36</x:v>
      </x:c>
      <x:c r="P74" s="46" t="n">
        <x:f>MAX(0,O74-B74)*'Entradas'!$B$6</x:f>
        <x:v>1392.8284800000004</x:v>
      </x:c>
      <x:c r="Q74" s="46" t="n">
        <x:f>O74*'Entradas'!$B$7</x:f>
        <x:v>1909.7088</x:v>
      </x:c>
      <x:c r="R74" s="46" t="n">
        <x:f>O74*'Entradas'!$B$14</x:f>
        <x:v>0</x:v>
      </x:c>
      <x:c r="S74" s="46" t="n">
        <x:f>O74-B74-I74-SUM(P74:R74)</x:f>
        <x:v>5251.702720000001</x:v>
      </x:c>
      <x:c r="T74" s="58" t="n">
        <x:f>S74/O74</x:f>
        <x:v>0.22000014745703642</x:v>
      </x:c>
      <x:c r="U74" s="58" t="n">
        <x:f>(L74-B74-I74-MAX(0,L74-B74)*'Entradas'!$B$6-L74*('Entradas'!$B$7+'Entradas'!$B$14))/L74</x:f>
        <x:v>0.17760747848808395</x:v>
      </x:c>
      <x:c r="V74" s="46" t="n">
        <x:f>MAX(0,(M74*(1-'Entradas'!$B$6-'Entradas'!$B$7-'Entradas'!$B$14-'Entradas'!$B$15)-B74*(1-'Entradas'!$B$6)-(I74-D74))/D36)</x:f>
        <x:v>0</x:v>
      </x:c>
      <x:c r="W74" s="59" t="n">
        <x:f>(L74-B74-(I74-D74)-MAX(0,L74-B74)*'Entradas'!$B$6-L74*('Entradas'!$B$7+'Entradas'!$B$14))/L74-'Entradas'!$B$17</x:f>
        <x:v>0.0014712889129161466</x:v>
      </x:c>
      <x:c r="X74" s="59" t="n">
        <x:f>D36/L74</x:f>
        <x:v>0.000391043834752444</x:v>
      </x:c>
    </x:row>
    <x:row r="75" ht="23" customHeight="1">
      <x:c r="A75" s="26" t="str">
        <x:f>A37</x:f>
        <x:v>MIC-15</x:v>
      </x:c>
      <x:c r="B75" s="46" t="n">
        <x:f>T37</x:f>
        <x:v>14542.14</x:v>
      </x:c>
      <x:c r="C75" s="46" t="n">
        <x:f>ROUND(C37*'Entradas'!$B$8,2)</x:f>
        <x:v>1050</x:v>
      </x:c>
      <x:c r="D75" s="46" t="n">
        <x:f>ROUND(D37*'Entradas'!$B$9,2)</x:f>
        <x:v>448.63</x:v>
      </x:c>
      <x:c r="E75" s="46" t="n">
        <x:f>'Entradas'!$B$10</x:f>
        <x:v>110</x:v>
      </x:c>
      <x:c r="F75" s="46" t="n">
        <x:f>'Entradas'!$B$11</x:f>
        <x:v>30</x:v>
      </x:c>
      <x:c r="G75" s="46" t="n">
        <x:f>'Entradas'!$B$12</x:f>
        <x:v>0</x:v>
      </x:c>
      <x:c r="H75" s="46" t="n">
        <x:f>'Entradas'!$B$13</x:f>
        <x:v>0</x:v>
      </x:c>
      <x:c r="I75" s="46" t="n">
        <x:f>SUM(C75:H75)</x:f>
        <x:v>1638.63</x:v>
      </x:c>
      <x:c r="J75" s="46" t="n">
        <x:f>IF('Entradas'!$B$18="OK",(B75*(1-'Entradas'!$B$6)+I75)/(1-'Entradas'!$B$6-'Entradas'!$B$7-'Entradas'!$B$14-'Entradas'!$B$15),NA())</x:f>
        <x:v>25220.55992882562</x:v>
      </x:c>
      <x:c r="K75" s="46" t="n">
        <x:f>ROUNDUP(J75,2)</x:f>
        <x:v>25220.56</x:v>
      </x:c>
      <x:c r="L75" s="46" t="n">
        <x:f>'Entradas'!G71</x:f>
        <x:v>23397</x:v>
      </x:c>
      <x:c r="M75" s="46" t="n">
        <x:f>ROUNDUP(L75*(1+'Entradas'!$B$16),2)</x:f>
        <x:v>23397</x:v>
      </x:c>
      <x:c r="N75" s="46" t="n">
        <x:f>MAX(0,M75-K75)</x:f>
        <x:v>0</x:v>
      </x:c>
      <x:c r="O75" s="47" t="n">
        <x:f>SUM(K75,N75)</x:f>
        <x:v>25220.56</x:v>
      </x:c>
      <x:c r="P75" s="46" t="n">
        <x:f>MAX(0,O75-B75)*'Entradas'!$B$6</x:f>
        <x:v>1473.6219600000004</x:v>
      </x:c>
      <x:c r="Q75" s="46" t="n">
        <x:f>O75*'Entradas'!$B$7</x:f>
        <x:v>2017.6448000000003</x:v>
      </x:c>
      <x:c r="R75" s="46" t="n">
        <x:f>O75*'Entradas'!$B$14</x:f>
        <x:v>0</x:v>
      </x:c>
      <x:c r="S75" s="46" t="n">
        <x:f>O75-B75-I75-SUM(P75:R75)</x:f>
        <x:v>5548.52324</x:v>
      </x:c>
      <x:c r="T75" s="58" t="n">
        <x:f>S75/O75</x:f>
        <x:v>0.2200000015860076</x:v>
      </x:c>
      <x:c r="U75" s="58" t="n">
        <x:f>(L75-B75-I75-MAX(0,L75-B75)*'Entradas'!$B$6-L75*('Entradas'!$B$7+'Entradas'!$B$14))/L75</x:f>
        <x:v>0.17619777407359918</x:v>
      </x:c>
      <x:c r="V75" s="46" t="n">
        <x:f>MAX(0,(M75*(1-'Entradas'!$B$6-'Entradas'!$B$7-'Entradas'!$B$14-'Entradas'!$B$15)-B75*(1-'Entradas'!$B$6)-(I75-D75))/D37)</x:f>
        <x:v>0</x:v>
      </x:c>
      <x:c r="W75" s="59" t="n">
        <x:f>(L75-B75-(I75-D75)-MAX(0,L75-B75)*'Entradas'!$B$6-L75*('Entradas'!$B$7+'Entradas'!$B$14))/L75-'Entradas'!$B$17</x:f>
        <x:v>0.00037245458819507027</x:v>
      </x:c>
      <x:c r="X75" s="59" t="n">
        <x:f>D37/L75</x:f>
        <x:v>0.0003974868572893961</x:v>
      </x:c>
    </x:row>
    <x:row r="76" ht="23" customHeight="1">
      <x:c r="A76" s="26" t="str">
        <x:f>A38</x:f>
        <x:v>MIC-16</x:v>
      </x:c>
      <x:c r="B76" s="46" t="n">
        <x:f>T38</x:f>
        <x:v>15147.81</x:v>
      </x:c>
      <x:c r="C76" s="46" t="n">
        <x:f>ROUND(C38*'Entradas'!$B$8,2)</x:f>
        <x:v>1120</x:v>
      </x:c>
      <x:c r="D76" s="46" t="n">
        <x:f>ROUND(D38*'Entradas'!$B$9,2)</x:f>
        <x:v>478.54</x:v>
      </x:c>
      <x:c r="E76" s="46" t="n">
        <x:f>'Entradas'!$B$10</x:f>
        <x:v>110</x:v>
      </x:c>
      <x:c r="F76" s="46" t="n">
        <x:f>'Entradas'!$B$11</x:f>
        <x:v>30</x:v>
      </x:c>
      <x:c r="G76" s="46" t="n">
        <x:f>'Entradas'!$B$12</x:f>
        <x:v>0</x:v>
      </x:c>
      <x:c r="H76" s="46" t="n">
        <x:f>'Entradas'!$B$13</x:f>
        <x:v>0</x:v>
      </x:c>
      <x:c r="I76" s="46" t="n">
        <x:f>SUM(C76:H76)</x:f>
        <x:v>1738.54</x:v>
      </x:c>
      <x:c r="J76" s="46" t="n">
        <x:f>IF('Entradas'!$B$18="OK",(B76*(1-'Entradas'!$B$6)+I76)/(1-'Entradas'!$B$6-'Entradas'!$B$7-'Entradas'!$B$14-'Entradas'!$B$15),NA())</x:f>
        <x:v>26327.317117437717</x:v>
      </x:c>
      <x:c r="K76" s="46" t="n">
        <x:f>ROUNDUP(J76,2)</x:f>
        <x:v>26327.32</x:v>
      </x:c>
      <x:c r="L76" s="46" t="n">
        <x:f>'Entradas'!G72</x:f>
        <x:v>24397</x:v>
      </x:c>
      <x:c r="M76" s="46" t="n">
        <x:f>ROUNDUP(L76*(1+'Entradas'!$B$16),2)</x:f>
        <x:v>24397</x:v>
      </x:c>
      <x:c r="N76" s="46" t="n">
        <x:f>MAX(0,M76-K76)</x:f>
        <x:v>0</x:v>
      </x:c>
      <x:c r="O76" s="47" t="n">
        <x:f>SUM(K76,N76)</x:f>
        <x:v>26327.32</x:v>
      </x:c>
      <x:c r="P76" s="46" t="n">
        <x:f>MAX(0,O76-B76)*'Entradas'!$B$6</x:f>
        <x:v>1542.77238</x:v>
      </x:c>
      <x:c r="Q76" s="46" t="n">
        <x:f>O76*'Entradas'!$B$7</x:f>
        <x:v>2106.1856</x:v>
      </x:c>
      <x:c r="R76" s="46" t="n">
        <x:f>O76*'Entradas'!$B$14</x:f>
        <x:v>0</x:v>
      </x:c>
      <x:c r="S76" s="46" t="n">
        <x:f>O76-B76-I76-SUM(P76:R76)</x:f>
        <x:v>5792.012020000001</x:v>
      </x:c>
      <x:c r="T76" s="58" t="n">
        <x:f>S76/O76</x:f>
        <x:v>0.22000006153303872</x:v>
      </x:c>
      <x:c r="U76" s="58" t="n">
        <x:f>(L76-B76-I76-MAX(0,L76-B76)*'Entradas'!$B$6-L76*('Entradas'!$B$7+'Entradas'!$B$14))/L76</x:f>
        <x:v>0.175533950075829</x:v>
      </x:c>
      <x:c r="V76" s="46" t="n">
        <x:f>MAX(0,(M76*(1-'Entradas'!$B$6-'Entradas'!$B$7-'Entradas'!$B$14-'Entradas'!$B$15)-B76*(1-'Entradas'!$B$6)-(I76-D76))/D38)</x:f>
        <x:v>0</x:v>
      </x:c>
      <x:c r="W76" s="59" t="n">
        <x:f>(L76-B76-(I76-D76)-MAX(0,L76-B76)*'Entradas'!$B$6-L76*('Entradas'!$B$7+'Entradas'!$B$14))/L76-'Entradas'!$B$17</x:f>
        <x:v>0.00014865680206579968</x:v>
      </x:c>
      <x:c r="X76" s="59" t="n">
        <x:f>D38/L76</x:f>
        <x:v>0.00040660736975857686</x:v>
      </x:c>
    </x:row>
    <x:row r="77" ht="23" customHeight="1">
      <x:c r="A77" s="26" t="str">
        <x:f>A39</x:f>
        <x:v>MIC-17</x:v>
      </x:c>
      <x:c r="B77" s="46" t="n">
        <x:f>T39</x:f>
        <x:v>16959.68</x:v>
      </x:c>
      <x:c r="C77" s="46" t="n">
        <x:f>ROUND(C39*'Entradas'!$B$8,2)</x:f>
        <x:v>1190</x:v>
      </x:c>
      <x:c r="D77" s="46" t="n">
        <x:f>ROUND(D39*'Entradas'!$B$9,2)</x:f>
        <x:v>508.45</x:v>
      </x:c>
      <x:c r="E77" s="46" t="n">
        <x:f>'Entradas'!$B$10</x:f>
        <x:v>110</x:v>
      </x:c>
      <x:c r="F77" s="46" t="n">
        <x:f>'Entradas'!$B$11</x:f>
        <x:v>30</x:v>
      </x:c>
      <x:c r="G77" s="46" t="n">
        <x:f>'Entradas'!$B$12</x:f>
        <x:v>0</x:v>
      </x:c>
      <x:c r="H77" s="46" t="n">
        <x:f>'Entradas'!$B$13</x:f>
        <x:v>0</x:v>
      </x:c>
      <x:c r="I77" s="46" t="n">
        <x:f>SUM(C77:H77)</x:f>
        <x:v>1838.45</x:v>
      </x:c>
      <x:c r="J77" s="46" t="n">
        <x:f>IF('Entradas'!$B$18="OK",(B77*(1-'Entradas'!$B$6)+I77)/(1-'Entradas'!$B$6-'Entradas'!$B$7-'Entradas'!$B$14-'Entradas'!$B$15),NA())</x:f>
        <x:v>29284.153309608537</x:v>
      </x:c>
      <x:c r="K77" s="46" t="n">
        <x:f>ROUNDUP(J77,2)</x:f>
        <x:v>29284.16</x:v>
      </x:c>
      <x:c r="L77" s="46" t="n">
        <x:f>'Entradas'!G73</x:f>
        <x:v>27197</x:v>
      </x:c>
      <x:c r="M77" s="46" t="n">
        <x:f>ROUNDUP(L77*(1+'Entradas'!$B$16),2)</x:f>
        <x:v>27197</x:v>
      </x:c>
      <x:c r="N77" s="46" t="n">
        <x:f>MAX(0,M77-K77)</x:f>
        <x:v>0</x:v>
      </x:c>
      <x:c r="O77" s="47" t="n">
        <x:f>SUM(K77,N77)</x:f>
        <x:v>29284.16</x:v>
      </x:c>
      <x:c r="P77" s="46" t="n">
        <x:f>MAX(0,O77-B77)*'Entradas'!$B$6</x:f>
        <x:v>1700.77824</x:v>
      </x:c>
      <x:c r="Q77" s="46" t="n">
        <x:f>O77*'Entradas'!$B$7</x:f>
        <x:v>2342.7328</x:v>
      </x:c>
      <x:c r="R77" s="46" t="n">
        <x:f>O77*'Entradas'!$B$14</x:f>
        <x:v>0</x:v>
      </x:c>
      <x:c r="S77" s="46" t="n">
        <x:f>O77-B77-I77-SUM(P77:R77)</x:f>
        <x:v>6442.5189599999985</x:v>
      </x:c>
      <x:c r="T77" s="58" t="n">
        <x:f>S77/O77</x:f>
        <x:v>0.2200001283970583</x:v>
      </x:c>
      <x:c r="U77" s="58" t="n">
        <x:f>(L77-B77-I77-MAX(0,L77-B77)*'Entradas'!$B$6-L77*('Entradas'!$B$7+'Entradas'!$B$14))/L77</x:f>
        <x:v>0.17687097253373532</x:v>
      </x:c>
      <x:c r="V77" s="46" t="n">
        <x:f>MAX(0,(M77*(1-'Entradas'!$B$6-'Entradas'!$B$7-'Entradas'!$B$14-'Entradas'!$B$15)-B77*(1-'Entradas'!$B$6)-(I77-D77))/D39)</x:f>
        <x:v>0</x:v>
      </x:c>
      <x:c r="W77" s="59" t="n">
        <x:f>(L77-B77-(I77-D77)-MAX(0,L77-B77)*'Entradas'!$B$6-L77*('Entradas'!$B$7+'Entradas'!$B$14))/L77-'Entradas'!$B$17</x:f>
        <x:v>0.0005660491966025527</x:v>
      </x:c>
      <x:c r="X77" s="59" t="n">
        <x:f>D39/L77</x:f>
        <x:v>0.0003875427436849652</x:v>
      </x:c>
    </x:row>
    <x:row r="78" ht="23" customHeight="1">
      <x:c r="A78" s="26" t="str">
        <x:f>A40</x:f>
        <x:v>MIC-18</x:v>
      </x:c>
      <x:c r="B78" s="46" t="n">
        <x:f>T40</x:f>
        <x:v>17565.35</x:v>
      </x:c>
      <x:c r="C78" s="46" t="n">
        <x:f>ROUND(C40*'Entradas'!$B$8,2)</x:f>
        <x:v>1260</x:v>
      </x:c>
      <x:c r="D78" s="46" t="n">
        <x:f>ROUND(D40*'Entradas'!$B$9,2)</x:f>
        <x:v>538.36</x:v>
      </x:c>
      <x:c r="E78" s="46" t="n">
        <x:f>'Entradas'!$B$10</x:f>
        <x:v>110</x:v>
      </x:c>
      <x:c r="F78" s="46" t="n">
        <x:f>'Entradas'!$B$11</x:f>
        <x:v>30</x:v>
      </x:c>
      <x:c r="G78" s="46" t="n">
        <x:f>'Entradas'!$B$12</x:f>
        <x:v>0</x:v>
      </x:c>
      <x:c r="H78" s="46" t="n">
        <x:f>'Entradas'!$B$13</x:f>
        <x:v>0</x:v>
      </x:c>
      <x:c r="I78" s="46" t="n">
        <x:f>SUM(C78:H78)</x:f>
        <x:v>1938.3600000000001</x:v>
      </x:c>
      <x:c r="J78" s="46" t="n">
        <x:f>IF('Entradas'!$B$18="OK",(B78*(1-'Entradas'!$B$6)+I78)/(1-'Entradas'!$B$6-'Entradas'!$B$7-'Entradas'!$B$14-'Entradas'!$B$15),NA())</x:f>
        <x:v>30390.910498220637</x:v>
      </x:c>
      <x:c r="K78" s="46" t="n">
        <x:f>ROUNDUP(J78,2)</x:f>
        <x:v>30390.92</x:v>
      </x:c>
      <x:c r="L78" s="46" t="n">
        <x:f>'Entradas'!G74</x:f>
        <x:v>28197</x:v>
      </x:c>
      <x:c r="M78" s="46" t="n">
        <x:f>ROUNDUP(L78*(1+'Entradas'!$B$16),2)</x:f>
        <x:v>28197</x:v>
      </x:c>
      <x:c r="N78" s="46" t="n">
        <x:f>MAX(0,M78-K78)</x:f>
        <x:v>0</x:v>
      </x:c>
      <x:c r="O78" s="47" t="n">
        <x:f>SUM(K78,N78)</x:f>
        <x:v>30390.92</x:v>
      </x:c>
      <x:c r="P78" s="46" t="n">
        <x:f>MAX(0,O78-B78)*'Entradas'!$B$6</x:f>
        <x:v>1769.92866</x:v>
      </x:c>
      <x:c r="Q78" s="46" t="n">
        <x:f>O78*'Entradas'!$B$7</x:f>
        <x:v>2431.2736</x:v>
      </x:c>
      <x:c r="R78" s="46" t="n">
        <x:f>O78*'Entradas'!$B$14</x:f>
        <x:v>0</x:v>
      </x:c>
      <x:c r="S78" s="46" t="n">
        <x:f>O78-B78-I78-SUM(P78:R78)</x:f>
        <x:v>6686.007739999999</x:v>
      </x:c>
      <x:c r="T78" s="58" t="n">
        <x:f>S78/O78</x:f>
        <x:v>0.22000017571037664</x:v>
      </x:c>
      <x:c r="U78" s="58" t="n">
        <x:f>(L78-B78-I78-MAX(0,L78-B78)*'Entradas'!$B$6-L78*('Entradas'!$B$7+'Entradas'!$B$14))/L78</x:f>
        <x:v>0.1762727346880874</x:v>
      </x:c>
      <x:c r="V78" s="46" t="n">
        <x:f>MAX(0,(M78*(1-'Entradas'!$B$6-'Entradas'!$B$7-'Entradas'!$B$14-'Entradas'!$B$15)-B78*(1-'Entradas'!$B$6)-(I78-D78))/D40)</x:f>
        <x:v>0</x:v>
      </x:c>
      <x:c r="W78" s="59" t="n">
        <x:f>(L78-B78-(I78-D78)-MAX(0,L78-B78)*'Entradas'!$B$6-L78*('Entradas'!$B$7+'Entradas'!$B$14))/L78-'Entradas'!$B$17</x:f>
        <x:v>0.00036554598006882655</x:v>
      </x:c>
      <x:c r="X78" s="59" t="n">
        <x:f>D40/L78</x:f>
        <x:v>0.0003957867858282796</x:v>
      </x:c>
    </x:row>
    <x:row r="79" ht="23" customHeight="1">
      <x:c r="A79" s="26" t="str">
        <x:f>A41</x:f>
        <x:v>MIC-19</x:v>
      </x:c>
      <x:c r="B79" s="46" t="n">
        <x:f>T41</x:f>
        <x:v>18329.09</x:v>
      </x:c>
      <x:c r="C79" s="46" t="n">
        <x:f>ROUND(C41*'Entradas'!$B$8,2)</x:f>
        <x:v>1330</x:v>
      </x:c>
      <x:c r="D79" s="46" t="n">
        <x:f>ROUND(D41*'Entradas'!$B$9,2)</x:f>
        <x:v>568.27</x:v>
      </x:c>
      <x:c r="E79" s="46" t="n">
        <x:f>'Entradas'!$B$10</x:f>
        <x:v>110</x:v>
      </x:c>
      <x:c r="F79" s="46" t="n">
        <x:f>'Entradas'!$B$11</x:f>
        <x:v>30</x:v>
      </x:c>
      <x:c r="G79" s="46" t="n">
        <x:f>'Entradas'!$B$12</x:f>
        <x:v>0</x:v>
      </x:c>
      <x:c r="H79" s="46" t="n">
        <x:f>'Entradas'!$B$13</x:f>
        <x:v>0</x:v>
      </x:c>
      <x:c r="I79" s="46" t="n">
        <x:f>SUM(C79:H79)</x:f>
        <x:v>2038.27</x:v>
      </x:c>
      <x:c r="J79" s="46" t="n">
        <x:f>IF('Entradas'!$B$18="OK",(B79*(1-'Entradas'!$B$6)+I79)/(1-'Entradas'!$B$6-'Entradas'!$B$7-'Entradas'!$B$14-'Entradas'!$B$15),NA())</x:f>
        <x:v>31740.116690391456</x:v>
      </x:c>
      <x:c r="K79" s="46" t="n">
        <x:f>ROUNDUP(J79,2)</x:f>
        <x:v>31740.12</x:v>
      </x:c>
      <x:c r="L79" s="46" t="n">
        <x:f>'Entradas'!G75</x:f>
        <x:v>29397</x:v>
      </x:c>
      <x:c r="M79" s="46" t="n">
        <x:f>ROUNDUP(L79*(1+'Entradas'!$B$16),2)</x:f>
        <x:v>29397</x:v>
      </x:c>
      <x:c r="N79" s="46" t="n">
        <x:f>MAX(0,M79-K79)</x:f>
        <x:v>0</x:v>
      </x:c>
      <x:c r="O79" s="47" t="n">
        <x:f>SUM(K79,N79)</x:f>
        <x:v>31740.12</x:v>
      </x:c>
      <x:c r="P79" s="46" t="n">
        <x:f>MAX(0,O79-B79)*'Entradas'!$B$6</x:f>
        <x:v>1850.72214</x:v>
      </x:c>
      <x:c r="Q79" s="46" t="n">
        <x:f>O79*'Entradas'!$B$7</x:f>
        <x:v>2539.2096</x:v>
      </x:c>
      <x:c r="R79" s="46" t="n">
        <x:f>O79*'Entradas'!$B$14</x:f>
        <x:v>0</x:v>
      </x:c>
      <x:c r="S79" s="46" t="n">
        <x:f>O79-B79-I79-SUM(P79:R79)</x:f>
        <x:v>6982.828259999998</x:v>
      </x:c>
      <x:c r="T79" s="58" t="n">
        <x:f>S79/O79</x:f>
        <x:v>0.22000005860091262</x:v>
      </x:c>
      <x:c r="U79" s="58" t="n">
        <x:f>(L79-B79-I79-MAX(0,L79-B79)*'Entradas'!$B$6-L79*('Entradas'!$B$7+'Entradas'!$B$14))/L79</x:f>
        <x:v>0.17520523931013365</x:v>
      </x:c>
      <x:c r="V79" s="46" t="n">
        <x:f>MAX(0,(M79*(1-'Entradas'!$B$6-'Entradas'!$B$7-'Entradas'!$B$14-'Entradas'!$B$15)-B79*(1-'Entradas'!$B$6)-(I79-D79))/D41)</x:f>
        <x:v>0</x:v>
      </x:c>
      <x:c r="W79" s="59" t="n">
        <x:f>(L79-B79-(I79-D79)-MAX(0,L79-B79)*'Entradas'!$B$6-L79*('Entradas'!$B$7+'Entradas'!$B$14))/L79-'Entradas'!$B$17</x:f>
        <x:v>-0.0004638765860462135</x:v>
      </x:c>
      <x:c r="X79" s="59" t="n">
        <x:f>D41/L79</x:f>
        <x:v>0.0004007211620233357</x:v>
      </x:c>
    </x:row>
    <x:row r="80" ht="23" customHeight="1">
      <x:c r="A80" s="30" t="str">
        <x:f>A42</x:f>
        <x:v>MIC-20</x:v>
      </x:c>
      <x:c r="B80" s="51" t="n">
        <x:f>T42</x:f>
        <x:v>18812.84</x:v>
      </x:c>
      <x:c r="C80" s="51" t="n">
        <x:f>ROUND(C42*'Entradas'!$B$8,2)</x:f>
        <x:v>1400</x:v>
      </x:c>
      <x:c r="D80" s="51" t="n">
        <x:f>ROUND(D42*'Entradas'!$B$9,2)</x:f>
        <x:v>598.18</x:v>
      </x:c>
      <x:c r="E80" s="51" t="n">
        <x:f>'Entradas'!$B$10</x:f>
        <x:v>110</x:v>
      </x:c>
      <x:c r="F80" s="51" t="n">
        <x:f>'Entradas'!$B$11</x:f>
        <x:v>30</x:v>
      </x:c>
      <x:c r="G80" s="51" t="n">
        <x:f>'Entradas'!$B$12</x:f>
        <x:v>0</x:v>
      </x:c>
      <x:c r="H80" s="51" t="n">
        <x:f>'Entradas'!$B$13</x:f>
        <x:v>0</x:v>
      </x:c>
      <x:c r="I80" s="51" t="n">
        <x:f>SUM(C80:H80)</x:f>
        <x:v>2138.18</x:v>
      </x:c>
      <x:c r="J80" s="51" t="n">
        <x:f>IF('Entradas'!$B$18="OK",(B80*(1-'Entradas'!$B$6)+I80)/(1-'Entradas'!$B$6-'Entradas'!$B$7-'Entradas'!$B$14-'Entradas'!$B$15),NA())</x:f>
        <x:v>32659.87202846975</x:v>
      </x:c>
      <x:c r="K80" s="51" t="n">
        <x:f>ROUNDUP(J80,2)</x:f>
        <x:v>32659.88</x:v>
      </x:c>
      <x:c r="L80" s="51" t="n">
        <x:f>'Entradas'!G76</x:f>
        <x:v>30397</x:v>
      </x:c>
      <x:c r="M80" s="51" t="n">
        <x:f>ROUNDUP(L80*(1+'Entradas'!$B$16),2)</x:f>
        <x:v>30397</x:v>
      </x:c>
      <x:c r="N80" s="51" t="n">
        <x:f>MAX(0,M80-K80)</x:f>
        <x:v>0</x:v>
      </x:c>
      <x:c r="O80" s="52" t="n">
        <x:f>SUM(K80,N80)</x:f>
        <x:v>32659.88</x:v>
      </x:c>
      <x:c r="P80" s="51" t="n">
        <x:f>MAX(0,O80-B80)*'Entradas'!$B$6</x:f>
        <x:v>1910.8915200000004</x:v>
      </x:c>
      <x:c r="Q80" s="51" t="n">
        <x:f>O80*'Entradas'!$B$7</x:f>
        <x:v>2612.7904000000003</x:v>
      </x:c>
      <x:c r="R80" s="51" t="n">
        <x:f>O80*'Entradas'!$B$14</x:f>
        <x:v>0</x:v>
      </x:c>
      <x:c r="S80" s="51" t="n">
        <x:f>O80-B80-I80-SUM(P80:R80)</x:f>
        <x:v>7185.17808</x:v>
      </x:c>
      <x:c r="T80" s="60" t="n">
        <x:f>S80/O80</x:f>
        <x:v>0.22000013717135516</x:v>
      </x:c>
      <x:c r="U80" s="60" t="n">
        <x:f>(L80-B80-I80-MAX(0,L80-B80)*'Entradas'!$B$6-L80*('Entradas'!$B$7+'Entradas'!$B$14))/L80</x:f>
        <x:v>0.17816251340592817</x:v>
      </x:c>
      <x:c r="V80" s="51" t="n">
        <x:f>MAX(0,(M80*(1-'Entradas'!$B$6-'Entradas'!$B$7-'Entradas'!$B$14-'Entradas'!$B$15)-B80*(1-'Entradas'!$B$6)-(I80-D80))/D42)</x:f>
        <x:v>0</x:v>
      </x:c>
      <x:c r="W80" s="61" t="n">
        <x:f>(L80-B80-(I80-D80)-MAX(0,L80-B80)*'Entradas'!$B$6-L80*('Entradas'!$B$7+'Entradas'!$B$14))/L80-'Entradas'!$B$17</x:f>
        <x:v>0.0028414290883968796</x:v>
      </x:c>
      <x:c r="X80" s="61" t="n">
        <x:f>D42/L80</x:f>
        <x:v>0.0004079349935848933</x:v>
      </x:c>
    </x:row>
    <x:row r="81" ht="23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</x:row>
    <x:row r="82" ht="23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</x:row>
    <x:row r="83" ht="23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93B6C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17" hidden="0" customWidth="1"/>
    <x:col min="3" max="3" width="18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Premissas e dados de origem</x:v>
      </x:c>
      <x:c r="B2" s="2"/>
      <x:c r="C2" s="2"/>
      <x:c r="D2" s="2"/>
      <x:c r="E2" s="2"/>
      <x:c r="F2" s="2"/>
      <x:c r="G2" s="2"/>
      <x:c r="H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5"/>
      <x:c r="J3" s="5"/>
      <x:c r="K3" s="5"/>
      <x:c r="L3" s="5"/>
    </x:row>
    <x:row r="4" ht="23" customHeight="1">
      <x:c r="A4" s="2" t="str">
        <x:v>Azul e fundo amarelo: entradas editáveis. Fórmulas em preto; referências entre abas em verde.</x:v>
      </x:c>
      <x:c r="B4" s="2"/>
      <x:c r="C4" s="2"/>
      <x:c r="D4" s="2"/>
      <x:c r="E4" s="2"/>
      <x:c r="F4" s="2"/>
      <x:c r="G4" s="2"/>
      <x:c r="H4" s="2"/>
    </x:row>
    <x:row r="5" ht="48" customHeight="1">
      <x:c r="A5" s="9" t="str">
        <x:v>Premissa</x:v>
      </x:c>
      <x:c r="B5" s="9" t="str">
        <x:v>Valor</x:v>
      </x:c>
      <x:c r="C5" s="9" t="str">
        <x:v>Unidade / base</x:v>
      </x:c>
      <x:c r="D5" s="2"/>
      <x:c r="E5" s="2"/>
      <x:c r="F5" s="2"/>
      <x:c r="G5" s="2"/>
      <x:c r="H5" s="2"/>
    </x:row>
    <x:row r="6" ht="23" customHeight="1">
      <x:c r="A6" s="2" t="str">
        <x:v>Imposto</x:v>
      </x:c>
      <x:c r="B6" s="13" t="n">
        <x:v>0.138</x:v>
      </x:c>
      <x:c r="C6" s="2" t="str">
        <x:v>Venda menos kit</x:v>
      </x:c>
      <x:c r="D6" s="2" t="str">
        <x:v>Matriz: configuração consultada em 09/10/2026.</x:v>
      </x:c>
      <x:c r="E6" s="2"/>
      <x:c r="F6" s="2"/>
      <x:c r="G6" s="2"/>
      <x:c r="H6" s="2"/>
    </x:row>
    <x:row r="7" ht="23" customHeight="1">
      <x:c r="A7" s="2" t="str">
        <x:v>Comissão</x:v>
      </x:c>
      <x:c r="B7" s="13" t="n">
        <x:v>0.08</x:v>
      </x:c>
      <x:c r="C7" s="2" t="str">
        <x:v>Venda</x:v>
      </x:c>
      <x:c r="D7" s="2"/>
      <x:c r="E7" s="2"/>
      <x:c r="F7" s="2"/>
      <x:c r="G7" s="2"/>
      <x:c r="H7" s="2"/>
    </x:row>
    <x:row r="8" ht="23" customHeight="1">
      <x:c r="A8" s="2" t="str">
        <x:v>Instalação</x:v>
      </x:c>
      <x:c r="B8" s="12" t="n">
        <x:v>70</x:v>
      </x:c>
      <x:c r="C8" s="2" t="str">
        <x:v>R$/módulo</x:v>
      </x:c>
      <x:c r="D8" s="2" t="str">
        <x:v>Instalação por módulo: orientação do usuário.</x:v>
      </x:c>
      <x:c r="E8" s="2"/>
      <x:c r="F8" s="2"/>
      <x:c r="G8" s="2"/>
      <x:c r="H8" s="2"/>
    </x:row>
    <x:row r="9" ht="23" customHeight="1">
      <x:c r="A9" s="2" t="str">
        <x:v>Elétrica / reserva estimada</x:v>
      </x:c>
      <x:c r="B9" s="12" t="n">
        <x:v>48.24</x:v>
      </x:c>
      <x:c r="C9" s="2" t="str">
        <x:v>R$/kWp</x:v>
      </x:c>
      <x:c r="D9" s="2" t="str">
        <x:v>Reserva inferida da margem média de 19,5%. Não é cotação de material elétrico.</x:v>
      </x:c>
      <x:c r="E9" s="2"/>
      <x:c r="F9" s="2"/>
      <x:c r="G9" s="2"/>
      <x:c r="H9" s="2"/>
    </x:row>
    <x:row r="10" ht="23" customHeight="1">
      <x:c r="A10" s="2" t="str">
        <x:v>ART</x:v>
      </x:c>
      <x:c r="B10" s="12" t="n">
        <x:v>110</x:v>
      </x:c>
      <x:c r="C10" s="2" t="str">
        <x:v>R$/venda</x:v>
      </x:c>
      <x:c r="D10" s="2"/>
      <x:c r="E10" s="2"/>
      <x:c r="F10" s="2"/>
      <x:c r="G10" s="2"/>
      <x:c r="H10" s="2"/>
    </x:row>
    <x:row r="11" ht="23" customHeight="1">
      <x:c r="A11" s="2" t="str">
        <x:v>Placas de advertência</x:v>
      </x:c>
      <x:c r="B11" s="12" t="n">
        <x:v>30</x:v>
      </x:c>
      <x:c r="C11" s="2" t="str">
        <x:v>R$/venda</x:v>
      </x:c>
      <x:c r="D11" s="2"/>
      <x:c r="E11" s="2"/>
      <x:c r="F11" s="2"/>
      <x:c r="G11" s="2"/>
      <x:c r="H11" s="2"/>
    </x:row>
    <x:row r="12" ht="23" customHeight="1">
      <x:c r="A12" s="2" t="str">
        <x:v>Projeto da Rede</x:v>
      </x:c>
      <x:c r="B12" s="12" t="n">
        <x:v>0</x:v>
      </x:c>
      <x:c r="C12" s="2" t="str">
        <x:v>R$/venda</x:v>
      </x:c>
      <x:c r="D12" s="2" t="str">
        <x:v>Matriz sem cobrança de projeto da Rede. Se cobrar projeto com ART, zere a ART adicional.</x:v>
      </x:c>
      <x:c r="E12" s="2"/>
      <x:c r="F12" s="2"/>
      <x:c r="G12" s="2"/>
      <x:c r="H12" s="2"/>
    </x:row>
    <x:row r="13" ht="23" customHeight="1">
      <x:c r="A13" s="2" t="str">
        <x:v>Outras despesas</x:v>
      </x:c>
      <x:c r="B13" s="12" t="n">
        <x:v>0</x:v>
      </x:c>
      <x:c r="C13" s="2" t="str">
        <x:v>R$/venda</x:v>
      </x:c>
      <x:c r="D13" s="2"/>
      <x:c r="E13" s="2"/>
      <x:c r="F13" s="2"/>
      <x:c r="G13" s="2"/>
      <x:c r="H13" s="2"/>
    </x:row>
    <x:row r="14" ht="23" customHeight="1">
      <x:c r="A14" s="2" t="str">
        <x:v>Royalties + publicidade</x:v>
      </x:c>
      <x:c r="B14" s="13" t="n">
        <x:v>0</x:v>
      </x:c>
      <x:c r="C14" s="2" t="str">
        <x:v>Venda</x:v>
      </x:c>
      <x:c r="D14" s="2"/>
      <x:c r="E14" s="2"/>
      <x:c r="F14" s="2"/>
      <x:c r="G14" s="2"/>
      <x:c r="H14" s="2"/>
    </x:row>
    <x:row r="15" ht="23" customHeight="1">
      <x:c r="A15" s="2" t="str">
        <x:v>Margem alvo</x:v>
      </x:c>
      <x:c r="B15" s="13" t="n">
        <x:v>0.22</x:v>
      </x:c>
      <x:c r="C15" s="2" t="str">
        <x:v>Venda</x:v>
      </x:c>
      <x:c r="D15" s="2"/>
      <x:c r="E15" s="2"/>
      <x:c r="F15" s="2"/>
      <x:c r="G15" s="2"/>
      <x:c r="H15" s="2"/>
    </x:row>
    <x:row r="16" ht="23" customHeight="1">
      <x:c r="A16" s="2" t="str">
        <x:v>Adicional mínimo sobre promocional</x:v>
      </x:c>
      <x:c r="B16" s="13" t="n">
        <x:v>0</x:v>
      </x:c>
      <x:c r="C16" s="2" t="str">
        <x:v>Percentual</x:v>
      </x:c>
      <x:c r="D16" s="2" t="str">
        <x:v>0% permite empatar. Exemplo: 5% exige preço final pelo menos 5% acima do promocional.</x:v>
      </x:c>
      <x:c r="E16" s="2"/>
      <x:c r="F16" s="2"/>
      <x:c r="G16" s="2"/>
      <x:c r="H16" s="2"/>
    </x:row>
    <x:row r="17" ht="23" customHeight="1">
      <x:c r="A17" s="2" t="str">
        <x:v>Margem média de referência</x:v>
      </x:c>
      <x:c r="B17" s="13" t="n">
        <x:v>0.195</x:v>
      </x:c>
      <x:c r="C17" s="2" t="str">
        <x:v>Venda</x:v>
      </x:c>
      <x:c r="D17" s="2" t="str">
        <x:v>19,5% é uma hipótese comercial informada pelo usuário.</x:v>
      </x:c>
      <x:c r="E17" s="2"/>
      <x:c r="F17" s="2"/>
      <x:c r="G17" s="2"/>
      <x:c r="H17" s="2"/>
    </x:row>
    <x:row r="18" ht="23" customHeight="1">
      <x:c r="A18" s="2" t="str">
        <x:v>Premissas válidas</x:v>
      </x:c>
      <x:c r="B18" s="2" t="str">
        <x:f>IF(AND(COUNT(B6:B17)=12,MIN(B6:B17)&gt;=0,SUM(B6:B7)+B14+B15&lt;1,B17&lt;1),"OK","REVER ENTRADAS")</x:f>
        <x:v>OK</x:v>
      </x:c>
      <x:c r="C18" s="2"/>
      <x:c r="D18" s="2"/>
      <x:c r="E18" s="2"/>
      <x:c r="F18" s="2"/>
      <x:c r="G18" s="2"/>
      <x:c r="H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</x:row>
    <x:row r="21" ht="23" customHeight="1">
      <x:c r="A21" s="2" t="str">
        <x:v>Fonte dos materiais: Helte_RONMA620W_ate150_DRE_relacao_30-09.xlsx, aba Preços, B5:C19 e A23:F30.</x:v>
      </x:c>
      <x:c r="B21" s="2"/>
      <x:c r="C21" s="2"/>
      <x:c r="D21" s="2"/>
      <x:c r="E21" s="2"/>
      <x:c r="F21" s="2"/>
      <x:c r="G21" s="2"/>
      <x:c r="H21" s="2"/>
    </x:row>
    <x:row r="22" ht="23" customHeight="1">
      <x:c r="A22" s="2" t="str">
        <x:v>Preços da fonte: 06/10/2026. Telha cerâmica, frete para Araçatuba-SP.</x:v>
      </x:c>
      <x:c r="B22" s="2"/>
      <x:c r="C22" s="2"/>
      <x:c r="D22" s="2"/>
      <x:c r="E22" s="2"/>
      <x:c r="F22" s="2"/>
      <x:c r="G22" s="2"/>
      <x:c r="H22" s="2"/>
    </x:row>
    <x:row r="23" ht="48" customHeight="1">
      <x:c r="A23" s="9" t="str">
        <x:v>Material / frete</x:v>
      </x:c>
      <x:c r="B23" s="9" t="str">
        <x:v>Preço / taxa</x:v>
      </x:c>
      <x:c r="C23" s="9" t="str">
        <x:v>Unidade</x:v>
      </x:c>
      <x:c r="D23" s="2"/>
      <x:c r="E23" s="2"/>
      <x:c r="F23" s="8" t="str">
        <x:v>Inversor (W)</x:v>
      </x:c>
      <x:c r="G23" s="8" t="str">
        <x:v>Preço (R$)</x:v>
      </x:c>
      <x:c r="H23" s="8" t="str">
        <x:v>Pares de conectores</x:v>
      </x:c>
    </x:row>
    <x:row r="24" ht="23" customHeight="1">
      <x:c r="A24" s="2" t="str">
        <x:v>Módulo RONMA 620 W</x:v>
      </x:c>
      <x:c r="B24" s="12" t="n">
        <x:v>548</x:v>
      </x:c>
      <x:c r="C24" s="2" t="str">
        <x:v>R$/un</x:v>
      </x:c>
      <x:c r="D24" s="2"/>
      <x:c r="E24" s="2"/>
      <x:c r="F24" s="19" t="n">
        <x:v>3300</x:v>
      </x:c>
      <x:c r="G24" s="16" t="n">
        <x:v>1399</x:v>
      </x:c>
      <x:c r="H24" s="19" t="n">
        <x:v>1</x:v>
      </x:c>
    </x:row>
    <x:row r="25" ht="23" customHeight="1">
      <x:c r="A25" s="2" t="str">
        <x:v>Perfil</x:v>
      </x:c>
      <x:c r="B25" s="12" t="n">
        <x:v>44.64</x:v>
      </x:c>
      <x:c r="C25" s="2" t="str">
        <x:v>R$/un</x:v>
      </x:c>
      <x:c r="D25" s="2"/>
      <x:c r="E25" s="2"/>
      <x:c r="F25" s="19" t="n">
        <x:v>5000</x:v>
      </x:c>
      <x:c r="G25" s="16" t="n">
        <x:v>1590</x:v>
      </x:c>
      <x:c r="H25" s="19" t="n">
        <x:v>2</x:v>
      </x:c>
    </x:row>
    <x:row r="26" ht="23" customHeight="1">
      <x:c r="A26" s="2" t="str">
        <x:v>Fixação para 4</x:v>
      </x:c>
      <x:c r="B26" s="12" t="n">
        <x:v>135.65</x:v>
      </x:c>
      <x:c r="C26" s="2" t="str">
        <x:v>R$/un</x:v>
      </x:c>
      <x:c r="D26" s="2"/>
      <x:c r="E26" s="2"/>
      <x:c r="F26" s="19" t="n">
        <x:v>6000</x:v>
      </x:c>
      <x:c r="G26" s="16" t="n">
        <x:v>1690</x:v>
      </x:c>
      <x:c r="H26" s="19" t="n">
        <x:v>2</x:v>
      </x:c>
    </x:row>
    <x:row r="27" ht="23" customHeight="1">
      <x:c r="A27" s="2" t="str">
        <x:v>Fixação para 2</x:v>
      </x:c>
      <x:c r="B27" s="12" t="n">
        <x:v>72.72</x:v>
      </x:c>
      <x:c r="C27" s="2" t="str">
        <x:v>R$/un</x:v>
      </x:c>
      <x:c r="D27" s="2"/>
      <x:c r="E27" s="2"/>
      <x:c r="F27" s="19" t="n">
        <x:v>7500</x:v>
      </x:c>
      <x:c r="G27" s="16" t="n">
        <x:v>2600</x:v>
      </x:c>
      <x:c r="H27" s="19" t="n">
        <x:v>2</x:v>
      </x:c>
    </x:row>
    <x:row r="28" ht="23" customHeight="1">
      <x:c r="A28" s="2" t="str">
        <x:v>Cabo CC por cor</x:v>
      </x:c>
      <x:c r="B28" s="12" t="n">
        <x:v>5.87</x:v>
      </x:c>
      <x:c r="C28" s="2" t="str">
        <x:v>R$/m</x:v>
      </x:c>
      <x:c r="D28" s="2"/>
      <x:c r="E28" s="2"/>
      <x:c r="F28" s="2"/>
      <x:c r="G28" s="2"/>
      <x:c r="H28" s="2"/>
    </x:row>
    <x:row r="29" ht="23" customHeight="1">
      <x:c r="A29" s="2" t="str">
        <x:v>Par de conectores</x:v>
      </x:c>
      <x:c r="B29" s="12" t="n">
        <x:v>12</x:v>
      </x:c>
      <x:c r="C29" s="2" t="str">
        <x:v>R$/par</x:v>
      </x:c>
      <x:c r="D29" s="2"/>
      <x:c r="E29" s="2"/>
      <x:c r="F29" s="2"/>
      <x:c r="G29" s="2"/>
      <x:c r="H29" s="2"/>
    </x:row>
    <x:row r="30" ht="23" customHeight="1">
      <x:c r="A30" s="2" t="str">
        <x:v>Micro HOYMILES 2,25 kW</x:v>
      </x:c>
      <x:c r="B30" s="12" t="n">
        <x:v>942.49</x:v>
      </x:c>
      <x:c r="C30" s="2" t="str">
        <x:v>R$/un</x:v>
      </x:c>
      <x:c r="D30" s="2"/>
      <x:c r="E30" s="2"/>
      <x:c r="F30" s="2"/>
      <x:c r="G30" s="2"/>
      <x:c r="H30" s="2"/>
    </x:row>
    <x:row r="31" ht="23" customHeight="1">
      <x:c r="A31" s="2" t="str">
        <x:v>Fixação do micro</x:v>
      </x:c>
      <x:c r="B31" s="12" t="n">
        <x:v>9</x:v>
      </x:c>
      <x:c r="C31" s="2" t="str">
        <x:v>R$/un</x:v>
      </x:c>
      <x:c r="D31" s="2"/>
      <x:c r="E31" s="2"/>
      <x:c r="F31" s="2"/>
      <x:c r="G31" s="2"/>
      <x:c r="H31" s="2"/>
    </x:row>
    <x:row r="32" ht="23" customHeight="1">
      <x:c r="A32" s="2" t="str">
        <x:v>Frete mínimo</x:v>
      </x:c>
      <x:c r="B32" s="12" t="n">
        <x:v>400</x:v>
      </x:c>
      <x:c r="C32" s="2" t="str">
        <x:v>R$</x:v>
      </x:c>
      <x:c r="D32" s="2"/>
      <x:c r="E32" s="2"/>
      <x:c r="F32" s="2"/>
      <x:c r="G32" s="2"/>
      <x:c r="H32" s="2"/>
    </x:row>
    <x:row r="33" ht="23" customHeight="1">
      <x:c r="A33" s="2" t="str">
        <x:v>Frete abaixo do limite</x:v>
      </x:c>
      <x:c r="B33" s="18" t="n">
        <x:v>0.038494</x:v>
      </x:c>
      <x:c r="C33" s="2" t="str">
        <x:v>% materiais</x:v>
      </x:c>
      <x:c r="D33" s="2"/>
      <x:c r="E33" s="2"/>
      <x:c r="F33" s="2"/>
      <x:c r="G33" s="2"/>
      <x:c r="H33" s="2"/>
    </x:row>
    <x:row r="34" ht="23" customHeight="1">
      <x:c r="A34" s="2" t="str">
        <x:v>Frete a partir do limite</x:v>
      </x:c>
      <x:c r="B34" s="18" t="n">
        <x:v>0.031394</x:v>
      </x:c>
      <x:c r="C34" s="2" t="str">
        <x:v>% materiais</x:v>
      </x:c>
      <x:c r="D34" s="2"/>
      <x:c r="E34" s="2"/>
      <x:c r="F34" s="2"/>
      <x:c r="G34" s="2"/>
      <x:c r="H34" s="2"/>
    </x:row>
    <x:row r="35" ht="23" customHeight="1">
      <x:c r="A35" s="2" t="str">
        <x:v>Limite de materiais</x:v>
      </x:c>
      <x:c r="B35" s="12" t="n">
        <x:v>25000</x:v>
      </x:c>
      <x:c r="C35" s="2" t="str">
        <x:v>R$</x:v>
      </x:c>
      <x:c r="D35" s="2"/>
      <x:c r="E35" s="2"/>
      <x:c r="F35" s="2"/>
      <x:c r="G35" s="2"/>
      <x:c r="H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</x:row>
    <x:row r="38" ht="23" customHeight="1">
      <x:c r="A38" s="2" t="str">
        <x:v>Composição: perfis = 2 × teto(módulos/2). Cabo por cor: 3 m/módulo até 19, teto(2,5 × módulos) até 50 e 2 m/módulo acima de 50.</x:v>
      </x:c>
      <x:c r="B38" s="2"/>
      <x:c r="C38" s="2"/>
      <x:c r="D38" s="2"/>
      <x:c r="E38" s="2"/>
      <x:c r="F38" s="2"/>
      <x:c r="G38" s="2"/>
      <x:c r="H38" s="2"/>
    </x:row>
    <x:row r="39" ht="23" customHeight="1">
      <x:c r="A39" s="2" t="str">
        <x:v>Micro: quatro pares de conectores por equipamento. Inversor: pares conforme a tabela acima. Frete calculado sobre materiais.</x:v>
      </x:c>
      <x:c r="B39" s="2"/>
      <x:c r="C39" s="2"/>
      <x:c r="D39" s="2"/>
      <x:c r="E39" s="2"/>
      <x:c r="F39" s="2"/>
      <x:c r="G39" s="2"/>
      <x:c r="H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</x:row>
    <x:row r="41" ht="23" customHeight="1">
      <x:c r="A41" s="2" t="str">
        <x:v>Fonte do catálogo: 33 promocionais da Matriz no banco da plataforma, consulta de 09/10/2026.</x:v>
      </x:c>
      <x:c r="B41" s="2"/>
      <x:c r="C41" s="2"/>
      <x:c r="D41" s="2"/>
      <x:c r="E41" s="2"/>
      <x:c r="F41" s="2"/>
      <x:c r="G41" s="2"/>
      <x:c r="H41" s="2"/>
    </x:row>
    <x:row r="42" ht="23" customHeight="1">
      <x:c r="A42" s="2" t="str">
        <x:v>Inversores de 8, 13 e 17 módulos recompostos pela potência cadastrada. Equivalência de modelo e frete é aproximada.</x:v>
      </x:c>
      <x:c r="B42" s="2"/>
      <x:c r="C42" s="2"/>
      <x:c r="D42" s="2"/>
      <x:c r="E42" s="2"/>
      <x:c r="F42" s="2"/>
      <x:c r="G42" s="2"/>
      <x:c r="H42" s="2"/>
    </x:row>
    <x:row r="43" ht="48" customHeight="1">
      <x:c r="A43" s="9" t="str">
        <x:v>Kit</x:v>
      </x:c>
      <x:c r="B43" s="9" t="str">
        <x:v>Tipo</x:v>
      </x:c>
      <x:c r="C43" s="9" t="str">
        <x:v>Módulos</x:v>
      </x:c>
      <x:c r="D43" s="9" t="str">
        <x:v>Potência (kWp)</x:v>
      </x:c>
      <x:c r="E43" s="9" t="str">
        <x:v>Inversor (W)</x:v>
      </x:c>
      <x:c r="F43" s="9" t="str">
        <x:v>Qtd. inversores</x:v>
      </x:c>
      <x:c r="G43" s="9" t="str">
        <x:v>Promocional (R$)</x:v>
      </x:c>
      <x:c r="H43" s="2"/>
    </x:row>
    <x:row r="44" ht="23" customHeight="1">
      <x:c r="A44" s="22" t="str">
        <x:v>INV-05</x:v>
      </x:c>
      <x:c r="B44" s="22" t="str">
        <x:v>Inversor</x:v>
      </x:c>
      <x:c r="C44" s="23" t="n">
        <x:v>5</x:v>
      </x:c>
      <x:c r="D44" s="24" t="n">
        <x:v>3.1</x:v>
      </x:c>
      <x:c r="E44" s="23" t="n">
        <x:v>3300</x:v>
      </x:c>
      <x:c r="F44" s="23" t="n">
        <x:v>1</x:v>
      </x:c>
      <x:c r="G44" s="25" t="n">
        <x:v>8997</x:v>
      </x:c>
      <x:c r="H44" s="2"/>
    </x:row>
    <x:row r="45" ht="23" customHeight="1">
      <x:c r="A45" s="26" t="str">
        <x:v>INV-06</x:v>
      </x:c>
      <x:c r="B45" s="26" t="str">
        <x:v>Inversor</x:v>
      </x:c>
      <x:c r="C45" s="27" t="n">
        <x:v>6</x:v>
      </x:c>
      <x:c r="D45" s="28" t="n">
        <x:v>3.72</x:v>
      </x:c>
      <x:c r="E45" s="27" t="n">
        <x:v>3300</x:v>
      </x:c>
      <x:c r="F45" s="27" t="n">
        <x:v>1</x:v>
      </x:c>
      <x:c r="G45" s="29" t="n">
        <x:v>9897</x:v>
      </x:c>
      <x:c r="H45" s="2"/>
    </x:row>
    <x:row r="46" ht="23" customHeight="1">
      <x:c r="A46" s="26" t="str">
        <x:v>INV-07</x:v>
      </x:c>
      <x:c r="B46" s="26" t="str">
        <x:v>Inversor</x:v>
      </x:c>
      <x:c r="C46" s="27" t="n">
        <x:v>7</x:v>
      </x:c>
      <x:c r="D46" s="28" t="n">
        <x:v>4.34</x:v>
      </x:c>
      <x:c r="E46" s="27" t="n">
        <x:v>3300</x:v>
      </x:c>
      <x:c r="F46" s="27" t="n">
        <x:v>1</x:v>
      </x:c>
      <x:c r="G46" s="29" t="n">
        <x:v>10897</x:v>
      </x:c>
      <x:c r="H46" s="2"/>
    </x:row>
    <x:row r="47" ht="23" customHeight="1">
      <x:c r="A47" s="26" t="str">
        <x:v>INV-08</x:v>
      </x:c>
      <x:c r="B47" s="26" t="str">
        <x:v>Inversor</x:v>
      </x:c>
      <x:c r="C47" s="27" t="n">
        <x:v>8</x:v>
      </x:c>
      <x:c r="D47" s="28" t="n">
        <x:v>4.96</x:v>
      </x:c>
      <x:c r="E47" s="27" t="n">
        <x:v>3300</x:v>
      </x:c>
      <x:c r="F47" s="27" t="n">
        <x:v>1</x:v>
      </x:c>
      <x:c r="G47" s="29" t="n">
        <x:v>11897</x:v>
      </x:c>
      <x:c r="H47" s="2"/>
    </x:row>
    <x:row r="48" ht="23" customHeight="1">
      <x:c r="A48" s="26" t="str">
        <x:v>INV-09</x:v>
      </x:c>
      <x:c r="B48" s="26" t="str">
        <x:v>Inversor</x:v>
      </x:c>
      <x:c r="C48" s="27" t="n">
        <x:v>9</x:v>
      </x:c>
      <x:c r="D48" s="28" t="n">
        <x:v>5.58</x:v>
      </x:c>
      <x:c r="E48" s="27" t="n">
        <x:v>5000</x:v>
      </x:c>
      <x:c r="F48" s="27" t="n">
        <x:v>1</x:v>
      </x:c>
      <x:c r="G48" s="29" t="n">
        <x:v>13997</x:v>
      </x:c>
      <x:c r="H48" s="2"/>
    </x:row>
    <x:row r="49" ht="23" customHeight="1">
      <x:c r="A49" s="26" t="str">
        <x:v>INV-10</x:v>
      </x:c>
      <x:c r="B49" s="26" t="str">
        <x:v>Inversor</x:v>
      </x:c>
      <x:c r="C49" s="27" t="n">
        <x:v>10</x:v>
      </x:c>
      <x:c r="D49" s="28" t="n">
        <x:v>6.2</x:v>
      </x:c>
      <x:c r="E49" s="27" t="n">
        <x:v>5000</x:v>
      </x:c>
      <x:c r="F49" s="27" t="n">
        <x:v>1</x:v>
      </x:c>
      <x:c r="G49" s="29" t="n">
        <x:v>14997</x:v>
      </x:c>
      <x:c r="H49" s="2"/>
    </x:row>
    <x:row r="50" ht="23" customHeight="1">
      <x:c r="A50" s="26" t="str">
        <x:v>INV-11</x:v>
      </x:c>
      <x:c r="B50" s="26" t="str">
        <x:v>Inversor</x:v>
      </x:c>
      <x:c r="C50" s="27" t="n">
        <x:v>11</x:v>
      </x:c>
      <x:c r="D50" s="28" t="n">
        <x:v>6.82</x:v>
      </x:c>
      <x:c r="E50" s="27" t="n">
        <x:v>5000</x:v>
      </x:c>
      <x:c r="F50" s="27" t="n">
        <x:v>1</x:v>
      </x:c>
      <x:c r="G50" s="29" t="n">
        <x:v>15997</x:v>
      </x:c>
      <x:c r="H50" s="2"/>
    </x:row>
    <x:row r="51" ht="23" customHeight="1">
      <x:c r="A51" s="26" t="str">
        <x:v>INV-12</x:v>
      </x:c>
      <x:c r="B51" s="26" t="str">
        <x:v>Inversor</x:v>
      </x:c>
      <x:c r="C51" s="27" t="n">
        <x:v>12</x:v>
      </x:c>
      <x:c r="D51" s="28" t="n">
        <x:v>7.44</x:v>
      </x:c>
      <x:c r="E51" s="27" t="n">
        <x:v>5000</x:v>
      </x:c>
      <x:c r="F51" s="27" t="n">
        <x:v>1</x:v>
      </x:c>
      <x:c r="G51" s="29" t="n">
        <x:v>16997</x:v>
      </x:c>
      <x:c r="H51" s="2"/>
    </x:row>
    <x:row r="52" ht="23" customHeight="1">
      <x:c r="A52" s="26" t="str">
        <x:v>INV-13</x:v>
      </x:c>
      <x:c r="B52" s="26" t="str">
        <x:v>Inversor</x:v>
      </x:c>
      <x:c r="C52" s="27" t="n">
        <x:v>13</x:v>
      </x:c>
      <x:c r="D52" s="28" t="n">
        <x:v>8.06</x:v>
      </x:c>
      <x:c r="E52" s="27" t="n">
        <x:v>6000</x:v>
      </x:c>
      <x:c r="F52" s="27" t="n">
        <x:v>1</x:v>
      </x:c>
      <x:c r="G52" s="29" t="n">
        <x:v>18197</x:v>
      </x:c>
      <x:c r="H52" s="2"/>
    </x:row>
    <x:row r="53" ht="23" customHeight="1">
      <x:c r="A53" s="26" t="str">
        <x:v>INV-14</x:v>
      </x:c>
      <x:c r="B53" s="26" t="str">
        <x:v>Inversor</x:v>
      </x:c>
      <x:c r="C53" s="27" t="n">
        <x:v>14</x:v>
      </x:c>
      <x:c r="D53" s="28" t="n">
        <x:v>8.68</x:v>
      </x:c>
      <x:c r="E53" s="27" t="n">
        <x:v>6000</x:v>
      </x:c>
      <x:c r="F53" s="27" t="n">
        <x:v>1</x:v>
      </x:c>
      <x:c r="G53" s="29" t="n">
        <x:v>19897</x:v>
      </x:c>
      <x:c r="H53" s="2"/>
    </x:row>
    <x:row r="54" ht="23" customHeight="1">
      <x:c r="A54" s="26" t="str">
        <x:v>INV-15</x:v>
      </x:c>
      <x:c r="B54" s="26" t="str">
        <x:v>Inversor</x:v>
      </x:c>
      <x:c r="C54" s="27" t="n">
        <x:v>15</x:v>
      </x:c>
      <x:c r="D54" s="28" t="n">
        <x:v>9.3</x:v>
      </x:c>
      <x:c r="E54" s="27" t="n">
        <x:v>6000</x:v>
      </x:c>
      <x:c r="F54" s="27" t="n">
        <x:v>1</x:v>
      </x:c>
      <x:c r="G54" s="29" t="n">
        <x:v>20597</x:v>
      </x:c>
      <x:c r="H54" s="2"/>
    </x:row>
    <x:row r="55" ht="23" customHeight="1">
      <x:c r="A55" s="26" t="str">
        <x:v>INV-16</x:v>
      </x:c>
      <x:c r="B55" s="26" t="str">
        <x:v>Inversor</x:v>
      </x:c>
      <x:c r="C55" s="27" t="n">
        <x:v>16</x:v>
      </x:c>
      <x:c r="D55" s="28" t="n">
        <x:v>9.92</x:v>
      </x:c>
      <x:c r="E55" s="27" t="n">
        <x:v>6000</x:v>
      </x:c>
      <x:c r="F55" s="27" t="n">
        <x:v>1</x:v>
      </x:c>
      <x:c r="G55" s="29" t="n">
        <x:v>21697</x:v>
      </x:c>
      <x:c r="H55" s="2"/>
    </x:row>
    <x:row r="56" ht="23" customHeight="1">
      <x:c r="A56" s="26" t="str">
        <x:v>INV-17</x:v>
      </x:c>
      <x:c r="B56" s="26" t="str">
        <x:v>Inversor</x:v>
      </x:c>
      <x:c r="C56" s="27" t="n">
        <x:v>17</x:v>
      </x:c>
      <x:c r="D56" s="28" t="n">
        <x:v>10.54</x:v>
      </x:c>
      <x:c r="E56" s="27" t="n">
        <x:v>6000</x:v>
      </x:c>
      <x:c r="F56" s="27" t="n">
        <x:v>1</x:v>
      </x:c>
      <x:c r="G56" s="29" t="n">
        <x:v>23897</x:v>
      </x:c>
      <x:c r="H56" s="2"/>
    </x:row>
    <x:row r="57" ht="23" customHeight="1">
      <x:c r="A57" s="26" t="str">
        <x:v>INV-18</x:v>
      </x:c>
      <x:c r="B57" s="26" t="str">
        <x:v>Inversor</x:v>
      </x:c>
      <x:c r="C57" s="27" t="n">
        <x:v>18</x:v>
      </x:c>
      <x:c r="D57" s="28" t="n">
        <x:v>11.16</x:v>
      </x:c>
      <x:c r="E57" s="27" t="n">
        <x:v>7500</x:v>
      </x:c>
      <x:c r="F57" s="27" t="n">
        <x:v>1</x:v>
      </x:c>
      <x:c r="G57" s="29" t="n">
        <x:v>24897</x:v>
      </x:c>
      <x:c r="H57" s="2"/>
    </x:row>
    <x:row r="58" ht="23" customHeight="1">
      <x:c r="A58" s="26" t="str">
        <x:v>INV-19</x:v>
      </x:c>
      <x:c r="B58" s="26" t="str">
        <x:v>Inversor</x:v>
      </x:c>
      <x:c r="C58" s="27" t="n">
        <x:v>19</x:v>
      </x:c>
      <x:c r="D58" s="28" t="n">
        <x:v>11.78</x:v>
      </x:c>
      <x:c r="E58" s="27" t="n">
        <x:v>7500</x:v>
      </x:c>
      <x:c r="F58" s="27" t="n">
        <x:v>1</x:v>
      </x:c>
      <x:c r="G58" s="29" t="n">
        <x:v>25997</x:v>
      </x:c>
      <x:c r="H58" s="2"/>
    </x:row>
    <x:row r="59" ht="23" customHeight="1">
      <x:c r="A59" s="26" t="str">
        <x:v>INV-20</x:v>
      </x:c>
      <x:c r="B59" s="26" t="str">
        <x:v>Inversor</x:v>
      </x:c>
      <x:c r="C59" s="27" t="n">
        <x:v>20</x:v>
      </x:c>
      <x:c r="D59" s="28" t="n">
        <x:v>12.4</x:v>
      </x:c>
      <x:c r="E59" s="27" t="n">
        <x:v>7500</x:v>
      </x:c>
      <x:c r="F59" s="27" t="n">
        <x:v>1</x:v>
      </x:c>
      <x:c r="G59" s="29" t="n">
        <x:v>26997</x:v>
      </x:c>
      <x:c r="H59" s="2"/>
    </x:row>
    <x:row r="60" ht="23" customHeight="1">
      <x:c r="A60" s="26" t="str">
        <x:v>MIC-04</x:v>
      </x:c>
      <x:c r="B60" s="26" t="str">
        <x:v>Micro</x:v>
      </x:c>
      <x:c r="C60" s="27" t="n">
        <x:v>4</x:v>
      </x:c>
      <x:c r="D60" s="28" t="n">
        <x:v>2.48</x:v>
      </x:c>
      <x:c r="E60" s="27" t="n">
        <x:v>2250</x:v>
      </x:c>
      <x:c r="F60" s="27" t="n">
        <x:v>1</x:v>
      </x:c>
      <x:c r="G60" s="29" t="n">
        <x:v>8029.29</x:v>
      </x:c>
      <x:c r="H60" s="2"/>
    </x:row>
    <x:row r="61" ht="23" customHeight="1">
      <x:c r="A61" s="26" t="str">
        <x:v>MIC-05</x:v>
      </x:c>
      <x:c r="B61" s="26" t="str">
        <x:v>Micro</x:v>
      </x:c>
      <x:c r="C61" s="27" t="n">
        <x:v>5</x:v>
      </x:c>
      <x:c r="D61" s="28" t="n">
        <x:v>3.1</x:v>
      </x:c>
      <x:c r="E61" s="27" t="n">
        <x:v>2250</x:v>
      </x:c>
      <x:c r="F61" s="27" t="n">
        <x:v>2</x:v>
      </x:c>
      <x:c r="G61" s="29" t="n">
        <x:v>10171.29</x:v>
      </x:c>
      <x:c r="H61" s="2"/>
    </x:row>
    <x:row r="62" ht="23" customHeight="1">
      <x:c r="A62" s="26" t="str">
        <x:v>MIC-06</x:v>
      </x:c>
      <x:c r="B62" s="26" t="str">
        <x:v>Micro</x:v>
      </x:c>
      <x:c r="C62" s="27" t="n">
        <x:v>6</x:v>
      </x:c>
      <x:c r="D62" s="28" t="n">
        <x:v>3.72</x:v>
      </x:c>
      <x:c r="E62" s="27" t="n">
        <x:v>2250</x:v>
      </x:c>
      <x:c r="F62" s="27" t="n">
        <x:v>2</x:v>
      </x:c>
      <x:c r="G62" s="29" t="n">
        <x:v>11135.19</x:v>
      </x:c>
      <x:c r="H62" s="2"/>
    </x:row>
    <x:row r="63" ht="23" customHeight="1">
      <x:c r="A63" s="26" t="str">
        <x:v>MIC-07</x:v>
      </x:c>
      <x:c r="B63" s="26" t="str">
        <x:v>Micro</x:v>
      </x:c>
      <x:c r="C63" s="27" t="n">
        <x:v>7</x:v>
      </x:c>
      <x:c r="D63" s="28" t="n">
        <x:v>4.34</x:v>
      </x:c>
      <x:c r="E63" s="27" t="n">
        <x:v>2250</x:v>
      </x:c>
      <x:c r="F63" s="27" t="n">
        <x:v>2</x:v>
      </x:c>
      <x:c r="G63" s="29" t="n">
        <x:v>12420.39</x:v>
      </x:c>
      <x:c r="H63" s="2"/>
    </x:row>
    <x:row r="64" ht="23" customHeight="1">
      <x:c r="A64" s="26" t="str">
        <x:v>MIC-08</x:v>
      </x:c>
      <x:c r="B64" s="26" t="str">
        <x:v>Micro</x:v>
      </x:c>
      <x:c r="C64" s="27" t="n">
        <x:v>8</x:v>
      </x:c>
      <x:c r="D64" s="28" t="n">
        <x:v>4.96</x:v>
      </x:c>
      <x:c r="E64" s="27" t="n">
        <x:v>2250</x:v>
      </x:c>
      <x:c r="F64" s="27" t="n">
        <x:v>2</x:v>
      </x:c>
      <x:c r="G64" s="29" t="n">
        <x:v>12697</x:v>
      </x:c>
      <x:c r="H64" s="2"/>
    </x:row>
    <x:row r="65" ht="23" customHeight="1">
      <x:c r="A65" s="26" t="str">
        <x:v>MIC-09</x:v>
      </x:c>
      <x:c r="B65" s="26" t="str">
        <x:v>Micro</x:v>
      </x:c>
      <x:c r="C65" s="27" t="n">
        <x:v>9</x:v>
      </x:c>
      <x:c r="D65" s="28" t="n">
        <x:v>5.58</x:v>
      </x:c>
      <x:c r="E65" s="27" t="n">
        <x:v>2250</x:v>
      </x:c>
      <x:c r="F65" s="27" t="n">
        <x:v>3</x:v>
      </x:c>
      <x:c r="G65" s="29" t="n">
        <x:v>15297</x:v>
      </x:c>
      <x:c r="H65" s="2"/>
    </x:row>
    <x:row r="66" ht="23" customHeight="1">
      <x:c r="A66" s="26" t="str">
        <x:v>MIC-10</x:v>
      </x:c>
      <x:c r="B66" s="26" t="str">
        <x:v>Micro</x:v>
      </x:c>
      <x:c r="C66" s="27" t="n">
        <x:v>10</x:v>
      </x:c>
      <x:c r="D66" s="28" t="n">
        <x:v>6.2</x:v>
      </x:c>
      <x:c r="E66" s="27" t="n">
        <x:v>2250</x:v>
      </x:c>
      <x:c r="F66" s="27" t="n">
        <x:v>3</x:v>
      </x:c>
      <x:c r="G66" s="29" t="n">
        <x:v>16297</x:v>
      </x:c>
      <x:c r="H66" s="2"/>
    </x:row>
    <x:row r="67" ht="23" customHeight="1">
      <x:c r="A67" s="26" t="str">
        <x:v>MIC-11</x:v>
      </x:c>
      <x:c r="B67" s="26" t="str">
        <x:v>Micro</x:v>
      </x:c>
      <x:c r="C67" s="27" t="n">
        <x:v>11</x:v>
      </x:c>
      <x:c r="D67" s="28" t="n">
        <x:v>6.82</x:v>
      </x:c>
      <x:c r="E67" s="27" t="n">
        <x:v>2250</x:v>
      </x:c>
      <x:c r="F67" s="27" t="n">
        <x:v>3</x:v>
      </x:c>
      <x:c r="G67" s="29" t="n">
        <x:v>17497</x:v>
      </x:c>
      <x:c r="H67" s="2"/>
    </x:row>
    <x:row r="68" ht="23" customHeight="1">
      <x:c r="A68" s="26" t="str">
        <x:v>MIC-12</x:v>
      </x:c>
      <x:c r="B68" s="26" t="str">
        <x:v>Micro</x:v>
      </x:c>
      <x:c r="C68" s="27" t="n">
        <x:v>12</x:v>
      </x:c>
      <x:c r="D68" s="28" t="n">
        <x:v>7.44</x:v>
      </x:c>
      <x:c r="E68" s="27" t="n">
        <x:v>2250</x:v>
      </x:c>
      <x:c r="F68" s="27" t="n">
        <x:v>3</x:v>
      </x:c>
      <x:c r="G68" s="29" t="n">
        <x:v>18497</x:v>
      </x:c>
      <x:c r="H68" s="2"/>
    </x:row>
    <x:row r="69" ht="23" customHeight="1">
      <x:c r="A69" s="26" t="str">
        <x:v>MIC-13</x:v>
      </x:c>
      <x:c r="B69" s="26" t="str">
        <x:v>Micro</x:v>
      </x:c>
      <x:c r="C69" s="27" t="n">
        <x:v>13</x:v>
      </x:c>
      <x:c r="D69" s="28" t="n">
        <x:v>8.06</x:v>
      </x:c>
      <x:c r="E69" s="27" t="n">
        <x:v>2250</x:v>
      </x:c>
      <x:c r="F69" s="27" t="n">
        <x:v>4</x:v>
      </x:c>
      <x:c r="G69" s="29" t="n">
        <x:v>21197</x:v>
      </x:c>
      <x:c r="H69" s="2"/>
    </x:row>
    <x:row r="70" ht="23" customHeight="1">
      <x:c r="A70" s="26" t="str">
        <x:v>MIC-14</x:v>
      </x:c>
      <x:c r="B70" s="26" t="str">
        <x:v>Micro</x:v>
      </x:c>
      <x:c r="C70" s="27" t="n">
        <x:v>14</x:v>
      </x:c>
      <x:c r="D70" s="28" t="n">
        <x:v>8.68</x:v>
      </x:c>
      <x:c r="E70" s="27" t="n">
        <x:v>2250</x:v>
      </x:c>
      <x:c r="F70" s="27" t="n">
        <x:v>4</x:v>
      </x:c>
      <x:c r="G70" s="29" t="n">
        <x:v>22197</x:v>
      </x:c>
      <x:c r="H70" s="2"/>
    </x:row>
    <x:row r="71" ht="23" customHeight="1">
      <x:c r="A71" s="26" t="str">
        <x:v>MIC-15</x:v>
      </x:c>
      <x:c r="B71" s="26" t="str">
        <x:v>Micro</x:v>
      </x:c>
      <x:c r="C71" s="27" t="n">
        <x:v>15</x:v>
      </x:c>
      <x:c r="D71" s="28" t="n">
        <x:v>9.3</x:v>
      </x:c>
      <x:c r="E71" s="27" t="n">
        <x:v>2250</x:v>
      </x:c>
      <x:c r="F71" s="27" t="n">
        <x:v>4</x:v>
      </x:c>
      <x:c r="G71" s="29" t="n">
        <x:v>23397</x:v>
      </x:c>
      <x:c r="H71" s="2"/>
    </x:row>
    <x:row r="72" ht="23" customHeight="1">
      <x:c r="A72" s="26" t="str">
        <x:v>MIC-16</x:v>
      </x:c>
      <x:c r="B72" s="26" t="str">
        <x:v>Micro</x:v>
      </x:c>
      <x:c r="C72" s="27" t="n">
        <x:v>16</x:v>
      </x:c>
      <x:c r="D72" s="28" t="n">
        <x:v>9.92</x:v>
      </x:c>
      <x:c r="E72" s="27" t="n">
        <x:v>2250</x:v>
      </x:c>
      <x:c r="F72" s="27" t="n">
        <x:v>4</x:v>
      </x:c>
      <x:c r="G72" s="29" t="n">
        <x:v>24397</x:v>
      </x:c>
      <x:c r="H72" s="2"/>
    </x:row>
    <x:row r="73" ht="23" customHeight="1">
      <x:c r="A73" s="26" t="str">
        <x:v>MIC-17</x:v>
      </x:c>
      <x:c r="B73" s="26" t="str">
        <x:v>Micro</x:v>
      </x:c>
      <x:c r="C73" s="27" t="n">
        <x:v>17</x:v>
      </x:c>
      <x:c r="D73" s="28" t="n">
        <x:v>10.54</x:v>
      </x:c>
      <x:c r="E73" s="27" t="n">
        <x:v>2250</x:v>
      </x:c>
      <x:c r="F73" s="27" t="n">
        <x:v>5</x:v>
      </x:c>
      <x:c r="G73" s="29" t="n">
        <x:v>27197</x:v>
      </x:c>
      <x:c r="H73" s="2"/>
    </x:row>
    <x:row r="74" ht="23" customHeight="1">
      <x:c r="A74" s="26" t="str">
        <x:v>MIC-18</x:v>
      </x:c>
      <x:c r="B74" s="26" t="str">
        <x:v>Micro</x:v>
      </x:c>
      <x:c r="C74" s="27" t="n">
        <x:v>18</x:v>
      </x:c>
      <x:c r="D74" s="28" t="n">
        <x:v>11.16</x:v>
      </x:c>
      <x:c r="E74" s="27" t="n">
        <x:v>2250</x:v>
      </x:c>
      <x:c r="F74" s="27" t="n">
        <x:v>5</x:v>
      </x:c>
      <x:c r="G74" s="29" t="n">
        <x:v>28197</x:v>
      </x:c>
      <x:c r="H74" s="2"/>
    </x:row>
    <x:row r="75" ht="23" customHeight="1">
      <x:c r="A75" s="26" t="str">
        <x:v>MIC-19</x:v>
      </x:c>
      <x:c r="B75" s="26" t="str">
        <x:v>Micro</x:v>
      </x:c>
      <x:c r="C75" s="27" t="n">
        <x:v>19</x:v>
      </x:c>
      <x:c r="D75" s="28" t="n">
        <x:v>11.78</x:v>
      </x:c>
      <x:c r="E75" s="27" t="n">
        <x:v>2250</x:v>
      </x:c>
      <x:c r="F75" s="27" t="n">
        <x:v>5</x:v>
      </x:c>
      <x:c r="G75" s="29" t="n">
        <x:v>29397</x:v>
      </x:c>
      <x:c r="H75" s="2"/>
    </x:row>
    <x:row r="76" ht="23" customHeight="1">
      <x:c r="A76" s="30" t="str">
        <x:v>MIC-20</x:v>
      </x:c>
      <x:c r="B76" s="30" t="str">
        <x:v>Micro</x:v>
      </x:c>
      <x:c r="C76" s="31" t="n">
        <x:v>20</x:v>
      </x:c>
      <x:c r="D76" s="32" t="n">
        <x:v>12.4</x:v>
      </x:c>
      <x:c r="E76" s="31" t="n">
        <x:v>2250</x:v>
      </x:c>
      <x:c r="F76" s="31" t="n">
        <x:v>5</x:v>
      </x:c>
      <x:c r="G76" s="33" t="n">
        <x:v>30397</x:v>
      </x:c>
      <x:c r="H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</x:row>
  </x:sheetData>
  <x:conditionalFormatting sqref="B18:B18">
    <x:cfRule type="containsText" dxfId="0" priority="1" operator="containsText" text="REVER"/>
  </x:conditionalFormatting>
  <x:dataValidations count="1">
    <x:dataValidation type="decimal" operator="greaterThanOrEqual" sqref="B6:B17">
      <x:formula1>0</x:formula1>
    </x:dataValidation>
  </x:dataValidations>
  <x:pageMargins left="0.7" right="0.7" top="0.75" bottom="0.75" header="0.3" footer="0.3"/>
</x:worksheet>
</file>