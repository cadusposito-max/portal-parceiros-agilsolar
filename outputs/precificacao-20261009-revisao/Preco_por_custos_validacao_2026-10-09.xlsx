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Promocionais" sheetId="3" state="visible" r:id="rId3"/>
    <sheet name="Catalogo" sheetId="4" state="visible" r:id="rId4"/>
    <sheet name="Cotacao" sheetId="5" state="visible" r:id="rId5"/>
  </sheets>
  <definedNames>
    <definedName name="_xlnm._FilterDatabase" localSheetId="3" hidden="1">'Catalogo'!$A$4:$S$591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R$ #,##0.00;-R$ #,##0.00;&quot;-&quot;"/>
    <numFmt numFmtId="166" formatCode="0.0000"/>
    <numFmt numFmtId="167" formatCode="0.000"/>
    <numFmt numFmtId="168" formatCode="0.00%;-0.0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" fontId="6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8" fontId="5" fillId="3" borderId="1" pivotButton="0" quotePrefix="0" xfId="0"/>
    <xf numFmtId="2" fontId="5" fillId="3" borderId="1" pivotButton="0" quotePrefix="0" xfId="0"/>
    <xf numFmtId="0" fontId="3" fillId="0" borderId="0" pivotButton="0" quotePrefix="0" xfId="0"/>
    <xf numFmtId="0" fontId="4" fillId="0" borderId="1" pivotButton="0" quotePrefix="0" xfId="0"/>
    <xf numFmtId="1" fontId="5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2" fontId="4" fillId="0" borderId="1" pivotButton="0" quotePrefix="0" xfId="0"/>
    <xf numFmtId="165" fontId="5" fillId="0" borderId="1" pivotButton="0" quotePrefix="0" xfId="0"/>
    <xf numFmtId="165" fontId="4" fillId="0" borderId="1" pivotButton="0" quotePrefix="0" xfId="0"/>
    <xf numFmtId="165" fontId="3" fillId="5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2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F4" authorId="0" shapeId="0">
      <text>
        <t>Preço da Matriz (precos_franquia), o que o vendedor vê. Consultado em 09/10/2026.</t>
      </text>
    </comment>
    <comment ref="P4" authorId="0" shapeId="0">
      <text>
        <t>Quanto de elétrica fixa este kit precisaria para o preço por custos empatar com o promocional, mantendo o R$/kWp atual.</t>
      </text>
    </comment>
    <comment ref="Q4" authorId="0" shapeId="0">
      <text>
        <t>Calculado pela plataforma (assets/js/centro-custo-calc.js) com instalação 70/módulo e elétrica 345 + 118,50/kWp, em 09/10/2026. Para conferência.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I4" authorId="0" shapeId="0">
      <text>
        <t>precos_franquia da Matriz em 09/10/2026 (o que o vendedor vê hoje).</t>
      </text>
    </comment>
    <comment ref="R4" authorId="0" shapeId="0">
      <text>
        <t>Margem que o preço de hoje dá com os custos da obra das Premissas (mesma conta do centro de custo).</t>
      </text>
    </comment>
    <comment ref="S4" authorId="0" shapeId="0">
      <text>
        <t>O que o markup daria hoje com o custo atual (cabo a 4,25). Mostra quanto do preço de hoje vem do custo antigo.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6" customWidth="1" min="3" max="3"/>
  </cols>
  <sheetData>
    <row r="1">
      <c r="A1" s="1" t="inlineStr">
        <is>
          <t>Preço por custos no lugar do markup — validação (09/10/2026)</t>
        </is>
      </c>
    </row>
    <row r="2">
      <c r="A2" s="2" t="inlineStr">
        <is>
          <t>Matriz. Promocionais não mudam: servem de régua. Tudo recalcula a partir da aba Premissas.</t>
        </is>
      </c>
    </row>
    <row r="4">
      <c r="A4" s="3" t="inlineStr">
        <is>
          <t>A regra (promocionais como régua)</t>
        </is>
      </c>
      <c r="B4" s="4" t="n"/>
      <c r="C4" s="4" t="n"/>
    </row>
    <row r="5">
      <c r="A5" s="5" t="inlineStr">
        <is>
          <t>Promocionais que empatam ou ficam abaixo do preço por custos</t>
        </is>
      </c>
      <c r="B5" s="6">
        <f>Promocionais!F39</f>
        <v/>
      </c>
      <c r="C5" s="2" t="inlineStr">
        <is>
          <t>Tem que dar 33 de 33.</t>
        </is>
      </c>
    </row>
    <row r="6">
      <c r="A6" s="5" t="inlineStr">
        <is>
          <t>Promocional mais barato que o preço por custos, em média</t>
        </is>
      </c>
      <c r="B6" s="7">
        <f>Promocionais!F40</f>
        <v/>
      </c>
      <c r="C6" s="2" t="inlineStr"/>
    </row>
    <row r="7">
      <c r="A7" s="5" t="inlineStr">
        <is>
          <t>Menor folga (kit mais apertado)</t>
        </is>
      </c>
      <c r="B7" s="8">
        <f>Promocionais!F41</f>
        <v/>
      </c>
      <c r="C7" s="2" t="inlineStr">
        <is>
          <t>Perto de zero = esse kit empata.</t>
        </is>
      </c>
    </row>
    <row r="8">
      <c r="A8" s="5" t="inlineStr">
        <is>
          <t>Elétrica fixa mínima para os 33 cumprirem</t>
        </is>
      </c>
      <c r="B8" s="8">
        <f>Promocionais!F42</f>
        <v/>
      </c>
      <c r="C8" s="2" t="inlineStr">
        <is>
          <t>Com o R$/kWp das Premissas.</t>
        </is>
      </c>
    </row>
    <row r="10">
      <c r="A10" s="3" t="inlineStr">
        <is>
          <t>O que muda no catálogo da Matriz (587 kits Helte)</t>
        </is>
      </c>
      <c r="B10" s="4" t="n"/>
      <c r="C10" s="4" t="n"/>
    </row>
    <row r="11">
      <c r="A11" s="5" t="inlineStr">
        <is>
          <t>Diferença média: preço por custos × preço de hoje</t>
        </is>
      </c>
      <c r="B11" s="7">
        <f>AVERAGE(Catalogo!Q5:Q591)</f>
        <v/>
      </c>
      <c r="C11" s="2" t="inlineStr">
        <is>
          <t>Positivo = fica mais caro que hoje.</t>
        </is>
      </c>
    </row>
    <row r="12">
      <c r="A12" s="5" t="inlineStr">
        <is>
          <t>Kits que ficam mais baratos que hoje</t>
        </is>
      </c>
      <c r="B12" s="9">
        <f>COUNTIF(Catalogo!P5:P591,"&lt;0")</f>
        <v/>
      </c>
      <c r="C12" s="2" t="inlineStr"/>
    </row>
    <row r="13">
      <c r="A13" s="5" t="inlineStr">
        <is>
          <t>Kits que ficam mais caros que hoje</t>
        </is>
      </c>
      <c r="B13" s="9">
        <f>COUNTIF(Catalogo!P5:P591,"&gt;0")</f>
        <v/>
      </c>
      <c r="C13" s="2" t="inlineStr"/>
    </row>
    <row r="14">
      <c r="A14" s="5" t="inlineStr">
        <is>
          <t>Maior queda (%)</t>
        </is>
      </c>
      <c r="B14" s="7">
        <f>MIN(Catalogo!Q5:Q591)</f>
        <v/>
      </c>
      <c r="C14" s="2" t="inlineStr"/>
    </row>
    <row r="15">
      <c r="A15" s="5" t="inlineStr">
        <is>
          <t>Maior alta (%)</t>
        </is>
      </c>
      <c r="B15" s="7">
        <f>MAX(Catalogo!Q5:Q591)</f>
        <v/>
      </c>
      <c r="C15" s="2" t="inlineStr"/>
    </row>
    <row r="17">
      <c r="A17" s="3" t="inlineStr">
        <is>
          <t>Diferença média por marca de inversor</t>
        </is>
      </c>
      <c r="B17" s="4" t="n"/>
      <c r="C17" s="4" t="n"/>
    </row>
    <row r="18">
      <c r="A18" s="5" t="inlineStr">
        <is>
          <t>CHINT</t>
        </is>
      </c>
      <c r="B18" s="7">
        <f>AVERAGEIFS(Catalogo!Q5:Q591,Catalogo!B5:B591,"CHINT")</f>
        <v/>
      </c>
      <c r="C18" s="2">
        <f>COUNTIF(Catalogo!B5:B591,"CHINT")&amp;" kits"</f>
        <v/>
      </c>
    </row>
    <row r="19">
      <c r="A19" s="5" t="inlineStr">
        <is>
          <t>FRONIUS</t>
        </is>
      </c>
      <c r="B19" s="7">
        <f>AVERAGEIFS(Catalogo!Q5:Q591,Catalogo!B5:B591,"FRONIUS")</f>
        <v/>
      </c>
      <c r="C19" s="2">
        <f>COUNTIF(Catalogo!B5:B591,"FRONIUS")&amp;" kits"</f>
        <v/>
      </c>
    </row>
    <row r="20">
      <c r="A20" s="5" t="inlineStr">
        <is>
          <t>GOODWE</t>
        </is>
      </c>
      <c r="B20" s="7">
        <f>AVERAGEIFS(Catalogo!Q5:Q591,Catalogo!B5:B591,"GOODWE")</f>
        <v/>
      </c>
      <c r="C20" s="2">
        <f>COUNTIF(Catalogo!B5:B591,"GOODWE")&amp;" kits"</f>
        <v/>
      </c>
    </row>
    <row r="21">
      <c r="A21" s="5" t="inlineStr">
        <is>
          <t>GROWATT</t>
        </is>
      </c>
      <c r="B21" s="7">
        <f>AVERAGEIFS(Catalogo!Q5:Q591,Catalogo!B5:B591,"GROWATT")</f>
        <v/>
      </c>
      <c r="C21" s="2">
        <f>COUNTIF(Catalogo!B5:B591,"GROWATT")&amp;" kits"</f>
        <v/>
      </c>
    </row>
    <row r="22">
      <c r="A22" s="5" t="inlineStr">
        <is>
          <t>HOYMILES</t>
        </is>
      </c>
      <c r="B22" s="7">
        <f>AVERAGEIFS(Catalogo!Q5:Q591,Catalogo!B5:B591,"HOYMILES")</f>
        <v/>
      </c>
      <c r="C22" s="2">
        <f>COUNTIF(Catalogo!B5:B591,"HOYMILES")&amp;" kits"</f>
        <v/>
      </c>
    </row>
    <row r="23">
      <c r="A23" s="5" t="inlineStr">
        <is>
          <t>SOFAR</t>
        </is>
      </c>
      <c r="B23" s="7">
        <f>AVERAGEIFS(Catalogo!Q5:Q591,Catalogo!B5:B591,"SOFAR")</f>
        <v/>
      </c>
      <c r="C23" s="2">
        <f>COUNTIF(Catalogo!B5:B591,"SOFAR")&amp;" kits"</f>
        <v/>
      </c>
    </row>
    <row r="24">
      <c r="A24" s="5" t="inlineStr">
        <is>
          <t>SOLIS</t>
        </is>
      </c>
      <c r="B24" s="7">
        <f>AVERAGEIFS(Catalogo!Q5:Q591,Catalogo!B5:B591,"SOLIS")</f>
        <v/>
      </c>
      <c r="C24" s="2">
        <f>COUNTIF(Catalogo!B5:B591,"SOLIS")&amp;" kits"</f>
        <v/>
      </c>
    </row>
    <row r="26">
      <c r="A26" s="3" t="inlineStr">
        <is>
          <t>Como o preço é calculado</t>
        </is>
      </c>
      <c r="B26" s="4" t="n"/>
      <c r="C26" s="4" t="n"/>
    </row>
    <row r="27">
      <c r="A27" s="5" t="inlineStr">
        <is>
          <t>• Custos fixos da obra = instalação × módulos + ART + placas + projeto da Rede + elétrica fixa + elétrica × kWp</t>
        </is>
      </c>
    </row>
    <row r="28">
      <c r="A28" s="5" t="inlineStr">
        <is>
          <t>• Preço por custos = (kit + custos fixos − imposto × kit) ÷ (1 − comissão − royalties − imposto − margem alvo)</t>
        </is>
      </c>
    </row>
    <row r="29">
      <c r="A29" s="5" t="inlineStr">
        <is>
          <t>• "De" = preço + 13,38% (acima de R$ 30 mil, cresce pela raiz do preço) — mesma regra de hoje</t>
        </is>
      </c>
    </row>
    <row r="30">
      <c r="A30" s="5" t="inlineStr">
        <is>
          <t>• Sem piso: a regra dos promocionais é cumprida pelos valores do centro de custo, não por ajuste no preço.</t>
        </is>
      </c>
    </row>
    <row r="31">
      <c r="A31" s="5" t="inlineStr">
        <is>
          <t>• A plataforma arredonda cada linha em centavos; diferenças de 1 a 2 centavos com o Excel são esperadas.</t>
        </is>
      </c>
    </row>
    <row r="33">
      <c r="A33" s="3" t="inlineStr">
        <is>
          <t>Abas</t>
        </is>
      </c>
      <c r="B33" s="4" t="n"/>
      <c r="C33" s="4" t="n"/>
    </row>
    <row r="34">
      <c r="A34" s="5" t="inlineStr">
        <is>
          <t>Premissas</t>
        </is>
      </c>
      <c r="B34" s="2" t="inlineStr">
        <is>
          <t>Centro de custo da Matriz, markup, preços Helte e inversores. Tudo editável.</t>
        </is>
      </c>
    </row>
    <row r="35">
      <c r="A35" s="5" t="inlineStr">
        <is>
          <t>Promocionais</t>
        </is>
      </c>
      <c r="B35" s="2" t="inlineStr">
        <is>
          <t>Os 33 promocionais: confere a regra "empata ou fica acima" e a elétrica mínima.</t>
        </is>
      </c>
    </row>
    <row r="36">
      <c r="A36" s="5" t="inlineStr">
        <is>
          <t>Catalogo</t>
        </is>
      </c>
      <c r="B36" s="2" t="inlineStr">
        <is>
          <t>587 kits: preço de hoje × preço por custos (com filtro). É o que o vendedor vai ver.</t>
        </is>
      </c>
    </row>
    <row r="37">
      <c r="A37" s="5" t="inlineStr">
        <is>
          <t>Cotacao</t>
        </is>
      </c>
      <c r="B37" s="2" t="inlineStr">
        <is>
          <t>Cotação de distribuidora: markup × custos, com 3 cotações reais de 08/10.</t>
        </is>
      </c>
    </row>
  </sheetData>
  <mergeCells count="9">
    <mergeCell ref="A28:C28"/>
    <mergeCell ref="A31:C31"/>
    <mergeCell ref="B34:C34"/>
    <mergeCell ref="B37:C37"/>
    <mergeCell ref="A27:C27"/>
    <mergeCell ref="B36:C36"/>
    <mergeCell ref="A30:C30"/>
    <mergeCell ref="A29:C29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74" customWidth="1" min="3" max="3"/>
  </cols>
  <sheetData>
    <row r="1">
      <c r="A1" s="1" t="inlineStr">
        <is>
          <t>Premissas — edite as células amarelas e a planilha recalcula</t>
        </is>
      </c>
    </row>
    <row r="2">
      <c r="A2" s="2" t="inlineStr">
        <is>
          <t>Azul com fundo amarelo = editável. Verde = vem de outra aba. Preto = fórmula.</t>
        </is>
      </c>
    </row>
    <row r="4">
      <c r="A4" s="3" t="inlineStr">
        <is>
          <t>Centro de custo da Matriz (o que a unidade preenche em Financeiro → Config)</t>
        </is>
      </c>
      <c r="B4" s="4" t="n"/>
      <c r="C4" s="4" t="n"/>
    </row>
    <row r="5">
      <c r="A5" s="5" t="inlineStr">
        <is>
          <t>Imposto (% sobre venda − kit)</t>
        </is>
      </c>
      <c r="B5" s="10" t="n">
        <v>0.138</v>
      </c>
      <c r="C5" s="2" t="inlineStr">
        <is>
          <t>Cadastro atual da Matriz.</t>
        </is>
      </c>
    </row>
    <row r="6">
      <c r="A6" s="5" t="inlineStr">
        <is>
          <t>Comissão (% sobre a venda)</t>
        </is>
      </c>
      <c r="B6" s="10" t="n">
        <v>0.08</v>
      </c>
      <c r="C6" s="2" t="inlineStr">
        <is>
          <t>Cadastro atual da Matriz.</t>
        </is>
      </c>
    </row>
    <row r="7">
      <c r="A7" s="5" t="inlineStr">
        <is>
          <t>Royalties + fundo de publicidade (% sobre a venda)</t>
        </is>
      </c>
      <c r="B7" s="10" t="n">
        <v>0</v>
      </c>
      <c r="C7" s="2" t="inlineStr">
        <is>
          <t>Matriz não paga. Nas franquias vem da Rede.</t>
        </is>
      </c>
    </row>
    <row r="8">
      <c r="A8" s="5" t="inlineStr">
        <is>
          <t>Instalação (R$ por módulo)</t>
        </is>
      </c>
      <c r="B8" s="11" t="n">
        <v>70</v>
      </c>
      <c r="C8" s="2" t="inlineStr">
        <is>
          <t>Decisão do usuário: instaladores cobram por módulo.</t>
        </is>
      </c>
    </row>
    <row r="9">
      <c r="A9" s="5" t="inlineStr">
        <is>
          <t>ART (R$ por venda)</t>
        </is>
      </c>
      <c r="B9" s="11" t="n">
        <v>110</v>
      </c>
      <c r="C9" s="2" t="inlineStr">
        <is>
          <t>À parte do projeto da Rede (decisão de 09/10).</t>
        </is>
      </c>
    </row>
    <row r="10">
      <c r="A10" s="5" t="inlineStr">
        <is>
          <t>Placas de advertência (R$ por venda)</t>
        </is>
      </c>
      <c r="B10" s="11" t="n">
        <v>30</v>
      </c>
      <c r="C10" s="2" t="inlineStr">
        <is>
          <t>Cadastro atual da Matriz.</t>
        </is>
      </c>
    </row>
    <row r="11">
      <c r="A11" s="5" t="inlineStr">
        <is>
          <t>Projeto da Rede (R$ por venda)</t>
        </is>
      </c>
      <c r="B11" s="11" t="n">
        <v>0</v>
      </c>
      <c r="C11" s="2" t="inlineStr">
        <is>
          <t>Matriz não paga. Nas franquias vem da tabela por kWp (Rede → Unidades).</t>
        </is>
      </c>
    </row>
    <row r="12">
      <c r="A12" s="5" t="inlineStr">
        <is>
          <t>Elétrica fixa por obra (R$ por venda)</t>
        </is>
      </c>
      <c r="B12" s="11" t="n">
        <v>345</v>
      </c>
      <c r="C12" s="2" t="inlineStr">
        <is>
          <t>ESTIMATIVA (engenharia reversa): quadro, disjuntores, DPS. Troque pelo valor real.</t>
        </is>
      </c>
    </row>
    <row r="13">
      <c r="A13" s="5" t="inlineStr">
        <is>
          <t>Elétrica que cresce com o sistema (R$ por kWp)</t>
        </is>
      </c>
      <c r="B13" s="11" t="n">
        <v>118.5</v>
      </c>
      <c r="C13" s="2" t="inlineStr">
        <is>
          <t>ESTIMATIVA (engenharia reversa). Troque pelo valor real.</t>
        </is>
      </c>
    </row>
    <row r="14">
      <c r="A14" s="5" t="inlineStr">
        <is>
          <t>Margem alvo</t>
        </is>
      </c>
      <c r="B14" s="10" t="n">
        <v>0.22</v>
      </c>
      <c r="C14" s="2" t="inlineStr">
        <is>
          <t>Cadastro atual da Matriz.</t>
        </is>
      </c>
    </row>
    <row r="16">
      <c r="A16" s="3" t="inlineStr">
        <is>
          <t>Markup atual (para comparar)</t>
        </is>
      </c>
      <c r="B16" s="4" t="n"/>
      <c r="C16" s="4" t="n"/>
    </row>
    <row r="17">
      <c r="A17" s="5" t="inlineStr">
        <is>
          <t>Relação inversor</t>
        </is>
      </c>
      <c r="B17" s="12" t="n">
        <v>1.771729304137672</v>
      </c>
      <c r="C17" s="2" t="inlineStr">
        <is>
          <t>Planilha de 30/09: preço = custo × relação ÷ fator, final 97, × fator.</t>
        </is>
      </c>
    </row>
    <row r="18">
      <c r="A18" s="5" t="inlineStr">
        <is>
          <t>Fator inversor</t>
        </is>
      </c>
      <c r="B18" s="13" t="n">
        <v>1.05</v>
      </c>
      <c r="C18" s="2" t="inlineStr"/>
    </row>
    <row r="19">
      <c r="A19" s="5" t="inlineStr">
        <is>
          <t>Relação micro</t>
        </is>
      </c>
      <c r="B19" s="12" t="n">
        <v>1.749832620295442</v>
      </c>
      <c r="C19" s="2" t="inlineStr">
        <is>
          <t>Planilha de 06/10 (tarde).</t>
        </is>
      </c>
    </row>
    <row r="20">
      <c r="A20" s="5" t="inlineStr">
        <is>
          <t>Fator micro</t>
        </is>
      </c>
      <c r="B20" s="13" t="n">
        <v>1.071</v>
      </c>
      <c r="C20" s="2" t="inlineStr"/>
    </row>
    <row r="21">
      <c r="A21" s="5" t="inlineStr">
        <is>
          <t>"De": acréscimo sobre o preço</t>
        </is>
      </c>
      <c r="B21" s="14" t="n">
        <v>0.1337538962526612</v>
      </c>
      <c r="C21" s="2" t="inlineStr">
        <is>
          <t>Acima de R$ 30 mil cresce pela raiz do preço (igual à plataforma).</t>
        </is>
      </c>
    </row>
    <row r="23">
      <c r="A23" s="3" t="inlineStr">
        <is>
          <t>Preços Helte (06/10; cabo atualizado em 08/10)</t>
        </is>
      </c>
      <c r="B23" s="4" t="n"/>
      <c r="C23" s="4" t="n"/>
    </row>
    <row r="24">
      <c r="A24" s="5" t="inlineStr">
        <is>
          <t>Módulo RONMA 620W (R$)</t>
        </is>
      </c>
      <c r="B24" s="11" t="n">
        <v>548</v>
      </c>
      <c r="C24" s="2" t="inlineStr"/>
    </row>
    <row r="25">
      <c r="A25" s="5" t="inlineStr">
        <is>
          <t>Potência do módulo (kW)</t>
        </is>
      </c>
      <c r="B25" s="15" t="n">
        <v>0.62</v>
      </c>
      <c r="C25" s="2" t="inlineStr"/>
    </row>
    <row r="26">
      <c r="A26" s="5" t="inlineStr">
        <is>
          <t>Perfil 2,40 m (R$)</t>
        </is>
      </c>
      <c r="B26" s="11" t="n">
        <v>44.64</v>
      </c>
      <c r="C26" s="2" t="inlineStr"/>
    </row>
    <row r="27">
      <c r="A27" s="5" t="inlineStr">
        <is>
          <t>Fixação cerâmico 4 módulos (R$)</t>
        </is>
      </c>
      <c r="B27" s="11" t="n">
        <v>135.65</v>
      </c>
      <c r="C27" s="2" t="inlineStr"/>
    </row>
    <row r="28">
      <c r="A28" s="5" t="inlineStr">
        <is>
          <t>Fixação cerâmico 2 módulos (R$)</t>
        </is>
      </c>
      <c r="B28" s="11" t="n">
        <v>72.72</v>
      </c>
      <c r="C28" s="2" t="inlineStr"/>
    </row>
    <row r="29">
      <c r="A29" s="5" t="inlineStr">
        <is>
          <t>Cabo 4 mm (R$/m por cor)</t>
        </is>
      </c>
      <c r="B29" s="11" t="n">
        <v>4.25</v>
      </c>
      <c r="C29" s="2" t="inlineStr">
        <is>
          <t>Baixou de 5,87 em 08/10.</t>
        </is>
      </c>
    </row>
    <row r="30">
      <c r="A30" s="5" t="inlineStr">
        <is>
          <t>Par de conectores (R$)</t>
        </is>
      </c>
      <c r="B30" s="11" t="n">
        <v>12</v>
      </c>
      <c r="C30" s="2" t="inlineStr"/>
    </row>
    <row r="31">
      <c r="A31" s="5" t="inlineStr">
        <is>
          <t>Microinversor Hoymiles 2,25 kW (R$)</t>
        </is>
      </c>
      <c r="B31" s="11" t="n">
        <v>942.49</v>
      </c>
      <c r="C31" s="2" t="inlineStr">
        <is>
          <t>1 a cada 4 módulos; 4 pares de conector cada.</t>
        </is>
      </c>
    </row>
    <row r="32">
      <c r="A32" s="5" t="inlineStr">
        <is>
          <t>Fixação do micro (R$)</t>
        </is>
      </c>
      <c r="B32" s="11" t="n">
        <v>9</v>
      </c>
      <c r="C32" s="2" t="inlineStr"/>
    </row>
    <row r="33">
      <c r="A33" s="5" t="inlineStr">
        <is>
          <t>Frete mínimo (R$)</t>
        </is>
      </c>
      <c r="B33" s="11" t="n">
        <v>400</v>
      </c>
      <c r="C33" s="2" t="inlineStr">
        <is>
          <t>Regra conferida em 64 cotações (erro até R$ 0,07).</t>
        </is>
      </c>
    </row>
    <row r="34">
      <c r="A34" s="5" t="inlineStr">
        <is>
          <t>Frete % (peças abaixo do limite)</t>
        </is>
      </c>
      <c r="B34" s="14" t="n">
        <v>0.038494</v>
      </c>
      <c r="C34" s="2" t="inlineStr"/>
    </row>
    <row r="35">
      <c r="A35" s="5" t="inlineStr">
        <is>
          <t>Frete % (peças a partir do limite)</t>
        </is>
      </c>
      <c r="B35" s="14" t="n">
        <v>0.031394</v>
      </c>
      <c r="C35" s="2" t="inlineStr"/>
    </row>
    <row r="36">
      <c r="A36" s="5" t="inlineStr">
        <is>
          <t>Limite das peças para o frete (R$)</t>
        </is>
      </c>
      <c r="B36" s="11" t="n">
        <v>25000</v>
      </c>
      <c r="C36" s="2" t="inlineStr"/>
    </row>
    <row r="38">
      <c r="A38" s="3" t="inlineStr">
        <is>
          <t>Inversores na Helte (preço e pares de conector — cotações de 06/10 e 08/10)</t>
        </is>
      </c>
      <c r="B38" s="4" t="n"/>
      <c r="C38" s="4" t="n"/>
    </row>
    <row r="39">
      <c r="A39" s="16" t="inlineStr">
        <is>
          <t>Inversor</t>
        </is>
      </c>
      <c r="B39" s="16" t="inlineStr">
        <is>
          <t>Preço (R$)</t>
        </is>
      </c>
      <c r="C39" s="16" t="inlineStr">
        <is>
          <t>Pares de conector</t>
        </is>
      </c>
    </row>
    <row r="40">
      <c r="A40" s="17" t="inlineStr">
        <is>
          <t>SOFAR 3300TL-G3</t>
        </is>
      </c>
      <c r="B40" s="11" t="n">
        <v>1399</v>
      </c>
      <c r="C40" s="18" t="n">
        <v>1</v>
      </c>
    </row>
    <row r="41">
      <c r="A41" s="17" t="inlineStr">
        <is>
          <t>SOFAR 5KTLM-G3</t>
        </is>
      </c>
      <c r="B41" s="11" t="n">
        <v>1590</v>
      </c>
      <c r="C41" s="18" t="n">
        <v>2</v>
      </c>
    </row>
    <row r="42">
      <c r="A42" s="17" t="inlineStr">
        <is>
          <t>SOFAR 6KTLM-G3</t>
        </is>
      </c>
      <c r="B42" s="11" t="n">
        <v>1690</v>
      </c>
      <c r="C42" s="18" t="n">
        <v>2</v>
      </c>
    </row>
    <row r="43">
      <c r="A43" s="17" t="inlineStr">
        <is>
          <t>SOFAR 7,5K</t>
        </is>
      </c>
      <c r="B43" s="11" t="n">
        <v>2600</v>
      </c>
      <c r="C43" s="18" t="n">
        <v>2</v>
      </c>
    </row>
    <row r="44">
      <c r="A44" s="17" t="inlineStr">
        <is>
          <t>SOFAR 10KTLM-G3</t>
        </is>
      </c>
      <c r="B44" s="11" t="n">
        <v>3000</v>
      </c>
      <c r="C44" s="18" t="n">
        <v>3</v>
      </c>
    </row>
    <row r="45">
      <c r="A45" s="17" t="inlineStr">
        <is>
          <t>SOLIS S5-GC15K-LV TRI 220V</t>
        </is>
      </c>
      <c r="B45" s="11" t="n">
        <v>6820.36</v>
      </c>
      <c r="C45" s="18" t="n">
        <v>6</v>
      </c>
    </row>
    <row r="46">
      <c r="A46" s="17" t="inlineStr">
        <is>
          <t>SOLIS S5-GC37.5K-LV TRI 220V</t>
        </is>
      </c>
      <c r="B46" s="11" t="n">
        <v>11763.11</v>
      </c>
      <c r="C46" s="18" t="n">
        <v>8</v>
      </c>
    </row>
    <row r="47">
      <c r="A47" s="17" t="inlineStr">
        <is>
          <t>SOLIS S6-GC-75K-LV TRI 220V</t>
        </is>
      </c>
      <c r="B47" s="11" t="n">
        <v>19462.34</v>
      </c>
      <c r="C47" s="18" t="n">
        <v>16</v>
      </c>
    </row>
    <row r="48">
      <c r="A48" s="17" t="inlineStr">
        <is>
          <t>CHINT CPS SCA5KTL-PSM1/EU</t>
        </is>
      </c>
      <c r="B48" s="11" t="n">
        <v>1668.04</v>
      </c>
      <c r="C48" s="18" t="n">
        <v>2</v>
      </c>
    </row>
    <row r="49">
      <c r="A49" s="17" t="inlineStr">
        <is>
          <t>CHINT CPS SCA6KTL-PSM3/EU</t>
        </is>
      </c>
      <c r="B49" s="11" t="n">
        <v>1762.1</v>
      </c>
      <c r="C49" s="18" t="n">
        <v>4</v>
      </c>
    </row>
    <row r="50">
      <c r="A50" s="17" t="inlineStr">
        <is>
          <t>CHINT 7,5K</t>
        </is>
      </c>
      <c r="B50" s="11" t="n">
        <v>2377.69</v>
      </c>
      <c r="C50" s="18" t="n">
        <v>4</v>
      </c>
    </row>
    <row r="51">
      <c r="A51" s="17" t="inlineStr">
        <is>
          <t>CHINT CPS SCA10KTL-PSM/EU</t>
        </is>
      </c>
      <c r="B51" s="11" t="n">
        <v>3252.42</v>
      </c>
      <c r="C51" s="18" t="n">
        <v>6</v>
      </c>
    </row>
    <row r="52">
      <c r="A52" s="17" t="inlineStr">
        <is>
          <t>CHINT SCA15K-T-SA TRI 220V</t>
        </is>
      </c>
      <c r="B52" s="11" t="n">
        <v>6736.25</v>
      </c>
      <c r="C52" s="18" t="n">
        <v>6</v>
      </c>
    </row>
    <row r="53">
      <c r="A53" s="17" t="inlineStr">
        <is>
          <t>CHINT SCA20K-T-SA TRI 220V</t>
        </is>
      </c>
      <c r="B53" s="11" t="n">
        <v>6818.29</v>
      </c>
      <c r="C53" s="18" t="n">
        <v>8</v>
      </c>
    </row>
    <row r="54">
      <c r="A54" s="17" t="inlineStr">
        <is>
          <t>CHINT SCA25K-T-SA TRI 220V</t>
        </is>
      </c>
      <c r="B54" s="11" t="n">
        <v>8631.709999999999</v>
      </c>
      <c r="C54" s="18" t="n">
        <v>4</v>
      </c>
    </row>
    <row r="55">
      <c r="A55" s="17" t="inlineStr">
        <is>
          <t>CHINT CPS SCA30KTL-T/SA TRI 220V</t>
        </is>
      </c>
      <c r="B55" s="11" t="n">
        <v>8941.459999999999</v>
      </c>
      <c r="C55" s="18" t="n">
        <v>10</v>
      </c>
    </row>
    <row r="56">
      <c r="A56" s="17" t="inlineStr">
        <is>
          <t>CHINT SCA75K-T-SA TRI 220V</t>
        </is>
      </c>
      <c r="B56" s="11" t="n">
        <v>19000</v>
      </c>
      <c r="C56" s="18" t="n">
        <v>18</v>
      </c>
    </row>
    <row r="57">
      <c r="A57" s="17" t="inlineStr">
        <is>
          <t>FRONIUS SYMO BRASIL 15.0-3 208</t>
        </is>
      </c>
      <c r="B57" s="11" t="n">
        <v>4071.89</v>
      </c>
      <c r="C57" s="18" t="n">
        <v>8</v>
      </c>
    </row>
    <row r="58">
      <c r="A58" s="17" t="inlineStr">
        <is>
          <t>GOODWE 3KB-XS (GREY)</t>
        </is>
      </c>
      <c r="B58" s="11" t="n">
        <v>899</v>
      </c>
      <c r="C58" s="18" t="n">
        <v>1</v>
      </c>
    </row>
    <row r="59">
      <c r="A59" s="17" t="inlineStr">
        <is>
          <t>GROWATT MIC 2500TL-X</t>
        </is>
      </c>
      <c r="B59" s="11" t="n">
        <v>900</v>
      </c>
      <c r="C59" s="18" t="n">
        <v>1</v>
      </c>
    </row>
    <row r="60">
      <c r="A60" s="17" t="inlineStr">
        <is>
          <t>GROWATT MIN 7000TL-X(E)</t>
        </is>
      </c>
      <c r="B60" s="11" t="n">
        <v>2570</v>
      </c>
      <c r="C60" s="18" t="n">
        <v>3</v>
      </c>
    </row>
    <row r="61">
      <c r="A61" s="17" t="inlineStr">
        <is>
          <t>GROWATT MIN 10000TL-X</t>
        </is>
      </c>
      <c r="B61" s="11" t="n">
        <v>2612.15</v>
      </c>
      <c r="C61" s="18" t="n">
        <v>4</v>
      </c>
    </row>
    <row r="62">
      <c r="A62" s="17" t="inlineStr">
        <is>
          <t>GROWATT MID 15KTL3-XL LV-TRI 220V</t>
        </is>
      </c>
      <c r="B62" s="11" t="n">
        <v>4071.89</v>
      </c>
      <c r="C62" s="18" t="n">
        <v>8</v>
      </c>
    </row>
    <row r="63">
      <c r="A63" s="17" t="inlineStr">
        <is>
          <t>GROWATT MID 20K TL3-XL LV-TRI 220V</t>
        </is>
      </c>
      <c r="B63" s="11" t="n">
        <v>5700.64</v>
      </c>
      <c r="C63" s="18" t="n">
        <v>8</v>
      </c>
    </row>
    <row r="64">
      <c r="A64" s="17" t="inlineStr">
        <is>
          <t>GROWATT MAC 25KTL3-XL LV-TRI 220V</t>
        </is>
      </c>
      <c r="B64" s="11" t="n">
        <v>5876.23</v>
      </c>
      <c r="C64" s="18" t="n">
        <v>12</v>
      </c>
    </row>
    <row r="65">
      <c r="A65" s="17" t="inlineStr">
        <is>
          <t>GROWATT MAC 30KTL3-XL LV-TRI 220V</t>
        </is>
      </c>
      <c r="B65" s="11" t="n">
        <v>8000</v>
      </c>
      <c r="C65" s="18" t="n">
        <v>12</v>
      </c>
    </row>
    <row r="66">
      <c r="A66" s="17" t="inlineStr">
        <is>
          <t>GROWATT MAC 36KTL3-XL LV-TRI 220V</t>
        </is>
      </c>
      <c r="B66" s="11" t="n">
        <v>8561.790000000001</v>
      </c>
      <c r="C66" s="18" t="n">
        <v>12</v>
      </c>
    </row>
    <row r="67">
      <c r="A67" s="17" t="inlineStr">
        <is>
          <t>GROWATT MAX 50K TL3-XL2 LV-TRI 220V</t>
        </is>
      </c>
      <c r="B67" s="11" t="n">
        <v>13980.11</v>
      </c>
      <c r="C67" s="18" t="n">
        <v>16</v>
      </c>
    </row>
    <row r="68">
      <c r="A68" s="17" t="inlineStr">
        <is>
          <t>GROWATT MAX 60K TL3-XL2 LV-TRI 220V</t>
        </is>
      </c>
      <c r="B68" s="11" t="n">
        <v>14000</v>
      </c>
      <c r="C68" s="18" t="n">
        <v>16</v>
      </c>
    </row>
    <row r="69">
      <c r="A69" s="17" t="inlineStr">
        <is>
          <t>GROWATT MAX 75K TL3-XL2 LV-TRI 220V</t>
        </is>
      </c>
      <c r="B69" s="11" t="n">
        <v>14364.3</v>
      </c>
      <c r="C69" s="18" t="n">
        <v>16</v>
      </c>
    </row>
    <row r="70">
      <c r="A70" s="17" t="inlineStr">
        <is>
          <t>SOLIS S5-GR1P9K</t>
        </is>
      </c>
      <c r="B70" s="11" t="n">
        <v>3513.86</v>
      </c>
      <c r="C70" s="18" t="n">
        <v>3</v>
      </c>
    </row>
    <row r="71">
      <c r="A71" s="17" t="inlineStr">
        <is>
          <t>Microinversor HOYMILES 2,25kW</t>
        </is>
      </c>
      <c r="B71" s="8">
        <f>Premissas!$B$31</f>
        <v/>
      </c>
      <c r="C71" s="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22" customWidth="1" min="4" max="4"/>
    <col width="9" customWidth="1" min="5" max="5"/>
    <col width="13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3" customWidth="1" min="12" max="12"/>
    <col width="11" customWidth="1" min="13" max="13"/>
    <col width="9" customWidth="1" min="14" max="14"/>
    <col width="10" customWidth="1" min="15" max="15"/>
    <col width="13" customWidth="1" min="16" max="16"/>
    <col width="13" customWidth="1" min="17" max="17"/>
    <col width="10" customWidth="1" min="18" max="18"/>
  </cols>
  <sheetData>
    <row r="1">
      <c r="A1" s="1" t="inlineStr">
        <is>
          <t>Régua: os 33 promocionais têm que empatar ou ficar mais baratos que o preço por custos</t>
        </is>
      </c>
    </row>
    <row r="2">
      <c r="A2" s="2" t="inlineStr">
        <is>
          <t>Os promocionais não mudam de preço. Aqui só se confere a regra com as premissas atuais.</t>
        </is>
      </c>
    </row>
    <row r="4" ht="45" customHeight="1">
      <c r="A4" s="19" t="inlineStr">
        <is>
          <t>Tipo</t>
        </is>
      </c>
      <c r="B4" s="19" t="inlineStr">
        <is>
          <t>Módulos</t>
        </is>
      </c>
      <c r="C4" s="19" t="inlineStr">
        <is>
          <t>kWp</t>
        </is>
      </c>
      <c r="D4" s="19" t="inlineStr">
        <is>
          <t>Inversor</t>
        </is>
      </c>
      <c r="E4" s="19" t="inlineStr">
        <is>
          <t>Qtd inversores</t>
        </is>
      </c>
      <c r="F4" s="19" t="inlineStr">
        <is>
          <t>Promocional (Matriz)</t>
        </is>
      </c>
      <c r="G4" s="19" t="inlineStr">
        <is>
          <t>Peças (R$)</t>
        </is>
      </c>
      <c r="H4" s="19" t="inlineStr">
        <is>
          <t>Frete (R$)</t>
        </is>
      </c>
      <c r="I4" s="19" t="inlineStr">
        <is>
          <t>Custo do kit c/ frete</t>
        </is>
      </c>
      <c r="J4" s="19" t="inlineStr">
        <is>
          <t>Custos fixos da obra</t>
        </is>
      </c>
      <c r="K4" s="19" t="inlineStr">
        <is>
          <t>Preço por custos</t>
        </is>
      </c>
      <c r="L4" s="19" t="inlineStr">
        <is>
          <t>Preço por custos − promocional</t>
        </is>
      </c>
      <c r="M4" s="19" t="inlineStr">
        <is>
          <t>Promocional mais barato em %</t>
        </is>
      </c>
      <c r="N4" s="19" t="inlineStr">
        <is>
          <t>Regra ok?</t>
        </is>
      </c>
      <c r="O4" s="19" t="inlineStr">
        <is>
          <t>Margem no promocional</t>
        </is>
      </c>
      <c r="P4" s="19" t="inlineStr">
        <is>
          <t>Elétrica fixa mínima p/ empatar</t>
        </is>
      </c>
      <c r="Q4" s="19" t="inlineStr">
        <is>
          <t>Plataforma (JS): preço por custos</t>
        </is>
      </c>
      <c r="R4" s="19" t="inlineStr">
        <is>
          <t>Excel − plataforma</t>
        </is>
      </c>
    </row>
    <row r="5">
      <c r="A5" s="20" t="inlineStr">
        <is>
          <t>Inversor</t>
        </is>
      </c>
      <c r="B5" s="21" t="n">
        <v>5</v>
      </c>
      <c r="C5" s="22">
        <f>B5*Premissas!$B$25</f>
        <v/>
      </c>
      <c r="D5" s="20" t="inlineStr">
        <is>
          <t>SOFAR 3300TL-G3</t>
        </is>
      </c>
      <c r="E5" s="21" t="n">
        <v>1</v>
      </c>
      <c r="F5" s="23" t="n">
        <v>9236.85</v>
      </c>
      <c r="G5" s="24">
        <f>(B5*Premissas!$B$24+(2*ROUNDUP(B5/2,0))*Premissas!$B$26+INT((2*ROUNDUP(B5/2,0))/4)*Premissas!$B$27+MOD((2*ROUNDUP(B5/2,0)),4)/2*Premissas!$B$28+2*IF(B5&lt;=19,3*B5,IF(B5&lt;=50,ROUNDUP(2.5*B5,0),2*B5))*Premissas!$B$29+IF(A5="Micro",E5*(Premissas!$B$31+Premissas!$B$32+4*Premissas!$B$30),E5*(INDEX(Premissas!$B$40:$B$71,MATCH(D5,Premissas!$A$40:$A$71,0))+INDEX(Premissas!$C$40:$C$71,MATCH(D5,Premissas!$A$40:$A$71,0))*Premissas!$B$30)))</f>
        <v/>
      </c>
      <c r="H5" s="24">
        <f>IF(G5&lt;Premissas!$B$36,MAX(Premissas!$B$33,G5*Premissas!$B$34),G5*Premissas!$B$35)</f>
        <v/>
      </c>
      <c r="I5" s="24">
        <f>ROUND(G5+H5,2)</f>
        <v/>
      </c>
      <c r="J5" s="24">
        <f>B5*Premissas!$B$8+Premissas!$B$9+Premissas!$B$10+Premissas!$B$11+Premissas!$B$12+ROUND(Premissas!$B$13*C5,2)</f>
        <v/>
      </c>
      <c r="K5" s="25">
        <f>ROUNDUP((I5+J5-Premissas!$B$5*I5)/(1-Premissas!$B$6-Premissas!$B$7-Premissas!$B$5-Premissas!$B$14),2)</f>
        <v/>
      </c>
      <c r="L5" s="24">
        <f>K5-F5</f>
        <v/>
      </c>
      <c r="M5" s="26">
        <f>L5/K5</f>
        <v/>
      </c>
      <c r="N5" s="27">
        <f>IF(K5&gt;=F5,"Sim","NÃO")</f>
        <v/>
      </c>
      <c r="O5" s="26">
        <f>(F5-I5-Premissas!$B$5*(F5-I5)-(Premissas!$B$6+Premissas!$B$7)*F5-J5)/F5</f>
        <v/>
      </c>
      <c r="P5" s="24">
        <f>F5*(1-Premissas!$B$6-Premissas!$B$7-Premissas!$B$5-Premissas!$B$14)-I5*(1-Premissas!$B$5)-(J5-Premissas!$B$12)</f>
        <v/>
      </c>
      <c r="Q5" s="23" t="n">
        <v>10045.75</v>
      </c>
      <c r="R5" s="24">
        <f>K5-Q5</f>
        <v/>
      </c>
    </row>
    <row r="6">
      <c r="A6" s="20" t="inlineStr">
        <is>
          <t>Inversor</t>
        </is>
      </c>
      <c r="B6" s="21" t="n">
        <v>6</v>
      </c>
      <c r="C6" s="22">
        <f>B6*Premissas!$B$25</f>
        <v/>
      </c>
      <c r="D6" s="20" t="inlineStr">
        <is>
          <t>SOFAR 3300TL-G3</t>
        </is>
      </c>
      <c r="E6" s="21" t="n">
        <v>1</v>
      </c>
      <c r="F6" s="23" t="n">
        <v>10286.85</v>
      </c>
      <c r="G6" s="24">
        <f>(B6*Premissas!$B$24+(2*ROUNDUP(B6/2,0))*Premissas!$B$26+INT((2*ROUNDUP(B6/2,0))/4)*Premissas!$B$27+MOD((2*ROUNDUP(B6/2,0)),4)/2*Premissas!$B$28+2*IF(B6&lt;=19,3*B6,IF(B6&lt;=50,ROUNDUP(2.5*B6,0),2*B6))*Premissas!$B$29+IF(A6="Micro",E6*(Premissas!$B$31+Premissas!$B$32+4*Premissas!$B$30),E6*(INDEX(Premissas!$B$40:$B$71,MATCH(D6,Premissas!$A$40:$A$71,0))+INDEX(Premissas!$C$40:$C$71,MATCH(D6,Premissas!$A$40:$A$71,0))*Premissas!$B$30)))</f>
        <v/>
      </c>
      <c r="H6" s="24">
        <f>IF(G6&lt;Premissas!$B$36,MAX(Premissas!$B$33,G6*Premissas!$B$34),G6*Premissas!$B$35)</f>
        <v/>
      </c>
      <c r="I6" s="24">
        <f>ROUND(G6+H6,2)</f>
        <v/>
      </c>
      <c r="J6" s="24">
        <f>B6*Premissas!$B$8+Premissas!$B$9+Premissas!$B$10+Premissas!$B$11+Premissas!$B$12+ROUND(Premissas!$B$13*C6,2)</f>
        <v/>
      </c>
      <c r="K6" s="25">
        <f>ROUNDUP((I6+J6-Premissas!$B$5*I6)/(1-Premissas!$B$6-Premissas!$B$7-Premissas!$B$5-Premissas!$B$14),2)</f>
        <v/>
      </c>
      <c r="L6" s="24">
        <f>K6-F6</f>
        <v/>
      </c>
      <c r="M6" s="26">
        <f>L6/K6</f>
        <v/>
      </c>
      <c r="N6" s="27">
        <f>IF(K6&gt;=F6,"Sim","NÃO")</f>
        <v/>
      </c>
      <c r="O6" s="26">
        <f>(F6-I6-Premissas!$B$5*(F6-I6)-(Premissas!$B$6+Premissas!$B$7)*F6-J6)/F6</f>
        <v/>
      </c>
      <c r="P6" s="24">
        <f>F6*(1-Premissas!$B$6-Premissas!$B$7-Premissas!$B$5-Premissas!$B$14)-I6*(1-Premissas!$B$5)-(J6-Premissas!$B$12)</f>
        <v/>
      </c>
      <c r="Q6" s="23" t="n">
        <v>11180.68</v>
      </c>
      <c r="R6" s="24">
        <f>K6-Q6</f>
        <v/>
      </c>
    </row>
    <row r="7">
      <c r="A7" s="20" t="inlineStr">
        <is>
          <t>Inversor</t>
        </is>
      </c>
      <c r="B7" s="21" t="n">
        <v>7</v>
      </c>
      <c r="C7" s="22">
        <f>B7*Premissas!$B$25</f>
        <v/>
      </c>
      <c r="D7" s="20" t="inlineStr">
        <is>
          <t>SOFAR 3300TL-G3</t>
        </is>
      </c>
      <c r="E7" s="21" t="n">
        <v>1</v>
      </c>
      <c r="F7" s="23" t="n">
        <v>11651.85</v>
      </c>
      <c r="G7" s="24">
        <f>(B7*Premissas!$B$24+(2*ROUNDUP(B7/2,0))*Premissas!$B$26+INT((2*ROUNDUP(B7/2,0))/4)*Premissas!$B$27+MOD((2*ROUNDUP(B7/2,0)),4)/2*Premissas!$B$28+2*IF(B7&lt;=19,3*B7,IF(B7&lt;=50,ROUNDUP(2.5*B7,0),2*B7))*Premissas!$B$29+IF(A7="Micro",E7*(Premissas!$B$31+Premissas!$B$32+4*Premissas!$B$30),E7*(INDEX(Premissas!$B$40:$B$71,MATCH(D7,Premissas!$A$40:$A$71,0))+INDEX(Premissas!$C$40:$C$71,MATCH(D7,Premissas!$A$40:$A$71,0))*Premissas!$B$30)))</f>
        <v/>
      </c>
      <c r="H7" s="24">
        <f>IF(G7&lt;Premissas!$B$36,MAX(Premissas!$B$33,G7*Premissas!$B$34),G7*Premissas!$B$35)</f>
        <v/>
      </c>
      <c r="I7" s="24">
        <f>ROUND(G7+H7,2)</f>
        <v/>
      </c>
      <c r="J7" s="24">
        <f>B7*Premissas!$B$8+Premissas!$B$9+Premissas!$B$10+Premissas!$B$11+Premissas!$B$12+ROUND(Premissas!$B$13*C7,2)</f>
        <v/>
      </c>
      <c r="K7" s="25">
        <f>ROUNDUP((I7+J7-Premissas!$B$5*I7)/(1-Premissas!$B$6-Premissas!$B$7-Premissas!$B$5-Premissas!$B$14),2)</f>
        <v/>
      </c>
      <c r="L7" s="24">
        <f>K7-F7</f>
        <v/>
      </c>
      <c r="M7" s="26">
        <f>L7/K7</f>
        <v/>
      </c>
      <c r="N7" s="27">
        <f>IF(K7&gt;=F7,"Sim","NÃO")</f>
        <v/>
      </c>
      <c r="O7" s="26">
        <f>(F7-I7-Premissas!$B$5*(F7-I7)-(Premissas!$B$6+Premissas!$B$7)*F7-J7)/F7</f>
        <v/>
      </c>
      <c r="P7" s="24">
        <f>F7*(1-Premissas!$B$6-Premissas!$B$7-Premissas!$B$5-Premissas!$B$14)-I7*(1-Premissas!$B$5)-(J7-Premissas!$B$12)</f>
        <v/>
      </c>
      <c r="Q7" s="23" t="n">
        <v>12549.06</v>
      </c>
      <c r="R7" s="24">
        <f>K7-Q7</f>
        <v/>
      </c>
    </row>
    <row r="8">
      <c r="A8" s="20" t="inlineStr">
        <is>
          <t>Inversor</t>
        </is>
      </c>
      <c r="B8" s="21" t="n">
        <v>8</v>
      </c>
      <c r="C8" s="22">
        <f>B8*Premissas!$B$25</f>
        <v/>
      </c>
      <c r="D8" s="20" t="inlineStr">
        <is>
          <t>SOFAR 3300TL-G3</t>
        </is>
      </c>
      <c r="E8" s="21" t="n">
        <v>1</v>
      </c>
      <c r="F8" s="23" t="n">
        <v>13016.85</v>
      </c>
      <c r="G8" s="24">
        <f>(B8*Premissas!$B$24+(2*ROUNDUP(B8/2,0))*Premissas!$B$26+INT((2*ROUNDUP(B8/2,0))/4)*Premissas!$B$27+MOD((2*ROUNDUP(B8/2,0)),4)/2*Premissas!$B$28+2*IF(B8&lt;=19,3*B8,IF(B8&lt;=50,ROUNDUP(2.5*B8,0),2*B8))*Premissas!$B$29+IF(A8="Micro",E8*(Premissas!$B$31+Premissas!$B$32+4*Premissas!$B$30),E8*(INDEX(Premissas!$B$40:$B$71,MATCH(D8,Premissas!$A$40:$A$71,0))+INDEX(Premissas!$C$40:$C$71,MATCH(D8,Premissas!$A$40:$A$71,0))*Premissas!$B$30)))</f>
        <v/>
      </c>
      <c r="H8" s="24">
        <f>IF(G8&lt;Premissas!$B$36,MAX(Premissas!$B$33,G8*Premissas!$B$34),G8*Premissas!$B$35)</f>
        <v/>
      </c>
      <c r="I8" s="24">
        <f>ROUND(G8+H8,2)</f>
        <v/>
      </c>
      <c r="J8" s="24">
        <f>B8*Premissas!$B$8+Premissas!$B$9+Premissas!$B$10+Premissas!$B$11+Premissas!$B$12+ROUND(Premissas!$B$13*C8,2)</f>
        <v/>
      </c>
      <c r="K8" s="25">
        <f>ROUNDUP((I8+J8-Premissas!$B$5*I8)/(1-Premissas!$B$6-Premissas!$B$7-Premissas!$B$5-Premissas!$B$14),2)</f>
        <v/>
      </c>
      <c r="L8" s="24">
        <f>K8-F8</f>
        <v/>
      </c>
      <c r="M8" s="26">
        <f>L8/K8</f>
        <v/>
      </c>
      <c r="N8" s="27">
        <f>IF(K8&gt;=F8,"Sim","NÃO")</f>
        <v/>
      </c>
      <c r="O8" s="26">
        <f>(F8-I8-Premissas!$B$5*(F8-I8)-(Premissas!$B$6+Premissas!$B$7)*F8-J8)/F8</f>
        <v/>
      </c>
      <c r="P8" s="24">
        <f>F8*(1-Premissas!$B$6-Premissas!$B$7-Premissas!$B$5-Premissas!$B$14)-I8*(1-Premissas!$B$5)-(J8-Premissas!$B$12)</f>
        <v/>
      </c>
      <c r="Q8" s="23" t="n">
        <v>13683.99</v>
      </c>
      <c r="R8" s="24">
        <f>K8-Q8</f>
        <v/>
      </c>
    </row>
    <row r="9">
      <c r="A9" s="20" t="inlineStr">
        <is>
          <t>Inversor</t>
        </is>
      </c>
      <c r="B9" s="21" t="n">
        <v>9</v>
      </c>
      <c r="C9" s="22">
        <f>B9*Premissas!$B$25</f>
        <v/>
      </c>
      <c r="D9" s="20" t="inlineStr">
        <is>
          <t>SOFAR 5KTLM-G3</t>
        </is>
      </c>
      <c r="E9" s="21" t="n">
        <v>1</v>
      </c>
      <c r="F9" s="23" t="n">
        <v>14276.85</v>
      </c>
      <c r="G9" s="24">
        <f>(B9*Premissas!$B$24+(2*ROUNDUP(B9/2,0))*Premissas!$B$26+INT((2*ROUNDUP(B9/2,0))/4)*Premissas!$B$27+MOD((2*ROUNDUP(B9/2,0)),4)/2*Premissas!$B$28+2*IF(B9&lt;=19,3*B9,IF(B9&lt;=50,ROUNDUP(2.5*B9,0),2*B9))*Premissas!$B$29+IF(A9="Micro",E9*(Premissas!$B$31+Premissas!$B$32+4*Premissas!$B$30),E9*(INDEX(Premissas!$B$40:$B$71,MATCH(D9,Premissas!$A$40:$A$71,0))+INDEX(Premissas!$C$40:$C$71,MATCH(D9,Premissas!$A$40:$A$71,0))*Premissas!$B$30)))</f>
        <v/>
      </c>
      <c r="H9" s="24">
        <f>IF(G9&lt;Premissas!$B$36,MAX(Premissas!$B$33,G9*Premissas!$B$34),G9*Premissas!$B$35)</f>
        <v/>
      </c>
      <c r="I9" s="24">
        <f>ROUND(G9+H9,2)</f>
        <v/>
      </c>
      <c r="J9" s="24">
        <f>B9*Premissas!$B$8+Premissas!$B$9+Premissas!$B$10+Premissas!$B$11+Premissas!$B$12+ROUND(Premissas!$B$13*C9,2)</f>
        <v/>
      </c>
      <c r="K9" s="25">
        <f>ROUNDUP((I9+J9-Premissas!$B$5*I9)/(1-Premissas!$B$6-Premissas!$B$7-Premissas!$B$5-Premissas!$B$14),2)</f>
        <v/>
      </c>
      <c r="L9" s="24">
        <f>K9-F9</f>
        <v/>
      </c>
      <c r="M9" s="26">
        <f>L9/K9</f>
        <v/>
      </c>
      <c r="N9" s="27">
        <f>IF(K9&gt;=F9,"Sim","NÃO")</f>
        <v/>
      </c>
      <c r="O9" s="26">
        <f>(F9-I9-Premissas!$B$5*(F9-I9)-(Premissas!$B$6+Premissas!$B$7)*F9-J9)/F9</f>
        <v/>
      </c>
      <c r="P9" s="24">
        <f>F9*(1-Premissas!$B$6-Premissas!$B$7-Premissas!$B$5-Premissas!$B$14)-I9*(1-Premissas!$B$5)-(J9-Premissas!$B$12)</f>
        <v/>
      </c>
      <c r="Q9" s="23" t="n">
        <v>15378.75</v>
      </c>
      <c r="R9" s="24">
        <f>K9-Q9</f>
        <v/>
      </c>
    </row>
    <row r="10">
      <c r="A10" s="20" t="inlineStr">
        <is>
          <t>Inversor</t>
        </is>
      </c>
      <c r="B10" s="21" t="n">
        <v>10</v>
      </c>
      <c r="C10" s="22">
        <f>B10*Premissas!$B$25</f>
        <v/>
      </c>
      <c r="D10" s="20" t="inlineStr">
        <is>
          <t>SOFAR 5KTLM-G3</t>
        </is>
      </c>
      <c r="E10" s="21" t="n">
        <v>1</v>
      </c>
      <c r="F10" s="23" t="n">
        <v>15326.85</v>
      </c>
      <c r="G10" s="24">
        <f>(B10*Premissas!$B$24+(2*ROUNDUP(B10/2,0))*Premissas!$B$26+INT((2*ROUNDUP(B10/2,0))/4)*Premissas!$B$27+MOD((2*ROUNDUP(B10/2,0)),4)/2*Premissas!$B$28+2*IF(B10&lt;=19,3*B10,IF(B10&lt;=50,ROUNDUP(2.5*B10,0),2*B10))*Premissas!$B$29+IF(A10="Micro",E10*(Premissas!$B$31+Premissas!$B$32+4*Premissas!$B$30),E10*(INDEX(Premissas!$B$40:$B$71,MATCH(D10,Premissas!$A$40:$A$71,0))+INDEX(Premissas!$C$40:$C$71,MATCH(D10,Premissas!$A$40:$A$71,0))*Premissas!$B$30)))</f>
        <v/>
      </c>
      <c r="H10" s="24">
        <f>IF(G10&lt;Premissas!$B$36,MAX(Premissas!$B$33,G10*Premissas!$B$34),G10*Premissas!$B$35)</f>
        <v/>
      </c>
      <c r="I10" s="24">
        <f>ROUND(G10+H10,2)</f>
        <v/>
      </c>
      <c r="J10" s="24">
        <f>B10*Premissas!$B$8+Premissas!$B$9+Premissas!$B$10+Premissas!$B$11+Premissas!$B$12+ROUND(Premissas!$B$13*C10,2)</f>
        <v/>
      </c>
      <c r="K10" s="25">
        <f>ROUNDUP((I10+J10-Premissas!$B$5*I10)/(1-Premissas!$B$6-Premissas!$B$7-Premissas!$B$5-Premissas!$B$14),2)</f>
        <v/>
      </c>
      <c r="L10" s="24">
        <f>K10-F10</f>
        <v/>
      </c>
      <c r="M10" s="26">
        <f>L10/K10</f>
        <v/>
      </c>
      <c r="N10" s="27">
        <f>IF(K10&gt;=F10,"Sim","NÃO")</f>
        <v/>
      </c>
      <c r="O10" s="26">
        <f>(F10-I10-Premissas!$B$5*(F10-I10)-(Premissas!$B$6+Premissas!$B$7)*F10-J10)/F10</f>
        <v/>
      </c>
      <c r="P10" s="24">
        <f>F10*(1-Premissas!$B$6-Premissas!$B$7-Premissas!$B$5-Premissas!$B$14)-I10*(1-Premissas!$B$5)-(J10-Premissas!$B$12)</f>
        <v/>
      </c>
      <c r="Q10" s="23" t="n">
        <v>16513.67</v>
      </c>
      <c r="R10" s="24">
        <f>K10-Q10</f>
        <v/>
      </c>
    </row>
    <row r="11">
      <c r="A11" s="20" t="inlineStr">
        <is>
          <t>Inversor</t>
        </is>
      </c>
      <c r="B11" s="21" t="n">
        <v>11</v>
      </c>
      <c r="C11" s="22">
        <f>B11*Premissas!$B$25</f>
        <v/>
      </c>
      <c r="D11" s="20" t="inlineStr">
        <is>
          <t>SOFAR 5KTLM-G3</t>
        </is>
      </c>
      <c r="E11" s="21" t="n">
        <v>1</v>
      </c>
      <c r="F11" s="23" t="n">
        <v>16691.85</v>
      </c>
      <c r="G11" s="24">
        <f>(B11*Premissas!$B$24+(2*ROUNDUP(B11/2,0))*Premissas!$B$26+INT((2*ROUNDUP(B11/2,0))/4)*Premissas!$B$27+MOD((2*ROUNDUP(B11/2,0)),4)/2*Premissas!$B$28+2*IF(B11&lt;=19,3*B11,IF(B11&lt;=50,ROUNDUP(2.5*B11,0),2*B11))*Premissas!$B$29+IF(A11="Micro",E11*(Premissas!$B$31+Premissas!$B$32+4*Premissas!$B$30),E11*(INDEX(Premissas!$B$40:$B$71,MATCH(D11,Premissas!$A$40:$A$71,0))+INDEX(Premissas!$C$40:$C$71,MATCH(D11,Premissas!$A$40:$A$71,0))*Premissas!$B$30)))</f>
        <v/>
      </c>
      <c r="H11" s="24">
        <f>IF(G11&lt;Premissas!$B$36,MAX(Premissas!$B$33,G11*Premissas!$B$34),G11*Premissas!$B$35)</f>
        <v/>
      </c>
      <c r="I11" s="24">
        <f>ROUND(G11+H11,2)</f>
        <v/>
      </c>
      <c r="J11" s="24">
        <f>B11*Premissas!$B$8+Premissas!$B$9+Premissas!$B$10+Premissas!$B$11+Premissas!$B$12+ROUND(Premissas!$B$13*C11,2)</f>
        <v/>
      </c>
      <c r="K11" s="25">
        <f>ROUNDUP((I11+J11-Premissas!$B$5*I11)/(1-Premissas!$B$6-Premissas!$B$7-Premissas!$B$5-Premissas!$B$14),2)</f>
        <v/>
      </c>
      <c r="L11" s="24">
        <f>K11-F11</f>
        <v/>
      </c>
      <c r="M11" s="26">
        <f>L11/K11</f>
        <v/>
      </c>
      <c r="N11" s="27">
        <f>IF(K11&gt;=F11,"Sim","NÃO")</f>
        <v/>
      </c>
      <c r="O11" s="26">
        <f>(F11-I11-Premissas!$B$5*(F11-I11)-(Premissas!$B$6+Premissas!$B$7)*F11-J11)/F11</f>
        <v/>
      </c>
      <c r="P11" s="24">
        <f>F11*(1-Premissas!$B$6-Premissas!$B$7-Premissas!$B$5-Premissas!$B$14)-I11*(1-Premissas!$B$5)-(J11-Premissas!$B$12)</f>
        <v/>
      </c>
      <c r="Q11" s="23" t="n">
        <v>17882.05</v>
      </c>
      <c r="R11" s="24">
        <f>K11-Q11</f>
        <v/>
      </c>
    </row>
    <row r="12">
      <c r="A12" s="20" t="inlineStr">
        <is>
          <t>Inversor</t>
        </is>
      </c>
      <c r="B12" s="21" t="n">
        <v>12</v>
      </c>
      <c r="C12" s="22">
        <f>B12*Premissas!$B$25</f>
        <v/>
      </c>
      <c r="D12" s="20" t="inlineStr">
        <is>
          <t>SOFAR 5KTLM-G3</t>
        </is>
      </c>
      <c r="E12" s="21" t="n">
        <v>1</v>
      </c>
      <c r="F12" s="23" t="n">
        <v>17741.85</v>
      </c>
      <c r="G12" s="24">
        <f>(B12*Premissas!$B$24+(2*ROUNDUP(B12/2,0))*Premissas!$B$26+INT((2*ROUNDUP(B12/2,0))/4)*Premissas!$B$27+MOD((2*ROUNDUP(B12/2,0)),4)/2*Premissas!$B$28+2*IF(B12&lt;=19,3*B12,IF(B12&lt;=50,ROUNDUP(2.5*B12,0),2*B12))*Premissas!$B$29+IF(A12="Micro",E12*(Premissas!$B$31+Premissas!$B$32+4*Premissas!$B$30),E12*(INDEX(Premissas!$B$40:$B$71,MATCH(D12,Premissas!$A$40:$A$71,0))+INDEX(Premissas!$C$40:$C$71,MATCH(D12,Premissas!$A$40:$A$71,0))*Premissas!$B$30)))</f>
        <v/>
      </c>
      <c r="H12" s="24">
        <f>IF(G12&lt;Premissas!$B$36,MAX(Premissas!$B$33,G12*Premissas!$B$34),G12*Premissas!$B$35)</f>
        <v/>
      </c>
      <c r="I12" s="24">
        <f>ROUND(G12+H12,2)</f>
        <v/>
      </c>
      <c r="J12" s="24">
        <f>B12*Premissas!$B$8+Premissas!$B$9+Premissas!$B$10+Premissas!$B$11+Premissas!$B$12+ROUND(Premissas!$B$13*C12,2)</f>
        <v/>
      </c>
      <c r="K12" s="25">
        <f>ROUNDUP((I12+J12-Premissas!$B$5*I12)/(1-Premissas!$B$6-Premissas!$B$7-Premissas!$B$5-Premissas!$B$14),2)</f>
        <v/>
      </c>
      <c r="L12" s="24">
        <f>K12-F12</f>
        <v/>
      </c>
      <c r="M12" s="26">
        <f>L12/K12</f>
        <v/>
      </c>
      <c r="N12" s="27">
        <f>IF(K12&gt;=F12,"Sim","NÃO")</f>
        <v/>
      </c>
      <c r="O12" s="26">
        <f>(F12-I12-Premissas!$B$5*(F12-I12)-(Premissas!$B$6+Premissas!$B$7)*F12-J12)/F12</f>
        <v/>
      </c>
      <c r="P12" s="24">
        <f>F12*(1-Premissas!$B$6-Premissas!$B$7-Premissas!$B$5-Premissas!$B$14)-I12*(1-Premissas!$B$5)-(J12-Premissas!$B$12)</f>
        <v/>
      </c>
      <c r="Q12" s="23" t="n">
        <v>19016.98</v>
      </c>
      <c r="R12" s="24">
        <f>K12-Q12</f>
        <v/>
      </c>
    </row>
    <row r="13">
      <c r="A13" s="20" t="inlineStr">
        <is>
          <t>Inversor</t>
        </is>
      </c>
      <c r="B13" s="21" t="n">
        <v>13</v>
      </c>
      <c r="C13" s="22">
        <f>B13*Premissas!$B$25</f>
        <v/>
      </c>
      <c r="D13" s="20" t="inlineStr">
        <is>
          <t>SOFAR 6KTLM-G3</t>
        </is>
      </c>
      <c r="E13" s="21" t="n">
        <v>1</v>
      </c>
      <c r="F13" s="23" t="n">
        <v>19001.85</v>
      </c>
      <c r="G13" s="24">
        <f>(B13*Premissas!$B$24+(2*ROUNDUP(B13/2,0))*Premissas!$B$26+INT((2*ROUNDUP(B13/2,0))/4)*Premissas!$B$27+MOD((2*ROUNDUP(B13/2,0)),4)/2*Premissas!$B$28+2*IF(B13&lt;=19,3*B13,IF(B13&lt;=50,ROUNDUP(2.5*B13,0),2*B13))*Premissas!$B$29+IF(A13="Micro",E13*(Premissas!$B$31+Premissas!$B$32+4*Premissas!$B$30),E13*(INDEX(Premissas!$B$40:$B$71,MATCH(D13,Premissas!$A$40:$A$71,0))+INDEX(Premissas!$C$40:$C$71,MATCH(D13,Premissas!$A$40:$A$71,0))*Premissas!$B$30)))</f>
        <v/>
      </c>
      <c r="H13" s="24">
        <f>IF(G13&lt;Premissas!$B$36,MAX(Premissas!$B$33,G13*Premissas!$B$34),G13*Premissas!$B$35)</f>
        <v/>
      </c>
      <c r="I13" s="24">
        <f>ROUND(G13+H13,2)</f>
        <v/>
      </c>
      <c r="J13" s="24">
        <f>B13*Premissas!$B$8+Premissas!$B$9+Premissas!$B$10+Premissas!$B$11+Premissas!$B$12+ROUND(Premissas!$B$13*C13,2)</f>
        <v/>
      </c>
      <c r="K13" s="25">
        <f>ROUNDUP((I13+J13-Premissas!$B$5*I13)/(1-Premissas!$B$6-Premissas!$B$7-Premissas!$B$5-Premissas!$B$14),2)</f>
        <v/>
      </c>
      <c r="L13" s="24">
        <f>K13-F13</f>
        <v/>
      </c>
      <c r="M13" s="26">
        <f>L13/K13</f>
        <v/>
      </c>
      <c r="N13" s="27">
        <f>IF(K13&gt;=F13,"Sim","NÃO")</f>
        <v/>
      </c>
      <c r="O13" s="26">
        <f>(F13-I13-Premissas!$B$5*(F13-I13)-(Premissas!$B$6+Premissas!$B$7)*F13-J13)/F13</f>
        <v/>
      </c>
      <c r="P13" s="24">
        <f>F13*(1-Premissas!$B$6-Premissas!$B$7-Premissas!$B$5-Premissas!$B$14)-I13*(1-Premissas!$B$5)-(J13-Premissas!$B$12)</f>
        <v/>
      </c>
      <c r="Q13" s="23" t="n">
        <v>20553.76</v>
      </c>
      <c r="R13" s="24">
        <f>K13-Q13</f>
        <v/>
      </c>
    </row>
    <row r="14">
      <c r="A14" s="20" t="inlineStr">
        <is>
          <t>Inversor</t>
        </is>
      </c>
      <c r="B14" s="21" t="n">
        <v>14</v>
      </c>
      <c r="C14" s="22">
        <f>B14*Premissas!$B$25</f>
        <v/>
      </c>
      <c r="D14" s="20" t="inlineStr">
        <is>
          <t>SOFAR 6KTLM-G3</t>
        </is>
      </c>
      <c r="E14" s="21" t="n">
        <v>1</v>
      </c>
      <c r="F14" s="23" t="n">
        <v>20261.85</v>
      </c>
      <c r="G14" s="24">
        <f>(B14*Premissas!$B$24+(2*ROUNDUP(B14/2,0))*Premissas!$B$26+INT((2*ROUNDUP(B14/2,0))/4)*Premissas!$B$27+MOD((2*ROUNDUP(B14/2,0)),4)/2*Premissas!$B$28+2*IF(B14&lt;=19,3*B14,IF(B14&lt;=50,ROUNDUP(2.5*B14,0),2*B14))*Premissas!$B$29+IF(A14="Micro",E14*(Premissas!$B$31+Premissas!$B$32+4*Premissas!$B$30),E14*(INDEX(Premissas!$B$40:$B$71,MATCH(D14,Premissas!$A$40:$A$71,0))+INDEX(Premissas!$C$40:$C$71,MATCH(D14,Premissas!$A$40:$A$71,0))*Premissas!$B$30)))</f>
        <v/>
      </c>
      <c r="H14" s="24">
        <f>IF(G14&lt;Premissas!$B$36,MAX(Premissas!$B$33,G14*Premissas!$B$34),G14*Premissas!$B$35)</f>
        <v/>
      </c>
      <c r="I14" s="24">
        <f>ROUND(G14+H14,2)</f>
        <v/>
      </c>
      <c r="J14" s="24">
        <f>B14*Premissas!$B$8+Premissas!$B$9+Premissas!$B$10+Premissas!$B$11+Premissas!$B$12+ROUND(Premissas!$B$13*C14,2)</f>
        <v/>
      </c>
      <c r="K14" s="25">
        <f>ROUNDUP((I14+J14-Premissas!$B$5*I14)/(1-Premissas!$B$6-Premissas!$B$7-Premissas!$B$5-Premissas!$B$14),2)</f>
        <v/>
      </c>
      <c r="L14" s="24">
        <f>K14-F14</f>
        <v/>
      </c>
      <c r="M14" s="26">
        <f>L14/K14</f>
        <v/>
      </c>
      <c r="N14" s="27">
        <f>IF(K14&gt;=F14,"Sim","NÃO")</f>
        <v/>
      </c>
      <c r="O14" s="26">
        <f>(F14-I14-Premissas!$B$5*(F14-I14)-(Premissas!$B$6+Premissas!$B$7)*F14-J14)/F14</f>
        <v/>
      </c>
      <c r="P14" s="24">
        <f>F14*(1-Premissas!$B$6-Premissas!$B$7-Premissas!$B$5-Premissas!$B$14)-I14*(1-Premissas!$B$5)-(J14-Premissas!$B$12)</f>
        <v/>
      </c>
      <c r="Q14" s="23" t="n">
        <v>21715.63</v>
      </c>
      <c r="R14" s="24">
        <f>K14-Q14</f>
        <v/>
      </c>
    </row>
    <row r="15">
      <c r="A15" s="20" t="inlineStr">
        <is>
          <t>Inversor</t>
        </is>
      </c>
      <c r="B15" s="21" t="n">
        <v>15</v>
      </c>
      <c r="C15" s="22">
        <f>B15*Premissas!$B$25</f>
        <v/>
      </c>
      <c r="D15" s="20" t="inlineStr">
        <is>
          <t>SOFAR 6KTLM-G3</t>
        </is>
      </c>
      <c r="E15" s="21" t="n">
        <v>1</v>
      </c>
      <c r="F15" s="23" t="n">
        <v>21626.85</v>
      </c>
      <c r="G15" s="24">
        <f>(B15*Premissas!$B$24+(2*ROUNDUP(B15/2,0))*Premissas!$B$26+INT((2*ROUNDUP(B15/2,0))/4)*Premissas!$B$27+MOD((2*ROUNDUP(B15/2,0)),4)/2*Premissas!$B$28+2*IF(B15&lt;=19,3*B15,IF(B15&lt;=50,ROUNDUP(2.5*B15,0),2*B15))*Premissas!$B$29+IF(A15="Micro",E15*(Premissas!$B$31+Premissas!$B$32+4*Premissas!$B$30),E15*(INDEX(Premissas!$B$40:$B$71,MATCH(D15,Premissas!$A$40:$A$71,0))+INDEX(Premissas!$C$40:$C$71,MATCH(D15,Premissas!$A$40:$A$71,0))*Premissas!$B$30)))</f>
        <v/>
      </c>
      <c r="H15" s="24">
        <f>IF(G15&lt;Premissas!$B$36,MAX(Premissas!$B$33,G15*Premissas!$B$34),G15*Premissas!$B$35)</f>
        <v/>
      </c>
      <c r="I15" s="24">
        <f>ROUND(G15+H15,2)</f>
        <v/>
      </c>
      <c r="J15" s="24">
        <f>B15*Premissas!$B$8+Premissas!$B$9+Premissas!$B$10+Premissas!$B$11+Premissas!$B$12+ROUND(Premissas!$B$13*C15,2)</f>
        <v/>
      </c>
      <c r="K15" s="25">
        <f>ROUNDUP((I15+J15-Premissas!$B$5*I15)/(1-Premissas!$B$6-Premissas!$B$7-Premissas!$B$5-Premissas!$B$14),2)</f>
        <v/>
      </c>
      <c r="L15" s="24">
        <f>K15-F15</f>
        <v/>
      </c>
      <c r="M15" s="26">
        <f>L15/K15</f>
        <v/>
      </c>
      <c r="N15" s="27">
        <f>IF(K15&gt;=F15,"Sim","NÃO")</f>
        <v/>
      </c>
      <c r="O15" s="26">
        <f>(F15-I15-Premissas!$B$5*(F15-I15)-(Premissas!$B$6+Premissas!$B$7)*F15-J15)/F15</f>
        <v/>
      </c>
      <c r="P15" s="24">
        <f>F15*(1-Premissas!$B$6-Premissas!$B$7-Premissas!$B$5-Premissas!$B$14)-I15*(1-Premissas!$B$5)-(J15-Premissas!$B$12)</f>
        <v/>
      </c>
      <c r="Q15" s="23" t="n">
        <v>23126.86</v>
      </c>
      <c r="R15" s="24">
        <f>K15-Q15</f>
        <v/>
      </c>
    </row>
    <row r="16">
      <c r="A16" s="20" t="inlineStr">
        <is>
          <t>Inversor</t>
        </is>
      </c>
      <c r="B16" s="21" t="n">
        <v>16</v>
      </c>
      <c r="C16" s="22">
        <f>B16*Premissas!$B$25</f>
        <v/>
      </c>
      <c r="D16" s="20" t="inlineStr">
        <is>
          <t>SOFAR 6KTLM-G3</t>
        </is>
      </c>
      <c r="E16" s="21" t="n">
        <v>1</v>
      </c>
      <c r="F16" s="23" t="n">
        <v>22676.85</v>
      </c>
      <c r="G16" s="24">
        <f>(B16*Premissas!$B$24+(2*ROUNDUP(B16/2,0))*Premissas!$B$26+INT((2*ROUNDUP(B16/2,0))/4)*Premissas!$B$27+MOD((2*ROUNDUP(B16/2,0)),4)/2*Premissas!$B$28+2*IF(B16&lt;=19,3*B16,IF(B16&lt;=50,ROUNDUP(2.5*B16,0),2*B16))*Premissas!$B$29+IF(A16="Micro",E16*(Premissas!$B$31+Premissas!$B$32+4*Premissas!$B$30),E16*(INDEX(Premissas!$B$40:$B$71,MATCH(D16,Premissas!$A$40:$A$71,0))+INDEX(Premissas!$C$40:$C$71,MATCH(D16,Premissas!$A$40:$A$71,0))*Premissas!$B$30)))</f>
        <v/>
      </c>
      <c r="H16" s="24">
        <f>IF(G16&lt;Premissas!$B$36,MAX(Premissas!$B$33,G16*Premissas!$B$34),G16*Premissas!$B$35)</f>
        <v/>
      </c>
      <c r="I16" s="24">
        <f>ROUND(G16+H16,2)</f>
        <v/>
      </c>
      <c r="J16" s="24">
        <f>B16*Premissas!$B$8+Premissas!$B$9+Premissas!$B$10+Premissas!$B$11+Premissas!$B$12+ROUND(Premissas!$B$13*C16,2)</f>
        <v/>
      </c>
      <c r="K16" s="25">
        <f>ROUNDUP((I16+J16-Premissas!$B$5*I16)/(1-Premissas!$B$6-Premissas!$B$7-Premissas!$B$5-Premissas!$B$14),2)</f>
        <v/>
      </c>
      <c r="L16" s="24">
        <f>K16-F16</f>
        <v/>
      </c>
      <c r="M16" s="26">
        <f>L16/K16</f>
        <v/>
      </c>
      <c r="N16" s="27">
        <f>IF(K16&gt;=F16,"Sim","NÃO")</f>
        <v/>
      </c>
      <c r="O16" s="26">
        <f>(F16-I16-Premissas!$B$5*(F16-I16)-(Premissas!$B$6+Premissas!$B$7)*F16-J16)/F16</f>
        <v/>
      </c>
      <c r="P16" s="24">
        <f>F16*(1-Premissas!$B$6-Premissas!$B$7-Premissas!$B$5-Premissas!$B$14)-I16*(1-Premissas!$B$5)-(J16-Premissas!$B$12)</f>
        <v/>
      </c>
      <c r="Q16" s="23" t="n">
        <v>24295.65</v>
      </c>
      <c r="R16" s="24">
        <f>K16-Q16</f>
        <v/>
      </c>
    </row>
    <row r="17">
      <c r="A17" s="20" t="inlineStr">
        <is>
          <t>Inversor</t>
        </is>
      </c>
      <c r="B17" s="21" t="n">
        <v>17</v>
      </c>
      <c r="C17" s="22">
        <f>B17*Premissas!$B$25</f>
        <v/>
      </c>
      <c r="D17" s="20" t="inlineStr">
        <is>
          <t>SOFAR 6KTLM-G3</t>
        </is>
      </c>
      <c r="E17" s="21" t="n">
        <v>1</v>
      </c>
      <c r="F17" s="23" t="n">
        <v>25721.85</v>
      </c>
      <c r="G17" s="24">
        <f>(B17*Premissas!$B$24+(2*ROUNDUP(B17/2,0))*Premissas!$B$26+INT((2*ROUNDUP(B17/2,0))/4)*Premissas!$B$27+MOD((2*ROUNDUP(B17/2,0)),4)/2*Premissas!$B$28+2*IF(B17&lt;=19,3*B17,IF(B17&lt;=50,ROUNDUP(2.5*B17,0),2*B17))*Premissas!$B$29+IF(A17="Micro",E17*(Premissas!$B$31+Premissas!$B$32+4*Premissas!$B$30),E17*(INDEX(Premissas!$B$40:$B$71,MATCH(D17,Premissas!$A$40:$A$71,0))+INDEX(Premissas!$C$40:$C$71,MATCH(D17,Premissas!$A$40:$A$71,0))*Premissas!$B$30)))</f>
        <v/>
      </c>
      <c r="H17" s="24">
        <f>IF(G17&lt;Premissas!$B$36,MAX(Premissas!$B$33,G17*Premissas!$B$34),G17*Premissas!$B$35)</f>
        <v/>
      </c>
      <c r="I17" s="24">
        <f>ROUND(G17+H17,2)</f>
        <v/>
      </c>
      <c r="J17" s="24">
        <f>B17*Premissas!$B$8+Premissas!$B$9+Premissas!$B$10+Premissas!$B$11+Premissas!$B$12+ROUND(Premissas!$B$13*C17,2)</f>
        <v/>
      </c>
      <c r="K17" s="25">
        <f>ROUNDUP((I17+J17-Premissas!$B$5*I17)/(1-Premissas!$B$6-Premissas!$B$7-Premissas!$B$5-Premissas!$B$14),2)</f>
        <v/>
      </c>
      <c r="L17" s="24">
        <f>K17-F17</f>
        <v/>
      </c>
      <c r="M17" s="26">
        <f>L17/K17</f>
        <v/>
      </c>
      <c r="N17" s="27">
        <f>IF(K17&gt;=F17,"Sim","NÃO")</f>
        <v/>
      </c>
      <c r="O17" s="26">
        <f>(F17-I17-Premissas!$B$5*(F17-I17)-(Premissas!$B$6+Premissas!$B$7)*F17-J17)/F17</f>
        <v/>
      </c>
      <c r="P17" s="24">
        <f>F17*(1-Premissas!$B$6-Premissas!$B$7-Premissas!$B$5-Premissas!$B$14)-I17*(1-Premissas!$B$5)-(J17-Premissas!$B$12)</f>
        <v/>
      </c>
      <c r="Q17" s="23" t="n">
        <v>25722.48</v>
      </c>
      <c r="R17" s="24">
        <f>K17-Q17</f>
        <v/>
      </c>
    </row>
    <row r="18">
      <c r="A18" s="20" t="inlineStr">
        <is>
          <t>Inversor</t>
        </is>
      </c>
      <c r="B18" s="21" t="n">
        <v>18</v>
      </c>
      <c r="C18" s="22">
        <f>B18*Premissas!$B$25</f>
        <v/>
      </c>
      <c r="D18" s="20" t="inlineStr">
        <is>
          <t>SOFAR 7,5K</t>
        </is>
      </c>
      <c r="E18" s="21" t="n">
        <v>1</v>
      </c>
      <c r="F18" s="23" t="n">
        <v>26771.85</v>
      </c>
      <c r="G18" s="24">
        <f>(B18*Premissas!$B$24+(2*ROUNDUP(B18/2,0))*Premissas!$B$26+INT((2*ROUNDUP(B18/2,0))/4)*Premissas!$B$27+MOD((2*ROUNDUP(B18/2,0)),4)/2*Premissas!$B$28+2*IF(B18&lt;=19,3*B18,IF(B18&lt;=50,ROUNDUP(2.5*B18,0),2*B18))*Premissas!$B$29+IF(A18="Micro",E18*(Premissas!$B$31+Premissas!$B$32+4*Premissas!$B$30),E18*(INDEX(Premissas!$B$40:$B$71,MATCH(D18,Premissas!$A$40:$A$71,0))+INDEX(Premissas!$C$40:$C$71,MATCH(D18,Premissas!$A$40:$A$71,0))*Premissas!$B$30)))</f>
        <v/>
      </c>
      <c r="H18" s="24">
        <f>IF(G18&lt;Premissas!$B$36,MAX(Premissas!$B$33,G18*Premissas!$B$34),G18*Premissas!$B$35)</f>
        <v/>
      </c>
      <c r="I18" s="24">
        <f>ROUND(G18+H18,2)</f>
        <v/>
      </c>
      <c r="J18" s="24">
        <f>B18*Premissas!$B$8+Premissas!$B$9+Premissas!$B$10+Premissas!$B$11+Premissas!$B$12+ROUND(Premissas!$B$13*C18,2)</f>
        <v/>
      </c>
      <c r="K18" s="25">
        <f>ROUNDUP((I18+J18-Premissas!$B$5*I18)/(1-Premissas!$B$6-Premissas!$B$7-Premissas!$B$5-Premissas!$B$14),2)</f>
        <v/>
      </c>
      <c r="L18" s="24">
        <f>K18-F18</f>
        <v/>
      </c>
      <c r="M18" s="26">
        <f>L18/K18</f>
        <v/>
      </c>
      <c r="N18" s="27">
        <f>IF(K18&gt;=F18,"Sim","NÃO")</f>
        <v/>
      </c>
      <c r="O18" s="26">
        <f>(F18-I18-Premissas!$B$5*(F18-I18)-(Premissas!$B$6+Premissas!$B$7)*F18-J18)/F18</f>
        <v/>
      </c>
      <c r="P18" s="24">
        <f>F18*(1-Premissas!$B$6-Premissas!$B$7-Premissas!$B$5-Premissas!$B$14)-I18*(1-Premissas!$B$5)-(J18-Premissas!$B$12)</f>
        <v/>
      </c>
      <c r="Q18" s="23" t="n">
        <v>28340.75</v>
      </c>
      <c r="R18" s="24">
        <f>K18-Q18</f>
        <v/>
      </c>
    </row>
    <row r="19">
      <c r="A19" s="20" t="inlineStr">
        <is>
          <t>Inversor</t>
        </is>
      </c>
      <c r="B19" s="21" t="n">
        <v>19</v>
      </c>
      <c r="C19" s="22">
        <f>B19*Premissas!$B$25</f>
        <v/>
      </c>
      <c r="D19" s="20" t="inlineStr">
        <is>
          <t>SOFAR 7,5K</t>
        </is>
      </c>
      <c r="E19" s="21" t="n">
        <v>1</v>
      </c>
      <c r="F19" s="23" t="n">
        <v>28136.85</v>
      </c>
      <c r="G19" s="24">
        <f>(B19*Premissas!$B$24+(2*ROUNDUP(B19/2,0))*Premissas!$B$26+INT((2*ROUNDUP(B19/2,0))/4)*Premissas!$B$27+MOD((2*ROUNDUP(B19/2,0)),4)/2*Premissas!$B$28+2*IF(B19&lt;=19,3*B19,IF(B19&lt;=50,ROUNDUP(2.5*B19,0),2*B19))*Premissas!$B$29+IF(A19="Micro",E19*(Premissas!$B$31+Premissas!$B$32+4*Premissas!$B$30),E19*(INDEX(Premissas!$B$40:$B$71,MATCH(D19,Premissas!$A$40:$A$71,0))+INDEX(Premissas!$C$40:$C$71,MATCH(D19,Premissas!$A$40:$A$71,0))*Premissas!$B$30)))</f>
        <v/>
      </c>
      <c r="H19" s="24">
        <f>IF(G19&lt;Premissas!$B$36,MAX(Premissas!$B$33,G19*Premissas!$B$34),G19*Premissas!$B$35)</f>
        <v/>
      </c>
      <c r="I19" s="24">
        <f>ROUND(G19+H19,2)</f>
        <v/>
      </c>
      <c r="J19" s="24">
        <f>B19*Premissas!$B$8+Premissas!$B$9+Premissas!$B$10+Premissas!$B$11+Premissas!$B$12+ROUND(Premissas!$B$13*C19,2)</f>
        <v/>
      </c>
      <c r="K19" s="25">
        <f>ROUNDUP((I19+J19-Premissas!$B$5*I19)/(1-Premissas!$B$6-Premissas!$B$7-Premissas!$B$5-Premissas!$B$14),2)</f>
        <v/>
      </c>
      <c r="L19" s="24">
        <f>K19-F19</f>
        <v/>
      </c>
      <c r="M19" s="26">
        <f>L19/K19</f>
        <v/>
      </c>
      <c r="N19" s="27">
        <f>IF(K19&gt;=F19,"Sim","NÃO")</f>
        <v/>
      </c>
      <c r="O19" s="26">
        <f>(F19-I19-Premissas!$B$5*(F19-I19)-(Premissas!$B$6+Premissas!$B$7)*F19-J19)/F19</f>
        <v/>
      </c>
      <c r="P19" s="24">
        <f>F19*(1-Premissas!$B$6-Premissas!$B$7-Premissas!$B$5-Premissas!$B$14)-I19*(1-Premissas!$B$5)-(J19-Premissas!$B$12)</f>
        <v/>
      </c>
      <c r="Q19" s="23" t="n">
        <v>29751.98</v>
      </c>
      <c r="R19" s="24">
        <f>K19-Q19</f>
        <v/>
      </c>
    </row>
    <row r="20">
      <c r="A20" s="20" t="inlineStr">
        <is>
          <t>Inversor</t>
        </is>
      </c>
      <c r="B20" s="21" t="n">
        <v>20</v>
      </c>
      <c r="C20" s="22">
        <f>B20*Premissas!$B$25</f>
        <v/>
      </c>
      <c r="D20" s="20" t="inlineStr">
        <is>
          <t>SOFAR 7,5K</t>
        </is>
      </c>
      <c r="E20" s="21" t="n">
        <v>1</v>
      </c>
      <c r="F20" s="23" t="n">
        <v>28976.85</v>
      </c>
      <c r="G20" s="24">
        <f>(B20*Premissas!$B$24+(2*ROUNDUP(B20/2,0))*Premissas!$B$26+INT((2*ROUNDUP(B20/2,0))/4)*Premissas!$B$27+MOD((2*ROUNDUP(B20/2,0)),4)/2*Premissas!$B$28+2*IF(B20&lt;=19,3*B20,IF(B20&lt;=50,ROUNDUP(2.5*B20,0),2*B20))*Premissas!$B$29+IF(A20="Micro",E20*(Premissas!$B$31+Premissas!$B$32+4*Premissas!$B$30),E20*(INDEX(Premissas!$B$40:$B$71,MATCH(D20,Premissas!$A$40:$A$71,0))+INDEX(Premissas!$C$40:$C$71,MATCH(D20,Premissas!$A$40:$A$71,0))*Premissas!$B$30)))</f>
        <v/>
      </c>
      <c r="H20" s="24">
        <f>IF(G20&lt;Premissas!$B$36,MAX(Premissas!$B$33,G20*Premissas!$B$34),G20*Premissas!$B$35)</f>
        <v/>
      </c>
      <c r="I20" s="24">
        <f>ROUND(G20+H20,2)</f>
        <v/>
      </c>
      <c r="J20" s="24">
        <f>B20*Premissas!$B$8+Premissas!$B$9+Premissas!$B$10+Premissas!$B$11+Premissas!$B$12+ROUND(Premissas!$B$13*C20,2)</f>
        <v/>
      </c>
      <c r="K20" s="25">
        <f>ROUNDUP((I20+J20-Premissas!$B$5*I20)/(1-Premissas!$B$6-Premissas!$B$7-Premissas!$B$5-Premissas!$B$14),2)</f>
        <v/>
      </c>
      <c r="L20" s="24">
        <f>K20-F20</f>
        <v/>
      </c>
      <c r="M20" s="26">
        <f>L20/K20</f>
        <v/>
      </c>
      <c r="N20" s="27">
        <f>IF(K20&gt;=F20,"Sim","NÃO")</f>
        <v/>
      </c>
      <c r="O20" s="26">
        <f>(F20-I20-Premissas!$B$5*(F20-I20)-(Premissas!$B$6+Premissas!$B$7)*F20-J20)/F20</f>
        <v/>
      </c>
      <c r="P20" s="24">
        <f>F20*(1-Premissas!$B$6-Premissas!$B$7-Premissas!$B$5-Premissas!$B$14)-I20*(1-Premissas!$B$5)-(J20-Premissas!$B$12)</f>
        <v/>
      </c>
      <c r="Q20" s="23" t="n">
        <v>30785.38</v>
      </c>
      <c r="R20" s="24">
        <f>K20-Q20</f>
        <v/>
      </c>
    </row>
    <row r="21">
      <c r="A21" s="20" t="inlineStr">
        <is>
          <t>Micro</t>
        </is>
      </c>
      <c r="B21" s="21" t="n">
        <v>4</v>
      </c>
      <c r="C21" s="22">
        <f>B21*Premissas!$B$25</f>
        <v/>
      </c>
      <c r="D21" s="20" t="inlineStr">
        <is>
          <t>Microinversor HOYMILES 2,25kW</t>
        </is>
      </c>
      <c r="E21" s="21" t="n">
        <v>1</v>
      </c>
      <c r="F21" s="23" t="n">
        <v>8029.29</v>
      </c>
      <c r="G21" s="24">
        <f>(B21*Premissas!$B$24+(2*ROUNDUP(B21/2,0))*Premissas!$B$26+INT((2*ROUNDUP(B21/2,0))/4)*Premissas!$B$27+MOD((2*ROUNDUP(B21/2,0)),4)/2*Premissas!$B$28+2*IF(B21&lt;=19,3*B21,IF(B21&lt;=50,ROUNDUP(2.5*B21,0),2*B21))*Premissas!$B$29+IF(A21="Micro",E21*(Premissas!$B$31+Premissas!$B$32+4*Premissas!$B$30),E21*(INDEX(Premissas!$B$40:$B$71,MATCH(D21,Premissas!$A$40:$A$71,0))+INDEX(Premissas!$C$40:$C$71,MATCH(D21,Premissas!$A$40:$A$71,0))*Premissas!$B$30)))</f>
        <v/>
      </c>
      <c r="H21" s="24">
        <f>IF(G21&lt;Premissas!$B$36,MAX(Premissas!$B$33,G21*Premissas!$B$34),G21*Premissas!$B$35)</f>
        <v/>
      </c>
      <c r="I21" s="24">
        <f>ROUND(G21+H21,2)</f>
        <v/>
      </c>
      <c r="J21" s="24">
        <f>B21*Premissas!$B$8+Premissas!$B$9+Premissas!$B$10+Premissas!$B$11+Premissas!$B$12+ROUND(Premissas!$B$13*C21,2)</f>
        <v/>
      </c>
      <c r="K21" s="25">
        <f>ROUNDUP((I21+J21-Premissas!$B$5*I21)/(1-Premissas!$B$6-Premissas!$B$7-Premissas!$B$5-Premissas!$B$14),2)</f>
        <v/>
      </c>
      <c r="L21" s="24">
        <f>K21-F21</f>
        <v/>
      </c>
      <c r="M21" s="26">
        <f>L21/K21</f>
        <v/>
      </c>
      <c r="N21" s="27">
        <f>IF(K21&gt;=F21,"Sim","NÃO")</f>
        <v/>
      </c>
      <c r="O21" s="26">
        <f>(F21-I21-Premissas!$B$5*(F21-I21)-(Premissas!$B$6+Premissas!$B$7)*F21-J21)/F21</f>
        <v/>
      </c>
      <c r="P21" s="24">
        <f>F21*(1-Premissas!$B$6-Premissas!$B$7-Premissas!$B$5-Premissas!$B$14)-I21*(1-Premissas!$B$5)-(J21-Premissas!$B$12)</f>
        <v/>
      </c>
      <c r="Q21" s="23" t="n">
        <v>8031.17</v>
      </c>
      <c r="R21" s="24">
        <f>K21-Q21</f>
        <v/>
      </c>
    </row>
    <row r="22">
      <c r="A22" s="20" t="inlineStr">
        <is>
          <t>Micro</t>
        </is>
      </c>
      <c r="B22" s="21" t="n">
        <v>5</v>
      </c>
      <c r="C22" s="22">
        <f>B22*Premissas!$B$25</f>
        <v/>
      </c>
      <c r="D22" s="20" t="inlineStr">
        <is>
          <t>Microinversor HOYMILES 2,25kW</t>
        </is>
      </c>
      <c r="E22" s="21" t="n">
        <v>2</v>
      </c>
      <c r="F22" s="23" t="n">
        <v>10171.29</v>
      </c>
      <c r="G22" s="24">
        <f>(B22*Premissas!$B$24+(2*ROUNDUP(B22/2,0))*Premissas!$B$26+INT((2*ROUNDUP(B22/2,0))/4)*Premissas!$B$27+MOD((2*ROUNDUP(B22/2,0)),4)/2*Premissas!$B$28+2*IF(B22&lt;=19,3*B22,IF(B22&lt;=50,ROUNDUP(2.5*B22,0),2*B22))*Premissas!$B$29+IF(A22="Micro",E22*(Premissas!$B$31+Premissas!$B$32+4*Premissas!$B$30),E22*(INDEX(Premissas!$B$40:$B$71,MATCH(D22,Premissas!$A$40:$A$71,0))+INDEX(Premissas!$C$40:$C$71,MATCH(D22,Premissas!$A$40:$A$71,0))*Premissas!$B$30)))</f>
        <v/>
      </c>
      <c r="H22" s="24">
        <f>IF(G22&lt;Premissas!$B$36,MAX(Premissas!$B$33,G22*Premissas!$B$34),G22*Premissas!$B$35)</f>
        <v/>
      </c>
      <c r="I22" s="24">
        <f>ROUND(G22+H22,2)</f>
        <v/>
      </c>
      <c r="J22" s="24">
        <f>B22*Premissas!$B$8+Premissas!$B$9+Premissas!$B$10+Premissas!$B$11+Premissas!$B$12+ROUND(Premissas!$B$13*C22,2)</f>
        <v/>
      </c>
      <c r="K22" s="25">
        <f>ROUNDUP((I22+J22-Premissas!$B$5*I22)/(1-Premissas!$B$6-Premissas!$B$7-Premissas!$B$5-Premissas!$B$14),2)</f>
        <v/>
      </c>
      <c r="L22" s="24">
        <f>K22-F22</f>
        <v/>
      </c>
      <c r="M22" s="26">
        <f>L22/K22</f>
        <v/>
      </c>
      <c r="N22" s="27">
        <f>IF(K22&gt;=F22,"Sim","NÃO")</f>
        <v/>
      </c>
      <c r="O22" s="26">
        <f>(F22-I22-Premissas!$B$5*(F22-I22)-(Premissas!$B$6+Premissas!$B$7)*F22-J22)/F22</f>
        <v/>
      </c>
      <c r="P22" s="24">
        <f>F22*(1-Premissas!$B$6-Premissas!$B$7-Premissas!$B$5-Premissas!$B$14)-I22*(1-Premissas!$B$5)-(J22-Premissas!$B$12)</f>
        <v/>
      </c>
      <c r="Q22" s="23" t="n">
        <v>10947.61</v>
      </c>
      <c r="R22" s="24">
        <f>K22-Q22</f>
        <v/>
      </c>
    </row>
    <row r="23">
      <c r="A23" s="20" t="inlineStr">
        <is>
          <t>Micro</t>
        </is>
      </c>
      <c r="B23" s="21" t="n">
        <v>6</v>
      </c>
      <c r="C23" s="22">
        <f>B23*Premissas!$B$25</f>
        <v/>
      </c>
      <c r="D23" s="20" t="inlineStr">
        <is>
          <t>Microinversor HOYMILES 2,25kW</t>
        </is>
      </c>
      <c r="E23" s="21" t="n">
        <v>2</v>
      </c>
      <c r="F23" s="23" t="n">
        <v>11135.19</v>
      </c>
      <c r="G23" s="24">
        <f>(B23*Premissas!$B$24+(2*ROUNDUP(B23/2,0))*Premissas!$B$26+INT((2*ROUNDUP(B23/2,0))/4)*Premissas!$B$27+MOD((2*ROUNDUP(B23/2,0)),4)/2*Premissas!$B$28+2*IF(B23&lt;=19,3*B23,IF(B23&lt;=50,ROUNDUP(2.5*B23,0),2*B23))*Premissas!$B$29+IF(A23="Micro",E23*(Premissas!$B$31+Premissas!$B$32+4*Premissas!$B$30),E23*(INDEX(Premissas!$B$40:$B$71,MATCH(D23,Premissas!$A$40:$A$71,0))+INDEX(Premissas!$C$40:$C$71,MATCH(D23,Premissas!$A$40:$A$71,0))*Premissas!$B$30)))</f>
        <v/>
      </c>
      <c r="H23" s="24">
        <f>IF(G23&lt;Premissas!$B$36,MAX(Premissas!$B$33,G23*Premissas!$B$34),G23*Premissas!$B$35)</f>
        <v/>
      </c>
      <c r="I23" s="24">
        <f>ROUND(G23+H23,2)</f>
        <v/>
      </c>
      <c r="J23" s="24">
        <f>B23*Premissas!$B$8+Premissas!$B$9+Premissas!$B$10+Premissas!$B$11+Premissas!$B$12+ROUND(Premissas!$B$13*C23,2)</f>
        <v/>
      </c>
      <c r="K23" s="25">
        <f>ROUNDUP((I23+J23-Premissas!$B$5*I23)/(1-Premissas!$B$6-Premissas!$B$7-Premissas!$B$5-Premissas!$B$14),2)</f>
        <v/>
      </c>
      <c r="L23" s="24">
        <f>K23-F23</f>
        <v/>
      </c>
      <c r="M23" s="26">
        <f>L23/K23</f>
        <v/>
      </c>
      <c r="N23" s="27">
        <f>IF(K23&gt;=F23,"Sim","NÃO")</f>
        <v/>
      </c>
      <c r="O23" s="26">
        <f>(F23-I23-Premissas!$B$5*(F23-I23)-(Premissas!$B$6+Premissas!$B$7)*F23-J23)/F23</f>
        <v/>
      </c>
      <c r="P23" s="24">
        <f>F23*(1-Premissas!$B$6-Premissas!$B$7-Premissas!$B$5-Premissas!$B$14)-I23*(1-Premissas!$B$5)-(J23-Premissas!$B$12)</f>
        <v/>
      </c>
      <c r="Q23" s="23" t="n">
        <v>12082.52</v>
      </c>
      <c r="R23" s="24">
        <f>K23-Q23</f>
        <v/>
      </c>
    </row>
    <row r="24">
      <c r="A24" s="20" t="inlineStr">
        <is>
          <t>Micro</t>
        </is>
      </c>
      <c r="B24" s="21" t="n">
        <v>7</v>
      </c>
      <c r="C24" s="22">
        <f>B24*Premissas!$B$25</f>
        <v/>
      </c>
      <c r="D24" s="20" t="inlineStr">
        <is>
          <t>Microinversor HOYMILES 2,25kW</t>
        </is>
      </c>
      <c r="E24" s="21" t="n">
        <v>2</v>
      </c>
      <c r="F24" s="23" t="n">
        <v>12420.39</v>
      </c>
      <c r="G24" s="24">
        <f>(B24*Premissas!$B$24+(2*ROUNDUP(B24/2,0))*Premissas!$B$26+INT((2*ROUNDUP(B24/2,0))/4)*Premissas!$B$27+MOD((2*ROUNDUP(B24/2,0)),4)/2*Premissas!$B$28+2*IF(B24&lt;=19,3*B24,IF(B24&lt;=50,ROUNDUP(2.5*B24,0),2*B24))*Premissas!$B$29+IF(A24="Micro",E24*(Premissas!$B$31+Premissas!$B$32+4*Premissas!$B$30),E24*(INDEX(Premissas!$B$40:$B$71,MATCH(D24,Premissas!$A$40:$A$71,0))+INDEX(Premissas!$C$40:$C$71,MATCH(D24,Premissas!$A$40:$A$71,0))*Premissas!$B$30)))</f>
        <v/>
      </c>
      <c r="H24" s="24">
        <f>IF(G24&lt;Premissas!$B$36,MAX(Premissas!$B$33,G24*Premissas!$B$34),G24*Premissas!$B$35)</f>
        <v/>
      </c>
      <c r="I24" s="24">
        <f>ROUND(G24+H24,2)</f>
        <v/>
      </c>
      <c r="J24" s="24">
        <f>B24*Premissas!$B$8+Premissas!$B$9+Premissas!$B$10+Premissas!$B$11+Premissas!$B$12+ROUND(Premissas!$B$13*C24,2)</f>
        <v/>
      </c>
      <c r="K24" s="25">
        <f>ROUNDUP((I24+J24-Premissas!$B$5*I24)/(1-Premissas!$B$6-Premissas!$B$7-Premissas!$B$5-Premissas!$B$14),2)</f>
        <v/>
      </c>
      <c r="L24" s="24">
        <f>K24-F24</f>
        <v/>
      </c>
      <c r="M24" s="26">
        <f>L24/K24</f>
        <v/>
      </c>
      <c r="N24" s="27">
        <f>IF(K24&gt;=F24,"Sim","NÃO")</f>
        <v/>
      </c>
      <c r="O24" s="26">
        <f>(F24-I24-Premissas!$B$5*(F24-I24)-(Premissas!$B$6+Premissas!$B$7)*F24-J24)/F24</f>
        <v/>
      </c>
      <c r="P24" s="24">
        <f>F24*(1-Premissas!$B$6-Premissas!$B$7-Premissas!$B$5-Premissas!$B$14)-I24*(1-Premissas!$B$5)-(J24-Premissas!$B$12)</f>
        <v/>
      </c>
      <c r="Q24" s="23" t="n">
        <v>13450.91</v>
      </c>
      <c r="R24" s="24">
        <f>K24-Q24</f>
        <v/>
      </c>
    </row>
    <row r="25">
      <c r="A25" s="20" t="inlineStr">
        <is>
          <t>Micro</t>
        </is>
      </c>
      <c r="B25" s="21" t="n">
        <v>8</v>
      </c>
      <c r="C25" s="22">
        <f>B25*Premissas!$B$25</f>
        <v/>
      </c>
      <c r="D25" s="20" t="inlineStr">
        <is>
          <t>Microinversor HOYMILES 2,25kW</t>
        </is>
      </c>
      <c r="E25" s="21" t="n">
        <v>2</v>
      </c>
      <c r="F25" s="23" t="n">
        <v>13598.49</v>
      </c>
      <c r="G25" s="24">
        <f>(B25*Premissas!$B$24+(2*ROUNDUP(B25/2,0))*Premissas!$B$26+INT((2*ROUNDUP(B25/2,0))/4)*Premissas!$B$27+MOD((2*ROUNDUP(B25/2,0)),4)/2*Premissas!$B$28+2*IF(B25&lt;=19,3*B25,IF(B25&lt;=50,ROUNDUP(2.5*B25,0),2*B25))*Premissas!$B$29+IF(A25="Micro",E25*(Premissas!$B$31+Premissas!$B$32+4*Premissas!$B$30),E25*(INDEX(Premissas!$B$40:$B$71,MATCH(D25,Premissas!$A$40:$A$71,0))+INDEX(Premissas!$C$40:$C$71,MATCH(D25,Premissas!$A$40:$A$71,0))*Premissas!$B$30)))</f>
        <v/>
      </c>
      <c r="H25" s="24">
        <f>IF(G25&lt;Premissas!$B$36,MAX(Premissas!$B$33,G25*Premissas!$B$34),G25*Premissas!$B$35)</f>
        <v/>
      </c>
      <c r="I25" s="24">
        <f>ROUND(G25+H25,2)</f>
        <v/>
      </c>
      <c r="J25" s="24">
        <f>B25*Premissas!$B$8+Premissas!$B$9+Premissas!$B$10+Premissas!$B$11+Premissas!$B$12+ROUND(Premissas!$B$13*C25,2)</f>
        <v/>
      </c>
      <c r="K25" s="25">
        <f>ROUNDUP((I25+J25-Premissas!$B$5*I25)/(1-Premissas!$B$6-Premissas!$B$7-Premissas!$B$5-Premissas!$B$14),2)</f>
        <v/>
      </c>
      <c r="L25" s="24">
        <f>K25-F25</f>
        <v/>
      </c>
      <c r="M25" s="26">
        <f>L25/K25</f>
        <v/>
      </c>
      <c r="N25" s="27">
        <f>IF(K25&gt;=F25,"Sim","NÃO")</f>
        <v/>
      </c>
      <c r="O25" s="26">
        <f>(F25-I25-Premissas!$B$5*(F25-I25)-(Premissas!$B$6+Premissas!$B$7)*F25-J25)/F25</f>
        <v/>
      </c>
      <c r="P25" s="24">
        <f>F25*(1-Premissas!$B$6-Premissas!$B$7-Premissas!$B$5-Premissas!$B$14)-I25*(1-Premissas!$B$5)-(J25-Premissas!$B$12)</f>
        <v/>
      </c>
      <c r="Q25" s="23" t="n">
        <v>14585.84</v>
      </c>
      <c r="R25" s="24">
        <f>K25-Q25</f>
        <v/>
      </c>
    </row>
    <row r="26">
      <c r="A26" s="20" t="inlineStr">
        <is>
          <t>Micro</t>
        </is>
      </c>
      <c r="B26" s="21" t="n">
        <v>9</v>
      </c>
      <c r="C26" s="22">
        <f>B26*Premissas!$B$25</f>
        <v/>
      </c>
      <c r="D26" s="20" t="inlineStr">
        <is>
          <t>Microinversor HOYMILES 2,25kW</t>
        </is>
      </c>
      <c r="E26" s="21" t="n">
        <v>3</v>
      </c>
      <c r="F26" s="23" t="n">
        <v>16383.09</v>
      </c>
      <c r="G26" s="24">
        <f>(B26*Premissas!$B$24+(2*ROUNDUP(B26/2,0))*Premissas!$B$26+INT((2*ROUNDUP(B26/2,0))/4)*Premissas!$B$27+MOD((2*ROUNDUP(B26/2,0)),4)/2*Premissas!$B$28+2*IF(B26&lt;=19,3*B26,IF(B26&lt;=50,ROUNDUP(2.5*B26,0),2*B26))*Premissas!$B$29+IF(A26="Micro",E26*(Premissas!$B$31+Premissas!$B$32+4*Premissas!$B$30),E26*(INDEX(Premissas!$B$40:$B$71,MATCH(D26,Premissas!$A$40:$A$71,0))+INDEX(Premissas!$C$40:$C$71,MATCH(D26,Premissas!$A$40:$A$71,0))*Premissas!$B$30)))</f>
        <v/>
      </c>
      <c r="H26" s="24">
        <f>IF(G26&lt;Premissas!$B$36,MAX(Premissas!$B$33,G26*Premissas!$B$34),G26*Premissas!$B$35)</f>
        <v/>
      </c>
      <c r="I26" s="24">
        <f>ROUND(G26+H26,2)</f>
        <v/>
      </c>
      <c r="J26" s="24">
        <f>B26*Premissas!$B$8+Premissas!$B$9+Premissas!$B$10+Premissas!$B$11+Premissas!$B$12+ROUND(Premissas!$B$13*C26,2)</f>
        <v/>
      </c>
      <c r="K26" s="25">
        <f>ROUNDUP((I26+J26-Premissas!$B$5*I26)/(1-Premissas!$B$6-Premissas!$B$7-Premissas!$B$5-Premissas!$B$14),2)</f>
        <v/>
      </c>
      <c r="L26" s="24">
        <f>K26-F26</f>
        <v/>
      </c>
      <c r="M26" s="26">
        <f>L26/K26</f>
        <v/>
      </c>
      <c r="N26" s="27">
        <f>IF(K26&gt;=F26,"Sim","NÃO")</f>
        <v/>
      </c>
      <c r="O26" s="26">
        <f>(F26-I26-Premissas!$B$5*(F26-I26)-(Premissas!$B$6+Premissas!$B$7)*F26-J26)/F26</f>
        <v/>
      </c>
      <c r="P26" s="24">
        <f>F26*(1-Premissas!$B$6-Premissas!$B$7-Premissas!$B$5-Premissas!$B$14)-I26*(1-Premissas!$B$5)-(J26-Premissas!$B$12)</f>
        <v/>
      </c>
      <c r="Q26" s="23" t="n">
        <v>17502.26</v>
      </c>
      <c r="R26" s="24">
        <f>K26-Q26</f>
        <v/>
      </c>
    </row>
    <row r="27">
      <c r="A27" s="20" t="inlineStr">
        <is>
          <t>Micro</t>
        </is>
      </c>
      <c r="B27" s="21" t="n">
        <v>10</v>
      </c>
      <c r="C27" s="22">
        <f>B27*Premissas!$B$25</f>
        <v/>
      </c>
      <c r="D27" s="20" t="inlineStr">
        <is>
          <t>Microinversor HOYMILES 2,25kW</t>
        </is>
      </c>
      <c r="E27" s="21" t="n">
        <v>3</v>
      </c>
      <c r="F27" s="23" t="n">
        <v>17454.09</v>
      </c>
      <c r="G27" s="24">
        <f>(B27*Premissas!$B$24+(2*ROUNDUP(B27/2,0))*Premissas!$B$26+INT((2*ROUNDUP(B27/2,0))/4)*Premissas!$B$27+MOD((2*ROUNDUP(B27/2,0)),4)/2*Premissas!$B$28+2*IF(B27&lt;=19,3*B27,IF(B27&lt;=50,ROUNDUP(2.5*B27,0),2*B27))*Premissas!$B$29+IF(A27="Micro",E27*(Premissas!$B$31+Premissas!$B$32+4*Premissas!$B$30),E27*(INDEX(Premissas!$B$40:$B$71,MATCH(D27,Premissas!$A$40:$A$71,0))+INDEX(Premissas!$C$40:$C$71,MATCH(D27,Premissas!$A$40:$A$71,0))*Premissas!$B$30)))</f>
        <v/>
      </c>
      <c r="H27" s="24">
        <f>IF(G27&lt;Premissas!$B$36,MAX(Premissas!$B$33,G27*Premissas!$B$34),G27*Premissas!$B$35)</f>
        <v/>
      </c>
      <c r="I27" s="24">
        <f>ROUND(G27+H27,2)</f>
        <v/>
      </c>
      <c r="J27" s="24">
        <f>B27*Premissas!$B$8+Premissas!$B$9+Premissas!$B$10+Premissas!$B$11+Premissas!$B$12+ROUND(Premissas!$B$13*C27,2)</f>
        <v/>
      </c>
      <c r="K27" s="25">
        <f>ROUNDUP((I27+J27-Premissas!$B$5*I27)/(1-Premissas!$B$6-Premissas!$B$7-Premissas!$B$5-Premissas!$B$14),2)</f>
        <v/>
      </c>
      <c r="L27" s="24">
        <f>K27-F27</f>
        <v/>
      </c>
      <c r="M27" s="26">
        <f>L27/K27</f>
        <v/>
      </c>
      <c r="N27" s="27">
        <f>IF(K27&gt;=F27,"Sim","NÃO")</f>
        <v/>
      </c>
      <c r="O27" s="26">
        <f>(F27-I27-Premissas!$B$5*(F27-I27)-(Premissas!$B$6+Premissas!$B$7)*F27-J27)/F27</f>
        <v/>
      </c>
      <c r="P27" s="24">
        <f>F27*(1-Premissas!$B$6-Premissas!$B$7-Premissas!$B$5-Premissas!$B$14)-I27*(1-Premissas!$B$5)-(J27-Premissas!$B$12)</f>
        <v/>
      </c>
      <c r="Q27" s="23" t="n">
        <v>18637.18</v>
      </c>
      <c r="R27" s="24">
        <f>K27-Q27</f>
        <v/>
      </c>
    </row>
    <row r="28">
      <c r="A28" s="20" t="inlineStr">
        <is>
          <t>Micro</t>
        </is>
      </c>
      <c r="B28" s="21" t="n">
        <v>11</v>
      </c>
      <c r="C28" s="22">
        <f>B28*Premissas!$B$25</f>
        <v/>
      </c>
      <c r="D28" s="20" t="inlineStr">
        <is>
          <t>Microinversor HOYMILES 2,25kW</t>
        </is>
      </c>
      <c r="E28" s="21" t="n">
        <v>3</v>
      </c>
      <c r="F28" s="23" t="n">
        <v>18739.29</v>
      </c>
      <c r="G28" s="24">
        <f>(B28*Premissas!$B$24+(2*ROUNDUP(B28/2,0))*Premissas!$B$26+INT((2*ROUNDUP(B28/2,0))/4)*Premissas!$B$27+MOD((2*ROUNDUP(B28/2,0)),4)/2*Premissas!$B$28+2*IF(B28&lt;=19,3*B28,IF(B28&lt;=50,ROUNDUP(2.5*B28,0),2*B28))*Premissas!$B$29+IF(A28="Micro",E28*(Premissas!$B$31+Premissas!$B$32+4*Premissas!$B$30),E28*(INDEX(Premissas!$B$40:$B$71,MATCH(D28,Premissas!$A$40:$A$71,0))+INDEX(Premissas!$C$40:$C$71,MATCH(D28,Premissas!$A$40:$A$71,0))*Premissas!$B$30)))</f>
        <v/>
      </c>
      <c r="H28" s="24">
        <f>IF(G28&lt;Premissas!$B$36,MAX(Premissas!$B$33,G28*Premissas!$B$34),G28*Premissas!$B$35)</f>
        <v/>
      </c>
      <c r="I28" s="24">
        <f>ROUND(G28+H28,2)</f>
        <v/>
      </c>
      <c r="J28" s="24">
        <f>B28*Premissas!$B$8+Premissas!$B$9+Premissas!$B$10+Premissas!$B$11+Premissas!$B$12+ROUND(Premissas!$B$13*C28,2)</f>
        <v/>
      </c>
      <c r="K28" s="25">
        <f>ROUNDUP((I28+J28-Premissas!$B$5*I28)/(1-Premissas!$B$6-Premissas!$B$7-Premissas!$B$5-Premissas!$B$14),2)</f>
        <v/>
      </c>
      <c r="L28" s="24">
        <f>K28-F28</f>
        <v/>
      </c>
      <c r="M28" s="26">
        <f>L28/K28</f>
        <v/>
      </c>
      <c r="N28" s="27">
        <f>IF(K28&gt;=F28,"Sim","NÃO")</f>
        <v/>
      </c>
      <c r="O28" s="26">
        <f>(F28-I28-Premissas!$B$5*(F28-I28)-(Premissas!$B$6+Premissas!$B$7)*F28-J28)/F28</f>
        <v/>
      </c>
      <c r="P28" s="24">
        <f>F28*(1-Premissas!$B$6-Premissas!$B$7-Premissas!$B$5-Premissas!$B$14)-I28*(1-Premissas!$B$5)-(J28-Premissas!$B$12)</f>
        <v/>
      </c>
      <c r="Q28" s="23" t="n">
        <v>20005.57</v>
      </c>
      <c r="R28" s="24">
        <f>K28-Q28</f>
        <v/>
      </c>
    </row>
    <row r="29">
      <c r="A29" s="20" t="inlineStr">
        <is>
          <t>Micro</t>
        </is>
      </c>
      <c r="B29" s="21" t="n">
        <v>12</v>
      </c>
      <c r="C29" s="22">
        <f>B29*Premissas!$B$25</f>
        <v/>
      </c>
      <c r="D29" s="20" t="inlineStr">
        <is>
          <t>Microinversor HOYMILES 2,25kW</t>
        </is>
      </c>
      <c r="E29" s="21" t="n">
        <v>3</v>
      </c>
      <c r="F29" s="23" t="n">
        <v>19810.29</v>
      </c>
      <c r="G29" s="24">
        <f>(B29*Premissas!$B$24+(2*ROUNDUP(B29/2,0))*Premissas!$B$26+INT((2*ROUNDUP(B29/2,0))/4)*Premissas!$B$27+MOD((2*ROUNDUP(B29/2,0)),4)/2*Premissas!$B$28+2*IF(B29&lt;=19,3*B29,IF(B29&lt;=50,ROUNDUP(2.5*B29,0),2*B29))*Premissas!$B$29+IF(A29="Micro",E29*(Premissas!$B$31+Premissas!$B$32+4*Premissas!$B$30),E29*(INDEX(Premissas!$B$40:$B$71,MATCH(D29,Premissas!$A$40:$A$71,0))+INDEX(Premissas!$C$40:$C$71,MATCH(D29,Premissas!$A$40:$A$71,0))*Premissas!$B$30)))</f>
        <v/>
      </c>
      <c r="H29" s="24">
        <f>IF(G29&lt;Premissas!$B$36,MAX(Premissas!$B$33,G29*Premissas!$B$34),G29*Premissas!$B$35)</f>
        <v/>
      </c>
      <c r="I29" s="24">
        <f>ROUND(G29+H29,2)</f>
        <v/>
      </c>
      <c r="J29" s="24">
        <f>B29*Premissas!$B$8+Premissas!$B$9+Premissas!$B$10+Premissas!$B$11+Premissas!$B$12+ROUND(Premissas!$B$13*C29,2)</f>
        <v/>
      </c>
      <c r="K29" s="25">
        <f>ROUNDUP((I29+J29-Premissas!$B$5*I29)/(1-Premissas!$B$6-Premissas!$B$7-Premissas!$B$5-Premissas!$B$14),2)</f>
        <v/>
      </c>
      <c r="L29" s="24">
        <f>K29-F29</f>
        <v/>
      </c>
      <c r="M29" s="26">
        <f>L29/K29</f>
        <v/>
      </c>
      <c r="N29" s="27">
        <f>IF(K29&gt;=F29,"Sim","NÃO")</f>
        <v/>
      </c>
      <c r="O29" s="26">
        <f>(F29-I29-Premissas!$B$5*(F29-I29)-(Premissas!$B$6+Premissas!$B$7)*F29-J29)/F29</f>
        <v/>
      </c>
      <c r="P29" s="24">
        <f>F29*(1-Premissas!$B$6-Premissas!$B$7-Premissas!$B$5-Premissas!$B$14)-I29*(1-Premissas!$B$5)-(J29-Premissas!$B$12)</f>
        <v/>
      </c>
      <c r="Q29" s="23" t="n">
        <v>21165.98</v>
      </c>
      <c r="R29" s="24">
        <f>K29-Q29</f>
        <v/>
      </c>
    </row>
    <row r="30">
      <c r="A30" s="20" t="inlineStr">
        <is>
          <t>Micro</t>
        </is>
      </c>
      <c r="B30" s="21" t="n">
        <v>13</v>
      </c>
      <c r="C30" s="22">
        <f>B30*Premissas!$B$25</f>
        <v/>
      </c>
      <c r="D30" s="20" t="inlineStr">
        <is>
          <t>Microinversor HOYMILES 2,25kW</t>
        </is>
      </c>
      <c r="E30" s="21" t="n">
        <v>4</v>
      </c>
      <c r="F30" s="23" t="n">
        <v>22701.99</v>
      </c>
      <c r="G30" s="24">
        <f>(B30*Premissas!$B$24+(2*ROUNDUP(B30/2,0))*Premissas!$B$26+INT((2*ROUNDUP(B30/2,0))/4)*Premissas!$B$27+MOD((2*ROUNDUP(B30/2,0)),4)/2*Premissas!$B$28+2*IF(B30&lt;=19,3*B30,IF(B30&lt;=50,ROUNDUP(2.5*B30,0),2*B30))*Premissas!$B$29+IF(A30="Micro",E30*(Premissas!$B$31+Premissas!$B$32+4*Premissas!$B$30),E30*(INDEX(Premissas!$B$40:$B$71,MATCH(D30,Premissas!$A$40:$A$71,0))+INDEX(Premissas!$C$40:$C$71,MATCH(D30,Premissas!$A$40:$A$71,0))*Premissas!$B$30)))</f>
        <v/>
      </c>
      <c r="H30" s="24">
        <f>IF(G30&lt;Premissas!$B$36,MAX(Premissas!$B$33,G30*Premissas!$B$34),G30*Premissas!$B$35)</f>
        <v/>
      </c>
      <c r="I30" s="24">
        <f>ROUND(G30+H30,2)</f>
        <v/>
      </c>
      <c r="J30" s="24">
        <f>B30*Premissas!$B$8+Premissas!$B$9+Premissas!$B$10+Premissas!$B$11+Premissas!$B$12+ROUND(Premissas!$B$13*C30,2)</f>
        <v/>
      </c>
      <c r="K30" s="25">
        <f>ROUNDUP((I30+J30-Premissas!$B$5*I30)/(1-Premissas!$B$6-Premissas!$B$7-Premissas!$B$5-Premissas!$B$14),2)</f>
        <v/>
      </c>
      <c r="L30" s="24">
        <f>K30-F30</f>
        <v/>
      </c>
      <c r="M30" s="26">
        <f>L30/K30</f>
        <v/>
      </c>
      <c r="N30" s="27">
        <f>IF(K30&gt;=F30,"Sim","NÃO")</f>
        <v/>
      </c>
      <c r="O30" s="26">
        <f>(F30-I30-Premissas!$B$5*(F30-I30)-(Premissas!$B$6+Premissas!$B$7)*F30-J30)/F30</f>
        <v/>
      </c>
      <c r="P30" s="24">
        <f>F30*(1-Premissas!$B$6-Premissas!$B$7-Premissas!$B$5-Premissas!$B$14)-I30*(1-Premissas!$B$5)-(J30-Premissas!$B$12)</f>
        <v/>
      </c>
      <c r="Q30" s="23" t="n">
        <v>24184.85</v>
      </c>
      <c r="R30" s="24">
        <f>K30-Q30</f>
        <v/>
      </c>
    </row>
    <row r="31">
      <c r="A31" s="20" t="inlineStr">
        <is>
          <t>Micro</t>
        </is>
      </c>
      <c r="B31" s="21" t="n">
        <v>14</v>
      </c>
      <c r="C31" s="22">
        <f>B31*Premissas!$B$25</f>
        <v/>
      </c>
      <c r="D31" s="20" t="inlineStr">
        <is>
          <t>Microinversor HOYMILES 2,25kW</t>
        </is>
      </c>
      <c r="E31" s="21" t="n">
        <v>4</v>
      </c>
      <c r="F31" s="23" t="n">
        <v>23772.99</v>
      </c>
      <c r="G31" s="24">
        <f>(B31*Premissas!$B$24+(2*ROUNDUP(B31/2,0))*Premissas!$B$26+INT((2*ROUNDUP(B31/2,0))/4)*Premissas!$B$27+MOD((2*ROUNDUP(B31/2,0)),4)/2*Premissas!$B$28+2*IF(B31&lt;=19,3*B31,IF(B31&lt;=50,ROUNDUP(2.5*B31,0),2*B31))*Premissas!$B$29+IF(A31="Micro",E31*(Premissas!$B$31+Premissas!$B$32+4*Premissas!$B$30),E31*(INDEX(Premissas!$B$40:$B$71,MATCH(D31,Premissas!$A$40:$A$71,0))+INDEX(Premissas!$C$40:$C$71,MATCH(D31,Premissas!$A$40:$A$71,0))*Premissas!$B$30)))</f>
        <v/>
      </c>
      <c r="H31" s="24">
        <f>IF(G31&lt;Premissas!$B$36,MAX(Premissas!$B$33,G31*Premissas!$B$34),G31*Premissas!$B$35)</f>
        <v/>
      </c>
      <c r="I31" s="24">
        <f>ROUND(G31+H31,2)</f>
        <v/>
      </c>
      <c r="J31" s="24">
        <f>B31*Premissas!$B$8+Premissas!$B$9+Premissas!$B$10+Premissas!$B$11+Premissas!$B$12+ROUND(Premissas!$B$13*C31,2)</f>
        <v/>
      </c>
      <c r="K31" s="25">
        <f>ROUNDUP((I31+J31-Premissas!$B$5*I31)/(1-Premissas!$B$6-Premissas!$B$7-Premissas!$B$5-Premissas!$B$14),2)</f>
        <v/>
      </c>
      <c r="L31" s="24">
        <f>K31-F31</f>
        <v/>
      </c>
      <c r="M31" s="26">
        <f>L31/K31</f>
        <v/>
      </c>
      <c r="N31" s="27">
        <f>IF(K31&gt;=F31,"Sim","NÃO")</f>
        <v/>
      </c>
      <c r="O31" s="26">
        <f>(F31-I31-Premissas!$B$5*(F31-I31)-(Premissas!$B$6+Premissas!$B$7)*F31-J31)/F31</f>
        <v/>
      </c>
      <c r="P31" s="24">
        <f>F31*(1-Premissas!$B$6-Premissas!$B$7-Premissas!$B$5-Premissas!$B$14)-I31*(1-Premissas!$B$5)-(J31-Premissas!$B$12)</f>
        <v/>
      </c>
      <c r="Q31" s="23" t="n">
        <v>25353.65</v>
      </c>
      <c r="R31" s="24">
        <f>K31-Q31</f>
        <v/>
      </c>
    </row>
    <row r="32">
      <c r="A32" s="20" t="inlineStr">
        <is>
          <t>Micro</t>
        </is>
      </c>
      <c r="B32" s="21" t="n">
        <v>15</v>
      </c>
      <c r="C32" s="22">
        <f>B32*Premissas!$B$25</f>
        <v/>
      </c>
      <c r="D32" s="20" t="inlineStr">
        <is>
          <t>Microinversor HOYMILES 2,25kW</t>
        </is>
      </c>
      <c r="E32" s="21" t="n">
        <v>4</v>
      </c>
      <c r="F32" s="23" t="n">
        <v>25058.19</v>
      </c>
      <c r="G32" s="24">
        <f>(B32*Premissas!$B$24+(2*ROUNDUP(B32/2,0))*Premissas!$B$26+INT((2*ROUNDUP(B32/2,0))/4)*Premissas!$B$27+MOD((2*ROUNDUP(B32/2,0)),4)/2*Premissas!$B$28+2*IF(B32&lt;=19,3*B32,IF(B32&lt;=50,ROUNDUP(2.5*B32,0),2*B32))*Premissas!$B$29+IF(A32="Micro",E32*(Premissas!$B$31+Premissas!$B$32+4*Premissas!$B$30),E32*(INDEX(Premissas!$B$40:$B$71,MATCH(D32,Premissas!$A$40:$A$71,0))+INDEX(Premissas!$C$40:$C$71,MATCH(D32,Premissas!$A$40:$A$71,0))*Premissas!$B$30)))</f>
        <v/>
      </c>
      <c r="H32" s="24">
        <f>IF(G32&lt;Premissas!$B$36,MAX(Premissas!$B$33,G32*Premissas!$B$34),G32*Premissas!$B$35)</f>
        <v/>
      </c>
      <c r="I32" s="24">
        <f>ROUND(G32+H32,2)</f>
        <v/>
      </c>
      <c r="J32" s="24">
        <f>B32*Premissas!$B$8+Premissas!$B$9+Premissas!$B$10+Premissas!$B$11+Premissas!$B$12+ROUND(Premissas!$B$13*C32,2)</f>
        <v/>
      </c>
      <c r="K32" s="25">
        <f>ROUNDUP((I32+J32-Premissas!$B$5*I32)/(1-Premissas!$B$6-Premissas!$B$7-Premissas!$B$5-Premissas!$B$14),2)</f>
        <v/>
      </c>
      <c r="L32" s="24">
        <f>K32-F32</f>
        <v/>
      </c>
      <c r="M32" s="26">
        <f>L32/K32</f>
        <v/>
      </c>
      <c r="N32" s="27">
        <f>IF(K32&gt;=F32,"Sim","NÃO")</f>
        <v/>
      </c>
      <c r="O32" s="26">
        <f>(F32-I32-Premissas!$B$5*(F32-I32)-(Premissas!$B$6+Premissas!$B$7)*F32-J32)/F32</f>
        <v/>
      </c>
      <c r="P32" s="24">
        <f>F32*(1-Premissas!$B$6-Premissas!$B$7-Premissas!$B$5-Premissas!$B$14)-I32*(1-Premissas!$B$5)-(J32-Premissas!$B$12)</f>
        <v/>
      </c>
      <c r="Q32" s="23" t="n">
        <v>26764.86</v>
      </c>
      <c r="R32" s="24">
        <f>K32-Q32</f>
        <v/>
      </c>
    </row>
    <row r="33">
      <c r="A33" s="20" t="inlineStr">
        <is>
          <t>Micro</t>
        </is>
      </c>
      <c r="B33" s="21" t="n">
        <v>16</v>
      </c>
      <c r="C33" s="22">
        <f>B33*Premissas!$B$25</f>
        <v/>
      </c>
      <c r="D33" s="20" t="inlineStr">
        <is>
          <t>Microinversor HOYMILES 2,25kW</t>
        </is>
      </c>
      <c r="E33" s="21" t="n">
        <v>4</v>
      </c>
      <c r="F33" s="23" t="n">
        <v>26129.19</v>
      </c>
      <c r="G33" s="24">
        <f>(B33*Premissas!$B$24+(2*ROUNDUP(B33/2,0))*Premissas!$B$26+INT((2*ROUNDUP(B33/2,0))/4)*Premissas!$B$27+MOD((2*ROUNDUP(B33/2,0)),4)/2*Premissas!$B$28+2*IF(B33&lt;=19,3*B33,IF(B33&lt;=50,ROUNDUP(2.5*B33,0),2*B33))*Premissas!$B$29+IF(A33="Micro",E33*(Premissas!$B$31+Premissas!$B$32+4*Premissas!$B$30),E33*(INDEX(Premissas!$B$40:$B$71,MATCH(D33,Premissas!$A$40:$A$71,0))+INDEX(Premissas!$C$40:$C$71,MATCH(D33,Premissas!$A$40:$A$71,0))*Premissas!$B$30)))</f>
        <v/>
      </c>
      <c r="H33" s="24">
        <f>IF(G33&lt;Premissas!$B$36,MAX(Premissas!$B$33,G33*Premissas!$B$34),G33*Premissas!$B$35)</f>
        <v/>
      </c>
      <c r="I33" s="24">
        <f>ROUND(G33+H33,2)</f>
        <v/>
      </c>
      <c r="J33" s="24">
        <f>B33*Premissas!$B$8+Premissas!$B$9+Premissas!$B$10+Premissas!$B$11+Premissas!$B$12+ROUND(Premissas!$B$13*C33,2)</f>
        <v/>
      </c>
      <c r="K33" s="25">
        <f>ROUNDUP((I33+J33-Premissas!$B$5*I33)/(1-Premissas!$B$6-Premissas!$B$7-Premissas!$B$5-Premissas!$B$14),2)</f>
        <v/>
      </c>
      <c r="L33" s="24">
        <f>K33-F33</f>
        <v/>
      </c>
      <c r="M33" s="26">
        <f>L33/K33</f>
        <v/>
      </c>
      <c r="N33" s="27">
        <f>IF(K33&gt;=F33,"Sim","NÃO")</f>
        <v/>
      </c>
      <c r="O33" s="26">
        <f>(F33-I33-Premissas!$B$5*(F33-I33)-(Premissas!$B$6+Premissas!$B$7)*F33-J33)/F33</f>
        <v/>
      </c>
      <c r="P33" s="24">
        <f>F33*(1-Premissas!$B$6-Premissas!$B$7-Premissas!$B$5-Premissas!$B$14)-I33*(1-Premissas!$B$5)-(J33-Premissas!$B$12)</f>
        <v/>
      </c>
      <c r="Q33" s="23" t="n">
        <v>27933.65</v>
      </c>
      <c r="R33" s="24">
        <f>K33-Q33</f>
        <v/>
      </c>
    </row>
    <row r="34">
      <c r="A34" s="20" t="inlineStr">
        <is>
          <t>Micro</t>
        </is>
      </c>
      <c r="B34" s="21" t="n">
        <v>17</v>
      </c>
      <c r="C34" s="22">
        <f>B34*Premissas!$B$25</f>
        <v/>
      </c>
      <c r="D34" s="20" t="inlineStr">
        <is>
          <t>Microinversor HOYMILES 2,25kW</t>
        </is>
      </c>
      <c r="E34" s="21" t="n">
        <v>5</v>
      </c>
      <c r="F34" s="23" t="n">
        <v>29127.99</v>
      </c>
      <c r="G34" s="24">
        <f>(B34*Premissas!$B$24+(2*ROUNDUP(B34/2,0))*Premissas!$B$26+INT((2*ROUNDUP(B34/2,0))/4)*Premissas!$B$27+MOD((2*ROUNDUP(B34/2,0)),4)/2*Premissas!$B$28+2*IF(B34&lt;=19,3*B34,IF(B34&lt;=50,ROUNDUP(2.5*B34,0),2*B34))*Premissas!$B$29+IF(A34="Micro",E34*(Premissas!$B$31+Premissas!$B$32+4*Premissas!$B$30),E34*(INDEX(Premissas!$B$40:$B$71,MATCH(D34,Premissas!$A$40:$A$71,0))+INDEX(Premissas!$C$40:$C$71,MATCH(D34,Premissas!$A$40:$A$71,0))*Premissas!$B$30)))</f>
        <v/>
      </c>
      <c r="H34" s="24">
        <f>IF(G34&lt;Premissas!$B$36,MAX(Premissas!$B$33,G34*Premissas!$B$34),G34*Premissas!$B$35)</f>
        <v/>
      </c>
      <c r="I34" s="24">
        <f>ROUND(G34+H34,2)</f>
        <v/>
      </c>
      <c r="J34" s="24">
        <f>B34*Premissas!$B$8+Premissas!$B$9+Premissas!$B$10+Premissas!$B$11+Premissas!$B$12+ROUND(Premissas!$B$13*C34,2)</f>
        <v/>
      </c>
      <c r="K34" s="25">
        <f>ROUNDUP((I34+J34-Premissas!$B$5*I34)/(1-Premissas!$B$6-Premissas!$B$7-Premissas!$B$5-Premissas!$B$14),2)</f>
        <v/>
      </c>
      <c r="L34" s="24">
        <f>K34-F34</f>
        <v/>
      </c>
      <c r="M34" s="26">
        <f>L34/K34</f>
        <v/>
      </c>
      <c r="N34" s="27">
        <f>IF(K34&gt;=F34,"Sim","NÃO")</f>
        <v/>
      </c>
      <c r="O34" s="26">
        <f>(F34-I34-Premissas!$B$5*(F34-I34)-(Premissas!$B$6+Premissas!$B$7)*F34-J34)/F34</f>
        <v/>
      </c>
      <c r="P34" s="24">
        <f>F34*(1-Premissas!$B$6-Premissas!$B$7-Premissas!$B$5-Premissas!$B$14)-I34*(1-Premissas!$B$5)-(J34-Premissas!$B$12)</f>
        <v/>
      </c>
      <c r="Q34" s="23" t="n">
        <v>30952.52</v>
      </c>
      <c r="R34" s="24">
        <f>K34-Q34</f>
        <v/>
      </c>
    </row>
    <row r="35">
      <c r="A35" s="20" t="inlineStr">
        <is>
          <t>Micro</t>
        </is>
      </c>
      <c r="B35" s="21" t="n">
        <v>18</v>
      </c>
      <c r="C35" s="22">
        <f>B35*Premissas!$B$25</f>
        <v/>
      </c>
      <c r="D35" s="20" t="inlineStr">
        <is>
          <t>Microinversor HOYMILES 2,25kW</t>
        </is>
      </c>
      <c r="E35" s="21" t="n">
        <v>5</v>
      </c>
      <c r="F35" s="23" t="n">
        <v>30198.99</v>
      </c>
      <c r="G35" s="24">
        <f>(B35*Premissas!$B$24+(2*ROUNDUP(B35/2,0))*Premissas!$B$26+INT((2*ROUNDUP(B35/2,0))/4)*Premissas!$B$27+MOD((2*ROUNDUP(B35/2,0)),4)/2*Premissas!$B$28+2*IF(B35&lt;=19,3*B35,IF(B35&lt;=50,ROUNDUP(2.5*B35,0),2*B35))*Premissas!$B$29+IF(A35="Micro",E35*(Premissas!$B$31+Premissas!$B$32+4*Premissas!$B$30),E35*(INDEX(Premissas!$B$40:$B$71,MATCH(D35,Premissas!$A$40:$A$71,0))+INDEX(Premissas!$C$40:$C$71,MATCH(D35,Premissas!$A$40:$A$71,0))*Premissas!$B$30)))</f>
        <v/>
      </c>
      <c r="H35" s="24">
        <f>IF(G35&lt;Premissas!$B$36,MAX(Premissas!$B$33,G35*Premissas!$B$34),G35*Premissas!$B$35)</f>
        <v/>
      </c>
      <c r="I35" s="24">
        <f>ROUND(G35+H35,2)</f>
        <v/>
      </c>
      <c r="J35" s="24">
        <f>B35*Premissas!$B$8+Premissas!$B$9+Premissas!$B$10+Premissas!$B$11+Premissas!$B$12+ROUND(Premissas!$B$13*C35,2)</f>
        <v/>
      </c>
      <c r="K35" s="25">
        <f>ROUNDUP((I35+J35-Premissas!$B$5*I35)/(1-Premissas!$B$6-Premissas!$B$7-Premissas!$B$5-Premissas!$B$14),2)</f>
        <v/>
      </c>
      <c r="L35" s="24">
        <f>K35-F35</f>
        <v/>
      </c>
      <c r="M35" s="26">
        <f>L35/K35</f>
        <v/>
      </c>
      <c r="N35" s="27">
        <f>IF(K35&gt;=F35,"Sim","NÃO")</f>
        <v/>
      </c>
      <c r="O35" s="26">
        <f>(F35-I35-Premissas!$B$5*(F35-I35)-(Premissas!$B$6+Premissas!$B$7)*F35-J35)/F35</f>
        <v/>
      </c>
      <c r="P35" s="24">
        <f>F35*(1-Premissas!$B$6-Premissas!$B$7-Premissas!$B$5-Premissas!$B$14)-I35*(1-Premissas!$B$5)-(J35-Premissas!$B$12)</f>
        <v/>
      </c>
      <c r="Q35" s="23" t="n">
        <v>32121.3</v>
      </c>
      <c r="R35" s="24">
        <f>K35-Q35</f>
        <v/>
      </c>
    </row>
    <row r="36">
      <c r="A36" s="20" t="inlineStr">
        <is>
          <t>Micro</t>
        </is>
      </c>
      <c r="B36" s="21" t="n">
        <v>19</v>
      </c>
      <c r="C36" s="22">
        <f>B36*Premissas!$B$25</f>
        <v/>
      </c>
      <c r="D36" s="20" t="inlineStr">
        <is>
          <t>Microinversor HOYMILES 2,25kW</t>
        </is>
      </c>
      <c r="E36" s="21" t="n">
        <v>5</v>
      </c>
      <c r="F36" s="23" t="n">
        <v>31484.19</v>
      </c>
      <c r="G36" s="24">
        <f>(B36*Premissas!$B$24+(2*ROUNDUP(B36/2,0))*Premissas!$B$26+INT((2*ROUNDUP(B36/2,0))/4)*Premissas!$B$27+MOD((2*ROUNDUP(B36/2,0)),4)/2*Premissas!$B$28+2*IF(B36&lt;=19,3*B36,IF(B36&lt;=50,ROUNDUP(2.5*B36,0),2*B36))*Premissas!$B$29+IF(A36="Micro",E36*(Premissas!$B$31+Premissas!$B$32+4*Premissas!$B$30),E36*(INDEX(Premissas!$B$40:$B$71,MATCH(D36,Premissas!$A$40:$A$71,0))+INDEX(Premissas!$C$40:$C$71,MATCH(D36,Premissas!$A$40:$A$71,0))*Premissas!$B$30)))</f>
        <v/>
      </c>
      <c r="H36" s="24">
        <f>IF(G36&lt;Premissas!$B$36,MAX(Premissas!$B$33,G36*Premissas!$B$34),G36*Premissas!$B$35)</f>
        <v/>
      </c>
      <c r="I36" s="24">
        <f>ROUND(G36+H36,2)</f>
        <v/>
      </c>
      <c r="J36" s="24">
        <f>B36*Premissas!$B$8+Premissas!$B$9+Premissas!$B$10+Premissas!$B$11+Premissas!$B$12+ROUND(Premissas!$B$13*C36,2)</f>
        <v/>
      </c>
      <c r="K36" s="25">
        <f>ROUNDUP((I36+J36-Premissas!$B$5*I36)/(1-Premissas!$B$6-Premissas!$B$7-Premissas!$B$5-Premissas!$B$14),2)</f>
        <v/>
      </c>
      <c r="L36" s="24">
        <f>K36-F36</f>
        <v/>
      </c>
      <c r="M36" s="26">
        <f>L36/K36</f>
        <v/>
      </c>
      <c r="N36" s="27">
        <f>IF(K36&gt;=F36,"Sim","NÃO")</f>
        <v/>
      </c>
      <c r="O36" s="26">
        <f>(F36-I36-Premissas!$B$5*(F36-I36)-(Premissas!$B$6+Premissas!$B$7)*F36-J36)/F36</f>
        <v/>
      </c>
      <c r="P36" s="24">
        <f>F36*(1-Premissas!$B$6-Premissas!$B$7-Premissas!$B$5-Premissas!$B$14)-I36*(1-Premissas!$B$5)-(J36-Premissas!$B$12)</f>
        <v/>
      </c>
      <c r="Q36" s="23" t="n">
        <v>33532.54</v>
      </c>
      <c r="R36" s="24">
        <f>K36-Q36</f>
        <v/>
      </c>
    </row>
    <row r="37">
      <c r="A37" s="20" t="inlineStr">
        <is>
          <t>Micro</t>
        </is>
      </c>
      <c r="B37" s="21" t="n">
        <v>20</v>
      </c>
      <c r="C37" s="22">
        <f>B37*Premissas!$B$25</f>
        <v/>
      </c>
      <c r="D37" s="20" t="inlineStr">
        <is>
          <t>Microinversor HOYMILES 2,25kW</t>
        </is>
      </c>
      <c r="E37" s="21" t="n">
        <v>5</v>
      </c>
      <c r="F37" s="23" t="n">
        <v>32555.19</v>
      </c>
      <c r="G37" s="24">
        <f>(B37*Premissas!$B$24+(2*ROUNDUP(B37/2,0))*Premissas!$B$26+INT((2*ROUNDUP(B37/2,0))/4)*Premissas!$B$27+MOD((2*ROUNDUP(B37/2,0)),4)/2*Premissas!$B$28+2*IF(B37&lt;=19,3*B37,IF(B37&lt;=50,ROUNDUP(2.5*B37,0),2*B37))*Premissas!$B$29+IF(A37="Micro",E37*(Premissas!$B$31+Premissas!$B$32+4*Premissas!$B$30),E37*(INDEX(Premissas!$B$40:$B$71,MATCH(D37,Premissas!$A$40:$A$71,0))+INDEX(Premissas!$C$40:$C$71,MATCH(D37,Premissas!$A$40:$A$71,0))*Premissas!$B$30)))</f>
        <v/>
      </c>
      <c r="H37" s="24">
        <f>IF(G37&lt;Premissas!$B$36,MAX(Premissas!$B$33,G37*Premissas!$B$34),G37*Premissas!$B$35)</f>
        <v/>
      </c>
      <c r="I37" s="24">
        <f>ROUND(G37+H37,2)</f>
        <v/>
      </c>
      <c r="J37" s="24">
        <f>B37*Premissas!$B$8+Premissas!$B$9+Premissas!$B$10+Premissas!$B$11+Premissas!$B$12+ROUND(Premissas!$B$13*C37,2)</f>
        <v/>
      </c>
      <c r="K37" s="25">
        <f>ROUNDUP((I37+J37-Premissas!$B$5*I37)/(1-Premissas!$B$6-Premissas!$B$7-Premissas!$B$5-Premissas!$B$14),2)</f>
        <v/>
      </c>
      <c r="L37" s="24">
        <f>K37-F37</f>
        <v/>
      </c>
      <c r="M37" s="26">
        <f>L37/K37</f>
        <v/>
      </c>
      <c r="N37" s="27">
        <f>IF(K37&gt;=F37,"Sim","NÃO")</f>
        <v/>
      </c>
      <c r="O37" s="26">
        <f>(F37-I37-Premissas!$B$5*(F37-I37)-(Premissas!$B$6+Premissas!$B$7)*F37-J37)/F37</f>
        <v/>
      </c>
      <c r="P37" s="24">
        <f>F37*(1-Premissas!$B$6-Premissas!$B$7-Premissas!$B$5-Premissas!$B$14)-I37*(1-Premissas!$B$5)-(J37-Premissas!$B$12)</f>
        <v/>
      </c>
      <c r="Q37" s="23" t="n">
        <v>34565.92</v>
      </c>
      <c r="R37" s="24">
        <f>K37-Q37</f>
        <v/>
      </c>
    </row>
    <row r="39">
      <c r="A39" s="16" t="inlineStr">
        <is>
          <t>Kits que cumprem a regra</t>
        </is>
      </c>
      <c r="F39" s="27">
        <f>COUNTIF(N5:N37,"Sim")&amp;" de "&amp;COUNT(B5:B37)</f>
        <v/>
      </c>
    </row>
    <row r="40">
      <c r="A40" s="16" t="inlineStr">
        <is>
          <t>Promocional mais barato, em média</t>
        </is>
      </c>
      <c r="F40" s="28">
        <f>AVERAGE(M5:M37)</f>
        <v/>
      </c>
    </row>
    <row r="41">
      <c r="A41" s="16" t="inlineStr">
        <is>
          <t>Menor folga (kit mais apertado)</t>
        </is>
      </c>
      <c r="F41" s="29">
        <f>MIN(L5:L37)</f>
        <v/>
      </c>
    </row>
    <row r="42">
      <c r="A42" s="16" t="inlineStr">
        <is>
          <t>Elétrica fixa mínima para os 33 cumprirem</t>
        </is>
      </c>
      <c r="F42" s="29">
        <f>ROUNDUP(MAX(P5:P37),0)</f>
        <v/>
      </c>
      <c r="G42" s="2" t="inlineStr">
        <is>
          <t>com o R$/kWp das Premissas. Se a fixa nas Premissas ficar abaixo disso, algum kit quebra a regra.</t>
        </is>
      </c>
    </row>
    <row r="43">
      <c r="A43" s="16" t="inlineStr">
        <is>
          <t>Diferença máxima Excel × plataforma</t>
        </is>
      </c>
      <c r="F43" s="29">
        <f>MAX(R5:R37)-MIN(R5:R37)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8" customWidth="1" min="4" max="4"/>
    <col width="7" customWidth="1" min="5" max="5"/>
    <col width="30" customWidth="1" min="6" max="6"/>
    <col width="8" customWidth="1" min="7" max="7"/>
    <col width="6" customWidth="1" min="8" max="8"/>
    <col width="13" customWidth="1" min="9" max="9"/>
    <col width="12" customWidth="1" min="10" max="10"/>
    <col width="10" customWidth="1" min="11" max="11"/>
    <col width="13" customWidth="1" min="12" max="12"/>
    <col width="12" customWidth="1" min="13" max="13"/>
    <col width="13" customWidth="1" min="14" max="14"/>
    <col width="13" customWidth="1" min="15" max="15"/>
    <col width="12" customWidth="1" min="16" max="16"/>
    <col width="10" customWidth="1" min="17" max="17"/>
    <col width="10" customWidth="1" min="18" max="18"/>
    <col width="13" customWidth="1" min="19" max="19"/>
  </cols>
  <sheetData>
    <row r="1">
      <c r="A1" s="1" t="inlineStr">
        <is>
          <t>Catálogo completo (Helte): preço de hoje (markup) × preço por custos</t>
        </is>
      </c>
    </row>
    <row r="2">
      <c r="A2" s="2" t="inlineStr">
        <is>
          <t>É o que muda para o vendedor da Matriz quando ela escolher "Custos + margem alvo". Promocionais ficam fora.</t>
        </is>
      </c>
    </row>
    <row r="4" ht="45" customHeight="1">
      <c r="A4" s="19" t="inlineStr">
        <is>
          <t>Kit</t>
        </is>
      </c>
      <c r="B4" s="19" t="inlineStr">
        <is>
          <t>Marca do inversor</t>
        </is>
      </c>
      <c r="C4" s="19" t="inlineStr">
        <is>
          <t>Tipo</t>
        </is>
      </c>
      <c r="D4" s="19" t="inlineStr">
        <is>
          <t>Módulos</t>
        </is>
      </c>
      <c r="E4" s="19" t="inlineStr">
        <is>
          <t>kWp</t>
        </is>
      </c>
      <c r="F4" s="19" t="inlineStr">
        <is>
          <t>Inversor</t>
        </is>
      </c>
      <c r="G4" s="19" t="inlineStr">
        <is>
          <t>Qtd inversores</t>
        </is>
      </c>
      <c r="H4" s="19" t="inlineStr">
        <is>
          <t>Ativo</t>
        </is>
      </c>
      <c r="I4" s="19" t="inlineStr">
        <is>
          <t>Preço hoje (markup, Matriz)</t>
        </is>
      </c>
      <c r="J4" s="19" t="inlineStr">
        <is>
          <t>Peças (R$)</t>
        </is>
      </c>
      <c r="K4" s="19" t="inlineStr">
        <is>
          <t>Frete (R$)</t>
        </is>
      </c>
      <c r="L4" s="19" t="inlineStr">
        <is>
          <t>Custo do kit c/ frete</t>
        </is>
      </c>
      <c r="M4" s="19" t="inlineStr">
        <is>
          <t>Custos fixos da obra</t>
        </is>
      </c>
      <c r="N4" s="19" t="inlineStr">
        <is>
          <t>Preço por custos</t>
        </is>
      </c>
      <c r="O4" s="19" t="inlineStr">
        <is>
          <t>"De" por custos</t>
        </is>
      </c>
      <c r="P4" s="19" t="inlineStr">
        <is>
          <t>Diferença (R$)</t>
        </is>
      </c>
      <c r="Q4" s="19" t="inlineStr">
        <is>
          <t>Diferença (%)</t>
        </is>
      </c>
      <c r="R4" s="19" t="inlineStr">
        <is>
          <t>Margem no preço de hoje</t>
        </is>
      </c>
      <c r="S4" s="19" t="inlineStr">
        <is>
          <t>Preço markup pela regra (custo atual)</t>
        </is>
      </c>
    </row>
    <row r="5">
      <c r="A5" s="17" t="inlineStr">
        <is>
          <t>KIT 6 MOD. 620W + INV. CHINT 5KW</t>
        </is>
      </c>
      <c r="B5" s="17" t="inlineStr">
        <is>
          <t>CHINT</t>
        </is>
      </c>
      <c r="C5" s="17" t="inlineStr">
        <is>
          <t>Inversor</t>
        </is>
      </c>
      <c r="D5" s="21" t="n">
        <v>6</v>
      </c>
      <c r="E5" s="30" t="n">
        <v>3.72</v>
      </c>
      <c r="F5" s="20" t="inlineStr">
        <is>
          <t>CHINT CPS SCA5KTL-PSM1/EU</t>
        </is>
      </c>
      <c r="G5" s="21" t="n">
        <v>1</v>
      </c>
      <c r="H5" s="17" t="inlineStr">
        <is>
          <t>Sim</t>
        </is>
      </c>
      <c r="I5" s="23" t="n">
        <v>10706.85</v>
      </c>
      <c r="J5" s="24">
        <f>(D5*Premissas!$B$24+(2*ROUNDUP(D5/2,0))*Premissas!$B$26+INT((2*ROUNDUP(D5/2,0))/4)*Premissas!$B$27+MOD((2*ROUNDUP(D5/2,0)),4)/2*Premissas!$B$28+2*IF(D5&lt;=19,3*D5,IF(D5&lt;=50,ROUNDUP(2.5*D5,0),2*D5))*Premissas!$B$29+IF(C5="Micro",G5*(Premissas!$B$31+Premissas!$B$32+4*Premissas!$B$30),G5*(INDEX(Premissas!$B$40:$B$71,MATCH(F5,Premissas!$A$40:$A$71,0))+INDEX(Premissas!$C$40:$C$71,MATCH(F5,Premissas!$A$40:$A$71,0))*Premissas!$B$30)))</f>
        <v/>
      </c>
      <c r="K5" s="24">
        <f>IF(J5&lt;Premissas!$B$36,MAX(Premissas!$B$33,J5*Premissas!$B$34),J5*Premissas!$B$35)</f>
        <v/>
      </c>
      <c r="L5" s="24">
        <f>ROUND(J5+K5,2)</f>
        <v/>
      </c>
      <c r="M5" s="24">
        <f>D5*Premissas!$B$8+Premissas!$B$9+Premissas!$B$10+Premissas!$B$11+Premissas!$B$12+ROUND(Premissas!$B$13*E5,2)</f>
        <v/>
      </c>
      <c r="N5" s="25">
        <f>ROUNDUP((L5+M5-Premissas!$B$5*L5)/(1-Premissas!$B$6-Premissas!$B$7-Premissas!$B$5-Premissas!$B$14),2)</f>
        <v/>
      </c>
      <c r="O5" s="24">
        <f>ROUND(IF(N5&lt;=30000,N5*(1+Premissas!$B$21),N5+Premissas!$B$21*30000*SQRT(N5/30000)),2)</f>
        <v/>
      </c>
      <c r="P5" s="24">
        <f>N5-I5</f>
        <v/>
      </c>
      <c r="Q5" s="26">
        <f>P5/I5</f>
        <v/>
      </c>
      <c r="R5" s="26">
        <f>(I5-L5-Premissas!$B$5*(I5-L5)-(Premissas!$B$6+Premissas!$B$7)*I5-M5)/I5</f>
        <v/>
      </c>
      <c r="S5" s="24">
        <f>ROUND((CEILING((L5*Premissas!$B$17/Premissas!$B$18-97)/100,1)*100+97)*Premissas!$B$18,2)</f>
        <v/>
      </c>
    </row>
    <row r="6">
      <c r="A6" s="17" t="inlineStr">
        <is>
          <t>KIT 7 MOD. 620W + INV. CHINT 5KW</t>
        </is>
      </c>
      <c r="B6" s="17" t="inlineStr">
        <is>
          <t>CHINT</t>
        </is>
      </c>
      <c r="C6" s="17" t="inlineStr">
        <is>
          <t>Inversor</t>
        </is>
      </c>
      <c r="D6" s="21" t="n">
        <v>7</v>
      </c>
      <c r="E6" s="30" t="n">
        <v>4.34</v>
      </c>
      <c r="F6" s="20" t="inlineStr">
        <is>
          <t>CHINT CPS SCA5KTL-PSM1/EU</t>
        </is>
      </c>
      <c r="G6" s="21" t="n">
        <v>1</v>
      </c>
      <c r="H6" s="17" t="inlineStr">
        <is>
          <t>Sim</t>
        </is>
      </c>
      <c r="I6" s="23" t="n">
        <v>11966.85</v>
      </c>
      <c r="J6" s="24">
        <f>(D6*Premissas!$B$24+(2*ROUNDUP(D6/2,0))*Premissas!$B$26+INT((2*ROUNDUP(D6/2,0))/4)*Premissas!$B$27+MOD((2*ROUNDUP(D6/2,0)),4)/2*Premissas!$B$28+2*IF(D6&lt;=19,3*D6,IF(D6&lt;=50,ROUNDUP(2.5*D6,0),2*D6))*Premissas!$B$29+IF(C6="Micro",G6*(Premissas!$B$31+Premissas!$B$32+4*Premissas!$B$30),G6*(INDEX(Premissas!$B$40:$B$71,MATCH(F6,Premissas!$A$40:$A$71,0))+INDEX(Premissas!$C$40:$C$71,MATCH(F6,Premissas!$A$40:$A$71,0))*Premissas!$B$30)))</f>
        <v/>
      </c>
      <c r="K6" s="24">
        <f>IF(J6&lt;Premissas!$B$36,MAX(Premissas!$B$33,J6*Premissas!$B$34),J6*Premissas!$B$35)</f>
        <v/>
      </c>
      <c r="L6" s="24">
        <f>ROUND(J6+K6,2)</f>
        <v/>
      </c>
      <c r="M6" s="24">
        <f>D6*Premissas!$B$8+Premissas!$B$9+Premissas!$B$10+Premissas!$B$11+Premissas!$B$12+ROUND(Premissas!$B$13*E6,2)</f>
        <v/>
      </c>
      <c r="N6" s="25">
        <f>ROUNDUP((L6+M6-Premissas!$B$5*L6)/(1-Premissas!$B$6-Premissas!$B$7-Premissas!$B$5-Premissas!$B$14),2)</f>
        <v/>
      </c>
      <c r="O6" s="24">
        <f>ROUND(IF(N6&lt;=30000,N6*(1+Premissas!$B$21),N6+Premissas!$B$21*30000*SQRT(N6/30000)),2)</f>
        <v/>
      </c>
      <c r="P6" s="24">
        <f>N6-I6</f>
        <v/>
      </c>
      <c r="Q6" s="26">
        <f>P6/I6</f>
        <v/>
      </c>
      <c r="R6" s="26">
        <f>(I6-L6-Premissas!$B$5*(I6-L6)-(Premissas!$B$6+Premissas!$B$7)*I6-M6)/I6</f>
        <v/>
      </c>
      <c r="S6" s="24">
        <f>ROUND((CEILING((L6*Premissas!$B$17/Premissas!$B$18-97)/100,1)*100+97)*Premissas!$B$18,2)</f>
        <v/>
      </c>
    </row>
    <row r="7">
      <c r="A7" s="17" t="inlineStr">
        <is>
          <t>KIT 8 MOD. 620W + INV. CHINT 5KW</t>
        </is>
      </c>
      <c r="B7" s="17" t="inlineStr">
        <is>
          <t>CHINT</t>
        </is>
      </c>
      <c r="C7" s="17" t="inlineStr">
        <is>
          <t>Inversor</t>
        </is>
      </c>
      <c r="D7" s="21" t="n">
        <v>8</v>
      </c>
      <c r="E7" s="30" t="n">
        <v>4.96</v>
      </c>
      <c r="F7" s="20" t="inlineStr">
        <is>
          <t>CHINT CPS SCA5KTL-PSM1/EU</t>
        </is>
      </c>
      <c r="G7" s="21" t="n">
        <v>1</v>
      </c>
      <c r="H7" s="17" t="inlineStr">
        <is>
          <t>Sim</t>
        </is>
      </c>
      <c r="I7" s="23" t="n">
        <v>13016.85</v>
      </c>
      <c r="J7" s="24">
        <f>(D7*Premissas!$B$24+(2*ROUNDUP(D7/2,0))*Premissas!$B$26+INT((2*ROUNDUP(D7/2,0))/4)*Premissas!$B$27+MOD((2*ROUNDUP(D7/2,0)),4)/2*Premissas!$B$28+2*IF(D7&lt;=19,3*D7,IF(D7&lt;=50,ROUNDUP(2.5*D7,0),2*D7))*Premissas!$B$29+IF(C7="Micro",G7*(Premissas!$B$31+Premissas!$B$32+4*Premissas!$B$30),G7*(INDEX(Premissas!$B$40:$B$71,MATCH(F7,Premissas!$A$40:$A$71,0))+INDEX(Premissas!$C$40:$C$71,MATCH(F7,Premissas!$A$40:$A$71,0))*Premissas!$B$30)))</f>
        <v/>
      </c>
      <c r="K7" s="24">
        <f>IF(J7&lt;Premissas!$B$36,MAX(Premissas!$B$33,J7*Premissas!$B$34),J7*Premissas!$B$35)</f>
        <v/>
      </c>
      <c r="L7" s="24">
        <f>ROUND(J7+K7,2)</f>
        <v/>
      </c>
      <c r="M7" s="24">
        <f>D7*Premissas!$B$8+Premissas!$B$9+Premissas!$B$10+Premissas!$B$11+Premissas!$B$12+ROUND(Premissas!$B$13*E7,2)</f>
        <v/>
      </c>
      <c r="N7" s="25">
        <f>ROUNDUP((L7+M7-Premissas!$B$5*L7)/(1-Premissas!$B$6-Premissas!$B$7-Premissas!$B$5-Premissas!$B$14),2)</f>
        <v/>
      </c>
      <c r="O7" s="24">
        <f>ROUND(IF(N7&lt;=30000,N7*(1+Premissas!$B$21),N7+Premissas!$B$21*30000*SQRT(N7/30000)),2)</f>
        <v/>
      </c>
      <c r="P7" s="24">
        <f>N7-I7</f>
        <v/>
      </c>
      <c r="Q7" s="26">
        <f>P7/I7</f>
        <v/>
      </c>
      <c r="R7" s="26">
        <f>(I7-L7-Premissas!$B$5*(I7-L7)-(Premissas!$B$6+Premissas!$B$7)*I7-M7)/I7</f>
        <v/>
      </c>
      <c r="S7" s="24">
        <f>ROUND((CEILING((L7*Premissas!$B$17/Premissas!$B$18-97)/100,1)*100+97)*Premissas!$B$18,2)</f>
        <v/>
      </c>
    </row>
    <row r="8">
      <c r="A8" s="17" t="inlineStr">
        <is>
          <t>KIT 9 MOD. 620W + INV. CHINT 5KW</t>
        </is>
      </c>
      <c r="B8" s="17" t="inlineStr">
        <is>
          <t>CHINT</t>
        </is>
      </c>
      <c r="C8" s="17" t="inlineStr">
        <is>
          <t>Inversor</t>
        </is>
      </c>
      <c r="D8" s="21" t="n">
        <v>9</v>
      </c>
      <c r="E8" s="30" t="n">
        <v>5.58</v>
      </c>
      <c r="F8" s="20" t="inlineStr">
        <is>
          <t>CHINT CPS SCA5KTL-PSM1/EU</t>
        </is>
      </c>
      <c r="G8" s="21" t="n">
        <v>1</v>
      </c>
      <c r="H8" s="17" t="inlineStr">
        <is>
          <t>Sim</t>
        </is>
      </c>
      <c r="I8" s="23" t="n">
        <v>14276.85</v>
      </c>
      <c r="J8" s="24">
        <f>(D8*Premissas!$B$24+(2*ROUNDUP(D8/2,0))*Premissas!$B$26+INT((2*ROUNDUP(D8/2,0))/4)*Premissas!$B$27+MOD((2*ROUNDUP(D8/2,0)),4)/2*Premissas!$B$28+2*IF(D8&lt;=19,3*D8,IF(D8&lt;=50,ROUNDUP(2.5*D8,0),2*D8))*Premissas!$B$29+IF(C8="Micro",G8*(Premissas!$B$31+Premissas!$B$32+4*Premissas!$B$30),G8*(INDEX(Premissas!$B$40:$B$71,MATCH(F8,Premissas!$A$40:$A$71,0))+INDEX(Premissas!$C$40:$C$71,MATCH(F8,Premissas!$A$40:$A$71,0))*Premissas!$B$30)))</f>
        <v/>
      </c>
      <c r="K8" s="24">
        <f>IF(J8&lt;Premissas!$B$36,MAX(Premissas!$B$33,J8*Premissas!$B$34),J8*Premissas!$B$35)</f>
        <v/>
      </c>
      <c r="L8" s="24">
        <f>ROUND(J8+K8,2)</f>
        <v/>
      </c>
      <c r="M8" s="24">
        <f>D8*Premissas!$B$8+Premissas!$B$9+Premissas!$B$10+Premissas!$B$11+Premissas!$B$12+ROUND(Premissas!$B$13*E8,2)</f>
        <v/>
      </c>
      <c r="N8" s="25">
        <f>ROUNDUP((L8+M8-Premissas!$B$5*L8)/(1-Premissas!$B$6-Premissas!$B$7-Premissas!$B$5-Premissas!$B$14),2)</f>
        <v/>
      </c>
      <c r="O8" s="24">
        <f>ROUND(IF(N8&lt;=30000,N8*(1+Premissas!$B$21),N8+Premissas!$B$21*30000*SQRT(N8/30000)),2)</f>
        <v/>
      </c>
      <c r="P8" s="24">
        <f>N8-I8</f>
        <v/>
      </c>
      <c r="Q8" s="26">
        <f>P8/I8</f>
        <v/>
      </c>
      <c r="R8" s="26">
        <f>(I8-L8-Premissas!$B$5*(I8-L8)-(Premissas!$B$6+Premissas!$B$7)*I8-M8)/I8</f>
        <v/>
      </c>
      <c r="S8" s="24">
        <f>ROUND((CEILING((L8*Premissas!$B$17/Premissas!$B$18-97)/100,1)*100+97)*Premissas!$B$18,2)</f>
        <v/>
      </c>
    </row>
    <row r="9">
      <c r="A9" s="17" t="inlineStr">
        <is>
          <t>KIT 10 MOD. 620W + INV. CHINT 5KW</t>
        </is>
      </c>
      <c r="B9" s="17" t="inlineStr">
        <is>
          <t>CHINT</t>
        </is>
      </c>
      <c r="C9" s="17" t="inlineStr">
        <is>
          <t>Inversor</t>
        </is>
      </c>
      <c r="D9" s="21" t="n">
        <v>10</v>
      </c>
      <c r="E9" s="30" t="n">
        <v>6.2</v>
      </c>
      <c r="F9" s="20" t="inlineStr">
        <is>
          <t>CHINT CPS SCA5KTL-PSM1/EU</t>
        </is>
      </c>
      <c r="G9" s="21" t="n">
        <v>1</v>
      </c>
      <c r="H9" s="17" t="inlineStr">
        <is>
          <t>Sim</t>
        </is>
      </c>
      <c r="I9" s="23" t="n">
        <v>15326.85</v>
      </c>
      <c r="J9" s="24">
        <f>(D9*Premissas!$B$24+(2*ROUNDUP(D9/2,0))*Premissas!$B$26+INT((2*ROUNDUP(D9/2,0))/4)*Premissas!$B$27+MOD((2*ROUNDUP(D9/2,0)),4)/2*Premissas!$B$28+2*IF(D9&lt;=19,3*D9,IF(D9&lt;=50,ROUNDUP(2.5*D9,0),2*D9))*Premissas!$B$29+IF(C9="Micro",G9*(Premissas!$B$31+Premissas!$B$32+4*Premissas!$B$30),G9*(INDEX(Premissas!$B$40:$B$71,MATCH(F9,Premissas!$A$40:$A$71,0))+INDEX(Premissas!$C$40:$C$71,MATCH(F9,Premissas!$A$40:$A$71,0))*Premissas!$B$30)))</f>
        <v/>
      </c>
      <c r="K9" s="24">
        <f>IF(J9&lt;Premissas!$B$36,MAX(Premissas!$B$33,J9*Premissas!$B$34),J9*Premissas!$B$35)</f>
        <v/>
      </c>
      <c r="L9" s="24">
        <f>ROUND(J9+K9,2)</f>
        <v/>
      </c>
      <c r="M9" s="24">
        <f>D9*Premissas!$B$8+Premissas!$B$9+Premissas!$B$10+Premissas!$B$11+Premissas!$B$12+ROUND(Premissas!$B$13*E9,2)</f>
        <v/>
      </c>
      <c r="N9" s="25">
        <f>ROUNDUP((L9+M9-Premissas!$B$5*L9)/(1-Premissas!$B$6-Premissas!$B$7-Premissas!$B$5-Premissas!$B$14),2)</f>
        <v/>
      </c>
      <c r="O9" s="24">
        <f>ROUND(IF(N9&lt;=30000,N9*(1+Premissas!$B$21),N9+Premissas!$B$21*30000*SQRT(N9/30000)),2)</f>
        <v/>
      </c>
      <c r="P9" s="24">
        <f>N9-I9</f>
        <v/>
      </c>
      <c r="Q9" s="26">
        <f>P9/I9</f>
        <v/>
      </c>
      <c r="R9" s="26">
        <f>(I9-L9-Premissas!$B$5*(I9-L9)-(Premissas!$B$6+Premissas!$B$7)*I9-M9)/I9</f>
        <v/>
      </c>
      <c r="S9" s="24">
        <f>ROUND((CEILING((L9*Premissas!$B$17/Premissas!$B$18-97)/100,1)*100+97)*Premissas!$B$18,2)</f>
        <v/>
      </c>
    </row>
    <row r="10">
      <c r="A10" s="17" t="inlineStr">
        <is>
          <t>KIT 11 MOD. 620W + INV. CHINT 5KW</t>
        </is>
      </c>
      <c r="B10" s="17" t="inlineStr">
        <is>
          <t>CHINT</t>
        </is>
      </c>
      <c r="C10" s="17" t="inlineStr">
        <is>
          <t>Inversor</t>
        </is>
      </c>
      <c r="D10" s="21" t="n">
        <v>11</v>
      </c>
      <c r="E10" s="30" t="n">
        <v>6.82</v>
      </c>
      <c r="F10" s="20" t="inlineStr">
        <is>
          <t>CHINT CPS SCA5KTL-PSM1/EU</t>
        </is>
      </c>
      <c r="G10" s="21" t="n">
        <v>1</v>
      </c>
      <c r="H10" s="17" t="inlineStr">
        <is>
          <t>Sim</t>
        </is>
      </c>
      <c r="I10" s="23" t="n">
        <v>16586.85</v>
      </c>
      <c r="J10" s="24">
        <f>(D10*Premissas!$B$24+(2*ROUNDUP(D10/2,0))*Premissas!$B$26+INT((2*ROUNDUP(D10/2,0))/4)*Premissas!$B$27+MOD((2*ROUNDUP(D10/2,0)),4)/2*Premissas!$B$28+2*IF(D10&lt;=19,3*D10,IF(D10&lt;=50,ROUNDUP(2.5*D10,0),2*D10))*Premissas!$B$29+IF(C10="Micro",G10*(Premissas!$B$31+Premissas!$B$32+4*Premissas!$B$30),G10*(INDEX(Premissas!$B$40:$B$71,MATCH(F10,Premissas!$A$40:$A$71,0))+INDEX(Premissas!$C$40:$C$71,MATCH(F10,Premissas!$A$40:$A$71,0))*Premissas!$B$30)))</f>
        <v/>
      </c>
      <c r="K10" s="24">
        <f>IF(J10&lt;Premissas!$B$36,MAX(Premissas!$B$33,J10*Premissas!$B$34),J10*Premissas!$B$35)</f>
        <v/>
      </c>
      <c r="L10" s="24">
        <f>ROUND(J10+K10,2)</f>
        <v/>
      </c>
      <c r="M10" s="24">
        <f>D10*Premissas!$B$8+Premissas!$B$9+Premissas!$B$10+Premissas!$B$11+Premissas!$B$12+ROUND(Premissas!$B$13*E10,2)</f>
        <v/>
      </c>
      <c r="N10" s="25">
        <f>ROUNDUP((L10+M10-Premissas!$B$5*L10)/(1-Premissas!$B$6-Premissas!$B$7-Premissas!$B$5-Premissas!$B$14),2)</f>
        <v/>
      </c>
      <c r="O10" s="24">
        <f>ROUND(IF(N10&lt;=30000,N10*(1+Premissas!$B$21),N10+Premissas!$B$21*30000*SQRT(N10/30000)),2)</f>
        <v/>
      </c>
      <c r="P10" s="24">
        <f>N10-I10</f>
        <v/>
      </c>
      <c r="Q10" s="26">
        <f>P10/I10</f>
        <v/>
      </c>
      <c r="R10" s="26">
        <f>(I10-L10-Premissas!$B$5*(I10-L10)-(Premissas!$B$6+Premissas!$B$7)*I10-M10)/I10</f>
        <v/>
      </c>
      <c r="S10" s="24">
        <f>ROUND((CEILING((L10*Premissas!$B$17/Premissas!$B$18-97)/100,1)*100+97)*Premissas!$B$18,2)</f>
        <v/>
      </c>
    </row>
    <row r="11">
      <c r="A11" s="17" t="inlineStr">
        <is>
          <t>KIT 12 MOD. 620W + INV. CHINT 5KW</t>
        </is>
      </c>
      <c r="B11" s="17" t="inlineStr">
        <is>
          <t>CHINT</t>
        </is>
      </c>
      <c r="C11" s="17" t="inlineStr">
        <is>
          <t>Inversor</t>
        </is>
      </c>
      <c r="D11" s="21" t="n">
        <v>12</v>
      </c>
      <c r="E11" s="30" t="n">
        <v>7.44</v>
      </c>
      <c r="F11" s="20" t="inlineStr">
        <is>
          <t>CHINT CPS SCA5KTL-PSM1/EU</t>
        </is>
      </c>
      <c r="G11" s="21" t="n">
        <v>1</v>
      </c>
      <c r="H11" s="17" t="inlineStr">
        <is>
          <t>Sim</t>
        </is>
      </c>
      <c r="I11" s="23" t="n">
        <v>17636.85</v>
      </c>
      <c r="J11" s="24">
        <f>(D11*Premissas!$B$24+(2*ROUNDUP(D11/2,0))*Premissas!$B$26+INT((2*ROUNDUP(D11/2,0))/4)*Premissas!$B$27+MOD((2*ROUNDUP(D11/2,0)),4)/2*Premissas!$B$28+2*IF(D11&lt;=19,3*D11,IF(D11&lt;=50,ROUNDUP(2.5*D11,0),2*D11))*Premissas!$B$29+IF(C11="Micro",G11*(Premissas!$B$31+Premissas!$B$32+4*Premissas!$B$30),G11*(INDEX(Premissas!$B$40:$B$71,MATCH(F11,Premissas!$A$40:$A$71,0))+INDEX(Premissas!$C$40:$C$71,MATCH(F11,Premissas!$A$40:$A$71,0))*Premissas!$B$30)))</f>
        <v/>
      </c>
      <c r="K11" s="24">
        <f>IF(J11&lt;Premissas!$B$36,MAX(Premissas!$B$33,J11*Premissas!$B$34),J11*Premissas!$B$35)</f>
        <v/>
      </c>
      <c r="L11" s="24">
        <f>ROUND(J11+K11,2)</f>
        <v/>
      </c>
      <c r="M11" s="24">
        <f>D11*Premissas!$B$8+Premissas!$B$9+Premissas!$B$10+Premissas!$B$11+Premissas!$B$12+ROUND(Premissas!$B$13*E11,2)</f>
        <v/>
      </c>
      <c r="N11" s="25">
        <f>ROUNDUP((L11+M11-Premissas!$B$5*L11)/(1-Premissas!$B$6-Premissas!$B$7-Premissas!$B$5-Premissas!$B$14),2)</f>
        <v/>
      </c>
      <c r="O11" s="24">
        <f>ROUND(IF(N11&lt;=30000,N11*(1+Premissas!$B$21),N11+Premissas!$B$21*30000*SQRT(N11/30000)),2)</f>
        <v/>
      </c>
      <c r="P11" s="24">
        <f>N11-I11</f>
        <v/>
      </c>
      <c r="Q11" s="26">
        <f>P11/I11</f>
        <v/>
      </c>
      <c r="R11" s="26">
        <f>(I11-L11-Premissas!$B$5*(I11-L11)-(Premissas!$B$6+Premissas!$B$7)*I11-M11)/I11</f>
        <v/>
      </c>
      <c r="S11" s="24">
        <f>ROUND((CEILING((L11*Premissas!$B$17/Premissas!$B$18-97)/100,1)*100+97)*Premissas!$B$18,2)</f>
        <v/>
      </c>
    </row>
    <row r="12">
      <c r="A12" s="17" t="inlineStr">
        <is>
          <t>KIT 13 MOD. 620W + INV. CHINT 5KW</t>
        </is>
      </c>
      <c r="B12" s="17" t="inlineStr">
        <is>
          <t>CHINT</t>
        </is>
      </c>
      <c r="C12" s="17" t="inlineStr">
        <is>
          <t>Inversor</t>
        </is>
      </c>
      <c r="D12" s="21" t="n">
        <v>13</v>
      </c>
      <c r="E12" s="30" t="n">
        <v>8.06</v>
      </c>
      <c r="F12" s="20" t="inlineStr">
        <is>
          <t>CHINT CPS SCA5KTL-PSM1/EU</t>
        </is>
      </c>
      <c r="G12" s="21" t="n">
        <v>1</v>
      </c>
      <c r="H12" s="17" t="inlineStr">
        <is>
          <t>Sim</t>
        </is>
      </c>
      <c r="I12" s="23" t="n">
        <v>18896.85</v>
      </c>
      <c r="J12" s="24">
        <f>(D12*Premissas!$B$24+(2*ROUNDUP(D12/2,0))*Premissas!$B$26+INT((2*ROUNDUP(D12/2,0))/4)*Premissas!$B$27+MOD((2*ROUNDUP(D12/2,0)),4)/2*Premissas!$B$28+2*IF(D12&lt;=19,3*D12,IF(D12&lt;=50,ROUNDUP(2.5*D12,0),2*D12))*Premissas!$B$29+IF(C12="Micro",G12*(Premissas!$B$31+Premissas!$B$32+4*Premissas!$B$30),G12*(INDEX(Premissas!$B$40:$B$71,MATCH(F12,Premissas!$A$40:$A$71,0))+INDEX(Premissas!$C$40:$C$71,MATCH(F12,Premissas!$A$40:$A$71,0))*Premissas!$B$30)))</f>
        <v/>
      </c>
      <c r="K12" s="24">
        <f>IF(J12&lt;Premissas!$B$36,MAX(Premissas!$B$33,J12*Premissas!$B$34),J12*Premissas!$B$35)</f>
        <v/>
      </c>
      <c r="L12" s="24">
        <f>ROUND(J12+K12,2)</f>
        <v/>
      </c>
      <c r="M12" s="24">
        <f>D12*Premissas!$B$8+Premissas!$B$9+Premissas!$B$10+Premissas!$B$11+Premissas!$B$12+ROUND(Premissas!$B$13*E12,2)</f>
        <v/>
      </c>
      <c r="N12" s="25">
        <f>ROUNDUP((L12+M12-Premissas!$B$5*L12)/(1-Premissas!$B$6-Premissas!$B$7-Premissas!$B$5-Premissas!$B$14),2)</f>
        <v/>
      </c>
      <c r="O12" s="24">
        <f>ROUND(IF(N12&lt;=30000,N12*(1+Premissas!$B$21),N12+Premissas!$B$21*30000*SQRT(N12/30000)),2)</f>
        <v/>
      </c>
      <c r="P12" s="24">
        <f>N12-I12</f>
        <v/>
      </c>
      <c r="Q12" s="26">
        <f>P12/I12</f>
        <v/>
      </c>
      <c r="R12" s="26">
        <f>(I12-L12-Premissas!$B$5*(I12-L12)-(Premissas!$B$6+Premissas!$B$7)*I12-M12)/I12</f>
        <v/>
      </c>
      <c r="S12" s="24">
        <f>ROUND((CEILING((L12*Premissas!$B$17/Premissas!$B$18-97)/100,1)*100+97)*Premissas!$B$18,2)</f>
        <v/>
      </c>
    </row>
    <row r="13">
      <c r="A13" s="17" t="inlineStr">
        <is>
          <t>KIT 14 MOD. 620W + INV. CHINT 6KW</t>
        </is>
      </c>
      <c r="B13" s="17" t="inlineStr">
        <is>
          <t>CHINT</t>
        </is>
      </c>
      <c r="C13" s="17" t="inlineStr">
        <is>
          <t>Inversor</t>
        </is>
      </c>
      <c r="D13" s="21" t="n">
        <v>14</v>
      </c>
      <c r="E13" s="30" t="n">
        <v>8.68</v>
      </c>
      <c r="F13" s="20" t="inlineStr">
        <is>
          <t>CHINT CPS SCA6KTL-PSM3/EU</t>
        </is>
      </c>
      <c r="G13" s="21" t="n">
        <v>1</v>
      </c>
      <c r="H13" s="17" t="inlineStr">
        <is>
          <t>Sim</t>
        </is>
      </c>
      <c r="I13" s="23" t="n">
        <v>20156.85</v>
      </c>
      <c r="J13" s="24">
        <f>(D13*Premissas!$B$24+(2*ROUNDUP(D13/2,0))*Premissas!$B$26+INT((2*ROUNDUP(D13/2,0))/4)*Premissas!$B$27+MOD((2*ROUNDUP(D13/2,0)),4)/2*Premissas!$B$28+2*IF(D13&lt;=19,3*D13,IF(D13&lt;=50,ROUNDUP(2.5*D13,0),2*D13))*Premissas!$B$29+IF(C13="Micro",G13*(Premissas!$B$31+Premissas!$B$32+4*Premissas!$B$30),G13*(INDEX(Premissas!$B$40:$B$71,MATCH(F13,Premissas!$A$40:$A$71,0))+INDEX(Premissas!$C$40:$C$71,MATCH(F13,Premissas!$A$40:$A$71,0))*Premissas!$B$30)))</f>
        <v/>
      </c>
      <c r="K13" s="24">
        <f>IF(J13&lt;Premissas!$B$36,MAX(Premissas!$B$33,J13*Premissas!$B$34),J13*Premissas!$B$35)</f>
        <v/>
      </c>
      <c r="L13" s="24">
        <f>ROUND(J13+K13,2)</f>
        <v/>
      </c>
      <c r="M13" s="24">
        <f>D13*Premissas!$B$8+Premissas!$B$9+Premissas!$B$10+Premissas!$B$11+Premissas!$B$12+ROUND(Premissas!$B$13*E13,2)</f>
        <v/>
      </c>
      <c r="N13" s="25">
        <f>ROUNDUP((L13+M13-Premissas!$B$5*L13)/(1-Premissas!$B$6-Premissas!$B$7-Premissas!$B$5-Premissas!$B$14),2)</f>
        <v/>
      </c>
      <c r="O13" s="24">
        <f>ROUND(IF(N13&lt;=30000,N13*(1+Premissas!$B$21),N13+Premissas!$B$21*30000*SQRT(N13/30000)),2)</f>
        <v/>
      </c>
      <c r="P13" s="24">
        <f>N13-I13</f>
        <v/>
      </c>
      <c r="Q13" s="26">
        <f>P13/I13</f>
        <v/>
      </c>
      <c r="R13" s="26">
        <f>(I13-L13-Premissas!$B$5*(I13-L13)-(Premissas!$B$6+Premissas!$B$7)*I13-M13)/I13</f>
        <v/>
      </c>
      <c r="S13" s="24">
        <f>ROUND((CEILING((L13*Premissas!$B$17/Premissas!$B$18-97)/100,1)*100+97)*Premissas!$B$18,2)</f>
        <v/>
      </c>
    </row>
    <row r="14">
      <c r="A14" s="17" t="inlineStr">
        <is>
          <t>KIT 15 MOD. 620W + INV. CHINT 6KW</t>
        </is>
      </c>
      <c r="B14" s="17" t="inlineStr">
        <is>
          <t>CHINT</t>
        </is>
      </c>
      <c r="C14" s="17" t="inlineStr">
        <is>
          <t>Inversor</t>
        </is>
      </c>
      <c r="D14" s="21" t="n">
        <v>15</v>
      </c>
      <c r="E14" s="30" t="n">
        <v>9.300000000000001</v>
      </c>
      <c r="F14" s="20" t="inlineStr">
        <is>
          <t>CHINT CPS SCA6KTL-PSM3/EU</t>
        </is>
      </c>
      <c r="G14" s="21" t="n">
        <v>1</v>
      </c>
      <c r="H14" s="17" t="inlineStr">
        <is>
          <t>Sim</t>
        </is>
      </c>
      <c r="I14" s="23" t="n">
        <v>21521.85</v>
      </c>
      <c r="J14" s="24">
        <f>(D14*Premissas!$B$24+(2*ROUNDUP(D14/2,0))*Premissas!$B$26+INT((2*ROUNDUP(D14/2,0))/4)*Premissas!$B$27+MOD((2*ROUNDUP(D14/2,0)),4)/2*Premissas!$B$28+2*IF(D14&lt;=19,3*D14,IF(D14&lt;=50,ROUNDUP(2.5*D14,0),2*D14))*Premissas!$B$29+IF(C14="Micro",G14*(Premissas!$B$31+Premissas!$B$32+4*Premissas!$B$30),G14*(INDEX(Premissas!$B$40:$B$71,MATCH(F14,Premissas!$A$40:$A$71,0))+INDEX(Premissas!$C$40:$C$71,MATCH(F14,Premissas!$A$40:$A$71,0))*Premissas!$B$30)))</f>
        <v/>
      </c>
      <c r="K14" s="24">
        <f>IF(J14&lt;Premissas!$B$36,MAX(Premissas!$B$33,J14*Premissas!$B$34),J14*Premissas!$B$35)</f>
        <v/>
      </c>
      <c r="L14" s="24">
        <f>ROUND(J14+K14,2)</f>
        <v/>
      </c>
      <c r="M14" s="24">
        <f>D14*Premissas!$B$8+Premissas!$B$9+Premissas!$B$10+Premissas!$B$11+Premissas!$B$12+ROUND(Premissas!$B$13*E14,2)</f>
        <v/>
      </c>
      <c r="N14" s="25">
        <f>ROUNDUP((L14+M14-Premissas!$B$5*L14)/(1-Premissas!$B$6-Premissas!$B$7-Premissas!$B$5-Premissas!$B$14),2)</f>
        <v/>
      </c>
      <c r="O14" s="24">
        <f>ROUND(IF(N14&lt;=30000,N14*(1+Premissas!$B$21),N14+Premissas!$B$21*30000*SQRT(N14/30000)),2)</f>
        <v/>
      </c>
      <c r="P14" s="24">
        <f>N14-I14</f>
        <v/>
      </c>
      <c r="Q14" s="26">
        <f>P14/I14</f>
        <v/>
      </c>
      <c r="R14" s="26">
        <f>(I14-L14-Premissas!$B$5*(I14-L14)-(Premissas!$B$6+Premissas!$B$7)*I14-M14)/I14</f>
        <v/>
      </c>
      <c r="S14" s="24">
        <f>ROUND((CEILING((L14*Premissas!$B$17/Premissas!$B$18-97)/100,1)*100+97)*Premissas!$B$18,2)</f>
        <v/>
      </c>
    </row>
    <row r="15">
      <c r="A15" s="17" t="inlineStr">
        <is>
          <t>KIT 16 MOD. 620W + INV. CHINT 6KW</t>
        </is>
      </c>
      <c r="B15" s="17" t="inlineStr">
        <is>
          <t>CHINT</t>
        </is>
      </c>
      <c r="C15" s="17" t="inlineStr">
        <is>
          <t>Inversor</t>
        </is>
      </c>
      <c r="D15" s="21" t="n">
        <v>16</v>
      </c>
      <c r="E15" s="30" t="n">
        <v>9.92</v>
      </c>
      <c r="F15" s="20" t="inlineStr">
        <is>
          <t>CHINT CPS SCA6KTL-PSM3/EU</t>
        </is>
      </c>
      <c r="G15" s="21" t="n">
        <v>1</v>
      </c>
      <c r="H15" s="17" t="inlineStr">
        <is>
          <t>Sim</t>
        </is>
      </c>
      <c r="I15" s="23" t="n">
        <v>22571.85</v>
      </c>
      <c r="J15" s="24">
        <f>(D15*Premissas!$B$24+(2*ROUNDUP(D15/2,0))*Premissas!$B$26+INT((2*ROUNDUP(D15/2,0))/4)*Premissas!$B$27+MOD((2*ROUNDUP(D15/2,0)),4)/2*Premissas!$B$28+2*IF(D15&lt;=19,3*D15,IF(D15&lt;=50,ROUNDUP(2.5*D15,0),2*D15))*Premissas!$B$29+IF(C15="Micro",G15*(Premissas!$B$31+Premissas!$B$32+4*Premissas!$B$30),G15*(INDEX(Premissas!$B$40:$B$71,MATCH(F15,Premissas!$A$40:$A$71,0))+INDEX(Premissas!$C$40:$C$71,MATCH(F15,Premissas!$A$40:$A$71,0))*Premissas!$B$30)))</f>
        <v/>
      </c>
      <c r="K15" s="24">
        <f>IF(J15&lt;Premissas!$B$36,MAX(Premissas!$B$33,J15*Premissas!$B$34),J15*Premissas!$B$35)</f>
        <v/>
      </c>
      <c r="L15" s="24">
        <f>ROUND(J15+K15,2)</f>
        <v/>
      </c>
      <c r="M15" s="24">
        <f>D15*Premissas!$B$8+Premissas!$B$9+Premissas!$B$10+Premissas!$B$11+Premissas!$B$12+ROUND(Premissas!$B$13*E15,2)</f>
        <v/>
      </c>
      <c r="N15" s="25">
        <f>ROUNDUP((L15+M15-Premissas!$B$5*L15)/(1-Premissas!$B$6-Premissas!$B$7-Premissas!$B$5-Premissas!$B$14),2)</f>
        <v/>
      </c>
      <c r="O15" s="24">
        <f>ROUND(IF(N15&lt;=30000,N15*(1+Premissas!$B$21),N15+Premissas!$B$21*30000*SQRT(N15/30000)),2)</f>
        <v/>
      </c>
      <c r="P15" s="24">
        <f>N15-I15</f>
        <v/>
      </c>
      <c r="Q15" s="26">
        <f>P15/I15</f>
        <v/>
      </c>
      <c r="R15" s="26">
        <f>(I15-L15-Premissas!$B$5*(I15-L15)-(Premissas!$B$6+Premissas!$B$7)*I15-M15)/I15</f>
        <v/>
      </c>
      <c r="S15" s="24">
        <f>ROUND((CEILING((L15*Premissas!$B$17/Premissas!$B$18-97)/100,1)*100+97)*Premissas!$B$18,2)</f>
        <v/>
      </c>
    </row>
    <row r="16">
      <c r="A16" s="17" t="inlineStr">
        <is>
          <t>KIT 17 MOD. 620W + INV. CHINT 7,5KW</t>
        </is>
      </c>
      <c r="B16" s="17" t="inlineStr">
        <is>
          <t>CHINT</t>
        </is>
      </c>
      <c r="C16" s="17" t="inlineStr">
        <is>
          <t>Inversor</t>
        </is>
      </c>
      <c r="D16" s="21" t="n">
        <v>17</v>
      </c>
      <c r="E16" s="30" t="n">
        <v>10.54</v>
      </c>
      <c r="F16" s="20" t="inlineStr">
        <is>
          <t>CHINT 7,5K</t>
        </is>
      </c>
      <c r="G16" s="21" t="n">
        <v>1</v>
      </c>
      <c r="H16" s="17" t="inlineStr">
        <is>
          <t>Sim</t>
        </is>
      </c>
      <c r="I16" s="23" t="n">
        <v>25091.85</v>
      </c>
      <c r="J16" s="24">
        <f>(D16*Premissas!$B$24+(2*ROUNDUP(D16/2,0))*Premissas!$B$26+INT((2*ROUNDUP(D16/2,0))/4)*Premissas!$B$27+MOD((2*ROUNDUP(D16/2,0)),4)/2*Premissas!$B$28+2*IF(D16&lt;=19,3*D16,IF(D16&lt;=50,ROUNDUP(2.5*D16,0),2*D16))*Premissas!$B$29+IF(C16="Micro",G16*(Premissas!$B$31+Premissas!$B$32+4*Premissas!$B$30),G16*(INDEX(Premissas!$B$40:$B$71,MATCH(F16,Premissas!$A$40:$A$71,0))+INDEX(Premissas!$C$40:$C$71,MATCH(F16,Premissas!$A$40:$A$71,0))*Premissas!$B$30)))</f>
        <v/>
      </c>
      <c r="K16" s="24">
        <f>IF(J16&lt;Premissas!$B$36,MAX(Premissas!$B$33,J16*Premissas!$B$34),J16*Premissas!$B$35)</f>
        <v/>
      </c>
      <c r="L16" s="24">
        <f>ROUND(J16+K16,2)</f>
        <v/>
      </c>
      <c r="M16" s="24">
        <f>D16*Premissas!$B$8+Premissas!$B$9+Premissas!$B$10+Premissas!$B$11+Premissas!$B$12+ROUND(Premissas!$B$13*E16,2)</f>
        <v/>
      </c>
      <c r="N16" s="25">
        <f>ROUNDUP((L16+M16-Premissas!$B$5*L16)/(1-Premissas!$B$6-Premissas!$B$7-Premissas!$B$5-Premissas!$B$14),2)</f>
        <v/>
      </c>
      <c r="O16" s="24">
        <f>ROUND(IF(N16&lt;=30000,N16*(1+Premissas!$B$21),N16+Premissas!$B$21*30000*SQRT(N16/30000)),2)</f>
        <v/>
      </c>
      <c r="P16" s="24">
        <f>N16-I16</f>
        <v/>
      </c>
      <c r="Q16" s="26">
        <f>P16/I16</f>
        <v/>
      </c>
      <c r="R16" s="26">
        <f>(I16-L16-Premissas!$B$5*(I16-L16)-(Premissas!$B$6+Premissas!$B$7)*I16-M16)/I16</f>
        <v/>
      </c>
      <c r="S16" s="24">
        <f>ROUND((CEILING((L16*Premissas!$B$17/Premissas!$B$18-97)/100,1)*100+97)*Premissas!$B$18,2)</f>
        <v/>
      </c>
    </row>
    <row r="17">
      <c r="A17" s="17" t="inlineStr">
        <is>
          <t>KIT 18 MOD. 620W + INV. CHINT 7,5KW</t>
        </is>
      </c>
      <c r="B17" s="17" t="inlineStr">
        <is>
          <t>CHINT</t>
        </is>
      </c>
      <c r="C17" s="17" t="inlineStr">
        <is>
          <t>Inversor</t>
        </is>
      </c>
      <c r="D17" s="21" t="n">
        <v>18</v>
      </c>
      <c r="E17" s="30" t="n">
        <v>11.16</v>
      </c>
      <c r="F17" s="20" t="inlineStr">
        <is>
          <t>CHINT 7,5K</t>
        </is>
      </c>
      <c r="G17" s="21" t="n">
        <v>1</v>
      </c>
      <c r="H17" s="17" t="inlineStr">
        <is>
          <t>Sim</t>
        </is>
      </c>
      <c r="I17" s="23" t="n">
        <v>26141.85</v>
      </c>
      <c r="J17" s="24">
        <f>(D17*Premissas!$B$24+(2*ROUNDUP(D17/2,0))*Premissas!$B$26+INT((2*ROUNDUP(D17/2,0))/4)*Premissas!$B$27+MOD((2*ROUNDUP(D17/2,0)),4)/2*Premissas!$B$28+2*IF(D17&lt;=19,3*D17,IF(D17&lt;=50,ROUNDUP(2.5*D17,0),2*D17))*Premissas!$B$29+IF(C17="Micro",G17*(Premissas!$B$31+Premissas!$B$32+4*Premissas!$B$30),G17*(INDEX(Premissas!$B$40:$B$71,MATCH(F17,Premissas!$A$40:$A$71,0))+INDEX(Premissas!$C$40:$C$71,MATCH(F17,Premissas!$A$40:$A$71,0))*Premissas!$B$30)))</f>
        <v/>
      </c>
      <c r="K17" s="24">
        <f>IF(J17&lt;Premissas!$B$36,MAX(Premissas!$B$33,J17*Premissas!$B$34),J17*Premissas!$B$35)</f>
        <v/>
      </c>
      <c r="L17" s="24">
        <f>ROUND(J17+K17,2)</f>
        <v/>
      </c>
      <c r="M17" s="24">
        <f>D17*Premissas!$B$8+Premissas!$B$9+Premissas!$B$10+Premissas!$B$11+Premissas!$B$12+ROUND(Premissas!$B$13*E17,2)</f>
        <v/>
      </c>
      <c r="N17" s="25">
        <f>ROUNDUP((L17+M17-Premissas!$B$5*L17)/(1-Premissas!$B$6-Premissas!$B$7-Premissas!$B$5-Premissas!$B$14),2)</f>
        <v/>
      </c>
      <c r="O17" s="24">
        <f>ROUND(IF(N17&lt;=30000,N17*(1+Premissas!$B$21),N17+Premissas!$B$21*30000*SQRT(N17/30000)),2)</f>
        <v/>
      </c>
      <c r="P17" s="24">
        <f>N17-I17</f>
        <v/>
      </c>
      <c r="Q17" s="26">
        <f>P17/I17</f>
        <v/>
      </c>
      <c r="R17" s="26">
        <f>(I17-L17-Premissas!$B$5*(I17-L17)-(Premissas!$B$6+Premissas!$B$7)*I17-M17)/I17</f>
        <v/>
      </c>
      <c r="S17" s="24">
        <f>ROUND((CEILING((L17*Premissas!$B$17/Premissas!$B$18-97)/100,1)*100+97)*Premissas!$B$18,2)</f>
        <v/>
      </c>
    </row>
    <row r="18">
      <c r="A18" s="17" t="inlineStr">
        <is>
          <t>KIT 19 MOD. 620W + INV. CHINT 7,5KW</t>
        </is>
      </c>
      <c r="B18" s="17" t="inlineStr">
        <is>
          <t>CHINT</t>
        </is>
      </c>
      <c r="C18" s="17" t="inlineStr">
        <is>
          <t>Inversor</t>
        </is>
      </c>
      <c r="D18" s="21" t="n">
        <v>19</v>
      </c>
      <c r="E18" s="30" t="n">
        <v>11.78</v>
      </c>
      <c r="F18" s="20" t="inlineStr">
        <is>
          <t>CHINT 7,5K</t>
        </is>
      </c>
      <c r="G18" s="21" t="n">
        <v>1</v>
      </c>
      <c r="H18" s="17" t="inlineStr">
        <is>
          <t>Sim</t>
        </is>
      </c>
      <c r="I18" s="23" t="n">
        <v>27506.85</v>
      </c>
      <c r="J18" s="24">
        <f>(D18*Premissas!$B$24+(2*ROUNDUP(D18/2,0))*Premissas!$B$26+INT((2*ROUNDUP(D18/2,0))/4)*Premissas!$B$27+MOD((2*ROUNDUP(D18/2,0)),4)/2*Premissas!$B$28+2*IF(D18&lt;=19,3*D18,IF(D18&lt;=50,ROUNDUP(2.5*D18,0),2*D18))*Premissas!$B$29+IF(C18="Micro",G18*(Premissas!$B$31+Premissas!$B$32+4*Premissas!$B$30),G18*(INDEX(Premissas!$B$40:$B$71,MATCH(F18,Premissas!$A$40:$A$71,0))+INDEX(Premissas!$C$40:$C$71,MATCH(F18,Premissas!$A$40:$A$71,0))*Premissas!$B$30)))</f>
        <v/>
      </c>
      <c r="K18" s="24">
        <f>IF(J18&lt;Premissas!$B$36,MAX(Premissas!$B$33,J18*Premissas!$B$34),J18*Premissas!$B$35)</f>
        <v/>
      </c>
      <c r="L18" s="24">
        <f>ROUND(J18+K18,2)</f>
        <v/>
      </c>
      <c r="M18" s="24">
        <f>D18*Premissas!$B$8+Premissas!$B$9+Premissas!$B$10+Premissas!$B$11+Premissas!$B$12+ROUND(Premissas!$B$13*E18,2)</f>
        <v/>
      </c>
      <c r="N18" s="25">
        <f>ROUNDUP((L18+M18-Premissas!$B$5*L18)/(1-Premissas!$B$6-Premissas!$B$7-Premissas!$B$5-Premissas!$B$14),2)</f>
        <v/>
      </c>
      <c r="O18" s="24">
        <f>ROUND(IF(N18&lt;=30000,N18*(1+Premissas!$B$21),N18+Premissas!$B$21*30000*SQRT(N18/30000)),2)</f>
        <v/>
      </c>
      <c r="P18" s="24">
        <f>N18-I18</f>
        <v/>
      </c>
      <c r="Q18" s="26">
        <f>P18/I18</f>
        <v/>
      </c>
      <c r="R18" s="26">
        <f>(I18-L18-Premissas!$B$5*(I18-L18)-(Premissas!$B$6+Premissas!$B$7)*I18-M18)/I18</f>
        <v/>
      </c>
      <c r="S18" s="24">
        <f>ROUND((CEILING((L18*Premissas!$B$17/Premissas!$B$18-97)/100,1)*100+97)*Premissas!$B$18,2)</f>
        <v/>
      </c>
    </row>
    <row r="19">
      <c r="A19" s="17" t="inlineStr">
        <is>
          <t>KIT 20 MOD. 620W + INV. CHINT 7,5KW</t>
        </is>
      </c>
      <c r="B19" s="17" t="inlineStr">
        <is>
          <t>CHINT</t>
        </is>
      </c>
      <c r="C19" s="17" t="inlineStr">
        <is>
          <t>Inversor</t>
        </is>
      </c>
      <c r="D19" s="21" t="n">
        <v>20</v>
      </c>
      <c r="E19" s="30" t="n">
        <v>12.4</v>
      </c>
      <c r="F19" s="20" t="inlineStr">
        <is>
          <t>CHINT 7,5K</t>
        </is>
      </c>
      <c r="G19" s="21" t="n">
        <v>1</v>
      </c>
      <c r="H19" s="17" t="inlineStr">
        <is>
          <t>Sim</t>
        </is>
      </c>
      <c r="I19" s="23" t="n">
        <v>28346.85</v>
      </c>
      <c r="J19" s="24">
        <f>(D19*Premissas!$B$24+(2*ROUNDUP(D19/2,0))*Premissas!$B$26+INT((2*ROUNDUP(D19/2,0))/4)*Premissas!$B$27+MOD((2*ROUNDUP(D19/2,0)),4)/2*Premissas!$B$28+2*IF(D19&lt;=19,3*D19,IF(D19&lt;=50,ROUNDUP(2.5*D19,0),2*D19))*Premissas!$B$29+IF(C19="Micro",G19*(Premissas!$B$31+Premissas!$B$32+4*Premissas!$B$30),G19*(INDEX(Premissas!$B$40:$B$71,MATCH(F19,Premissas!$A$40:$A$71,0))+INDEX(Premissas!$C$40:$C$71,MATCH(F19,Premissas!$A$40:$A$71,0))*Premissas!$B$30)))</f>
        <v/>
      </c>
      <c r="K19" s="24">
        <f>IF(J19&lt;Premissas!$B$36,MAX(Premissas!$B$33,J19*Premissas!$B$34),J19*Premissas!$B$35)</f>
        <v/>
      </c>
      <c r="L19" s="24">
        <f>ROUND(J19+K19,2)</f>
        <v/>
      </c>
      <c r="M19" s="24">
        <f>D19*Premissas!$B$8+Premissas!$B$9+Premissas!$B$10+Premissas!$B$11+Premissas!$B$12+ROUND(Premissas!$B$13*E19,2)</f>
        <v/>
      </c>
      <c r="N19" s="25">
        <f>ROUNDUP((L19+M19-Premissas!$B$5*L19)/(1-Premissas!$B$6-Premissas!$B$7-Premissas!$B$5-Premissas!$B$14),2)</f>
        <v/>
      </c>
      <c r="O19" s="24">
        <f>ROUND(IF(N19&lt;=30000,N19*(1+Premissas!$B$21),N19+Premissas!$B$21*30000*SQRT(N19/30000)),2)</f>
        <v/>
      </c>
      <c r="P19" s="24">
        <f>N19-I19</f>
        <v/>
      </c>
      <c r="Q19" s="26">
        <f>P19/I19</f>
        <v/>
      </c>
      <c r="R19" s="26">
        <f>(I19-L19-Premissas!$B$5*(I19-L19)-(Premissas!$B$6+Premissas!$B$7)*I19-M19)/I19</f>
        <v/>
      </c>
      <c r="S19" s="24">
        <f>ROUND((CEILING((L19*Premissas!$B$17/Premissas!$B$18-97)/100,1)*100+97)*Premissas!$B$18,2)</f>
        <v/>
      </c>
    </row>
    <row r="20">
      <c r="A20" s="17" t="inlineStr">
        <is>
          <t>KIT 21 MOD. 620W + INV. CHINT 7,5KW</t>
        </is>
      </c>
      <c r="B20" s="17" t="inlineStr">
        <is>
          <t>CHINT</t>
        </is>
      </c>
      <c r="C20" s="17" t="inlineStr">
        <is>
          <t>Inversor</t>
        </is>
      </c>
      <c r="D20" s="21" t="n">
        <v>21</v>
      </c>
      <c r="E20" s="30" t="n">
        <v>13.02</v>
      </c>
      <c r="F20" s="20" t="inlineStr">
        <is>
          <t>CHINT 7,5K</t>
        </is>
      </c>
      <c r="G20" s="21" t="n">
        <v>1</v>
      </c>
      <c r="H20" s="17" t="inlineStr">
        <is>
          <t>Sim</t>
        </is>
      </c>
      <c r="I20" s="23" t="n">
        <v>31181.85</v>
      </c>
      <c r="J20" s="24">
        <f>(D20*Premissas!$B$24+(2*ROUNDUP(D20/2,0))*Premissas!$B$26+INT((2*ROUNDUP(D20/2,0))/4)*Premissas!$B$27+MOD((2*ROUNDUP(D20/2,0)),4)/2*Premissas!$B$28+2*IF(D20&lt;=19,3*D20,IF(D20&lt;=50,ROUNDUP(2.5*D20,0),2*D20))*Premissas!$B$29+IF(C20="Micro",G20*(Premissas!$B$31+Premissas!$B$32+4*Premissas!$B$30),G20*(INDEX(Premissas!$B$40:$B$71,MATCH(F20,Premissas!$A$40:$A$71,0))+INDEX(Premissas!$C$40:$C$71,MATCH(F20,Premissas!$A$40:$A$71,0))*Premissas!$B$30)))</f>
        <v/>
      </c>
      <c r="K20" s="24">
        <f>IF(J20&lt;Premissas!$B$36,MAX(Premissas!$B$33,J20*Premissas!$B$34),J20*Premissas!$B$35)</f>
        <v/>
      </c>
      <c r="L20" s="24">
        <f>ROUND(J20+K20,2)</f>
        <v/>
      </c>
      <c r="M20" s="24">
        <f>D20*Premissas!$B$8+Premissas!$B$9+Premissas!$B$10+Premissas!$B$11+Premissas!$B$12+ROUND(Premissas!$B$13*E20,2)</f>
        <v/>
      </c>
      <c r="N20" s="25">
        <f>ROUNDUP((L20+M20-Premissas!$B$5*L20)/(1-Premissas!$B$6-Premissas!$B$7-Premissas!$B$5-Premissas!$B$14),2)</f>
        <v/>
      </c>
      <c r="O20" s="24">
        <f>ROUND(IF(N20&lt;=30000,N20*(1+Premissas!$B$21),N20+Premissas!$B$21*30000*SQRT(N20/30000)),2)</f>
        <v/>
      </c>
      <c r="P20" s="24">
        <f>N20-I20</f>
        <v/>
      </c>
      <c r="Q20" s="26">
        <f>P20/I20</f>
        <v/>
      </c>
      <c r="R20" s="26">
        <f>(I20-L20-Premissas!$B$5*(I20-L20)-(Premissas!$B$6+Premissas!$B$7)*I20-M20)/I20</f>
        <v/>
      </c>
      <c r="S20" s="24">
        <f>ROUND((CEILING((L20*Premissas!$B$17/Premissas!$B$18-97)/100,1)*100+97)*Premissas!$B$18,2)</f>
        <v/>
      </c>
    </row>
    <row r="21">
      <c r="A21" s="17" t="inlineStr">
        <is>
          <t>KIT 21 MOD. 620W + INV. CHINT 10KW</t>
        </is>
      </c>
      <c r="B21" s="17" t="inlineStr">
        <is>
          <t>CHINT</t>
        </is>
      </c>
      <c r="C21" s="17" t="inlineStr">
        <is>
          <t>Inversor</t>
        </is>
      </c>
      <c r="D21" s="21" t="n">
        <v>21</v>
      </c>
      <c r="E21" s="30" t="n">
        <v>13.02</v>
      </c>
      <c r="F21" s="20" t="inlineStr">
        <is>
          <t>CHINT CPS SCA10KTL-PSM/EU</t>
        </is>
      </c>
      <c r="G21" s="21" t="n">
        <v>1</v>
      </c>
      <c r="H21" s="17" t="inlineStr">
        <is>
          <t>Sim</t>
        </is>
      </c>
      <c r="I21" s="23" t="n">
        <v>31391.85</v>
      </c>
      <c r="J21" s="24">
        <f>(D21*Premissas!$B$24+(2*ROUNDUP(D21/2,0))*Premissas!$B$26+INT((2*ROUNDUP(D21/2,0))/4)*Premissas!$B$27+MOD((2*ROUNDUP(D21/2,0)),4)/2*Premissas!$B$28+2*IF(D21&lt;=19,3*D21,IF(D21&lt;=50,ROUNDUP(2.5*D21,0),2*D21))*Premissas!$B$29+IF(C21="Micro",G21*(Premissas!$B$31+Premissas!$B$32+4*Premissas!$B$30),G21*(INDEX(Premissas!$B$40:$B$71,MATCH(F21,Premissas!$A$40:$A$71,0))+INDEX(Premissas!$C$40:$C$71,MATCH(F21,Premissas!$A$40:$A$71,0))*Premissas!$B$30)))</f>
        <v/>
      </c>
      <c r="K21" s="24">
        <f>IF(J21&lt;Premissas!$B$36,MAX(Premissas!$B$33,J21*Premissas!$B$34),J21*Premissas!$B$35)</f>
        <v/>
      </c>
      <c r="L21" s="24">
        <f>ROUND(J21+K21,2)</f>
        <v/>
      </c>
      <c r="M21" s="24">
        <f>D21*Premissas!$B$8+Premissas!$B$9+Premissas!$B$10+Premissas!$B$11+Premissas!$B$12+ROUND(Premissas!$B$13*E21,2)</f>
        <v/>
      </c>
      <c r="N21" s="25">
        <f>ROUNDUP((L21+M21-Premissas!$B$5*L21)/(1-Premissas!$B$6-Premissas!$B$7-Premissas!$B$5-Premissas!$B$14),2)</f>
        <v/>
      </c>
      <c r="O21" s="24">
        <f>ROUND(IF(N21&lt;=30000,N21*(1+Premissas!$B$21),N21+Premissas!$B$21*30000*SQRT(N21/30000)),2)</f>
        <v/>
      </c>
      <c r="P21" s="24">
        <f>N21-I21</f>
        <v/>
      </c>
      <c r="Q21" s="26">
        <f>P21/I21</f>
        <v/>
      </c>
      <c r="R21" s="26">
        <f>(I21-L21-Premissas!$B$5*(I21-L21)-(Premissas!$B$6+Premissas!$B$7)*I21-M21)/I21</f>
        <v/>
      </c>
      <c r="S21" s="24">
        <f>ROUND((CEILING((L21*Premissas!$B$17/Premissas!$B$18-97)/100,1)*100+97)*Premissas!$B$18,2)</f>
        <v/>
      </c>
    </row>
    <row r="22">
      <c r="A22" s="17" t="inlineStr">
        <is>
          <t>KIT 22 MOD. 620W + INV. CHINT 10KW</t>
        </is>
      </c>
      <c r="B22" s="17" t="inlineStr">
        <is>
          <t>CHINT</t>
        </is>
      </c>
      <c r="C22" s="17" t="inlineStr">
        <is>
          <t>Inversor</t>
        </is>
      </c>
      <c r="D22" s="21" t="n">
        <v>22</v>
      </c>
      <c r="E22" s="30" t="n">
        <v>13.64</v>
      </c>
      <c r="F22" s="20" t="inlineStr">
        <is>
          <t>CHINT CPS SCA10KTL-PSM/EU</t>
        </is>
      </c>
      <c r="G22" s="21" t="n">
        <v>1</v>
      </c>
      <c r="H22" s="17" t="inlineStr">
        <is>
          <t>Sim</t>
        </is>
      </c>
      <c r="I22" s="23" t="n">
        <v>32441.85</v>
      </c>
      <c r="J22" s="24">
        <f>(D22*Premissas!$B$24+(2*ROUNDUP(D22/2,0))*Premissas!$B$26+INT((2*ROUNDUP(D22/2,0))/4)*Premissas!$B$27+MOD((2*ROUNDUP(D22/2,0)),4)/2*Premissas!$B$28+2*IF(D22&lt;=19,3*D22,IF(D22&lt;=50,ROUNDUP(2.5*D22,0),2*D22))*Premissas!$B$29+IF(C22="Micro",G22*(Premissas!$B$31+Premissas!$B$32+4*Premissas!$B$30),G22*(INDEX(Premissas!$B$40:$B$71,MATCH(F22,Premissas!$A$40:$A$71,0))+INDEX(Premissas!$C$40:$C$71,MATCH(F22,Premissas!$A$40:$A$71,0))*Premissas!$B$30)))</f>
        <v/>
      </c>
      <c r="K22" s="24">
        <f>IF(J22&lt;Premissas!$B$36,MAX(Premissas!$B$33,J22*Premissas!$B$34),J22*Premissas!$B$35)</f>
        <v/>
      </c>
      <c r="L22" s="24">
        <f>ROUND(J22+K22,2)</f>
        <v/>
      </c>
      <c r="M22" s="24">
        <f>D22*Premissas!$B$8+Premissas!$B$9+Premissas!$B$10+Premissas!$B$11+Premissas!$B$12+ROUND(Premissas!$B$13*E22,2)</f>
        <v/>
      </c>
      <c r="N22" s="25">
        <f>ROUNDUP((L22+M22-Premissas!$B$5*L22)/(1-Premissas!$B$6-Premissas!$B$7-Premissas!$B$5-Premissas!$B$14),2)</f>
        <v/>
      </c>
      <c r="O22" s="24">
        <f>ROUND(IF(N22&lt;=30000,N22*(1+Premissas!$B$21),N22+Premissas!$B$21*30000*SQRT(N22/30000)),2)</f>
        <v/>
      </c>
      <c r="P22" s="24">
        <f>N22-I22</f>
        <v/>
      </c>
      <c r="Q22" s="26">
        <f>P22/I22</f>
        <v/>
      </c>
      <c r="R22" s="26">
        <f>(I22-L22-Premissas!$B$5*(I22-L22)-(Premissas!$B$6+Premissas!$B$7)*I22-M22)/I22</f>
        <v/>
      </c>
      <c r="S22" s="24">
        <f>ROUND((CEILING((L22*Premissas!$B$17/Premissas!$B$18-97)/100,1)*100+97)*Premissas!$B$18,2)</f>
        <v/>
      </c>
    </row>
    <row r="23">
      <c r="A23" s="17" t="inlineStr">
        <is>
          <t>KIT 23 MOD. 620W + INV. CHINT 10KW</t>
        </is>
      </c>
      <c r="B23" s="17" t="inlineStr">
        <is>
          <t>CHINT</t>
        </is>
      </c>
      <c r="C23" s="17" t="inlineStr">
        <is>
          <t>Inversor</t>
        </is>
      </c>
      <c r="D23" s="21" t="n">
        <v>23</v>
      </c>
      <c r="E23" s="30" t="n">
        <v>14.26</v>
      </c>
      <c r="F23" s="20" t="inlineStr">
        <is>
          <t>CHINT CPS SCA10KTL-PSM/EU</t>
        </is>
      </c>
      <c r="G23" s="21" t="n">
        <v>1</v>
      </c>
      <c r="H23" s="17" t="inlineStr">
        <is>
          <t>Sim</t>
        </is>
      </c>
      <c r="I23" s="23" t="n">
        <v>33701.85</v>
      </c>
      <c r="J23" s="24">
        <f>(D23*Premissas!$B$24+(2*ROUNDUP(D23/2,0))*Premissas!$B$26+INT((2*ROUNDUP(D23/2,0))/4)*Premissas!$B$27+MOD((2*ROUNDUP(D23/2,0)),4)/2*Premissas!$B$28+2*IF(D23&lt;=19,3*D23,IF(D23&lt;=50,ROUNDUP(2.5*D23,0),2*D23))*Premissas!$B$29+IF(C23="Micro",G23*(Premissas!$B$31+Premissas!$B$32+4*Premissas!$B$30),G23*(INDEX(Premissas!$B$40:$B$71,MATCH(F23,Premissas!$A$40:$A$71,0))+INDEX(Premissas!$C$40:$C$71,MATCH(F23,Premissas!$A$40:$A$71,0))*Premissas!$B$30)))</f>
        <v/>
      </c>
      <c r="K23" s="24">
        <f>IF(J23&lt;Premissas!$B$36,MAX(Premissas!$B$33,J23*Premissas!$B$34),J23*Premissas!$B$35)</f>
        <v/>
      </c>
      <c r="L23" s="24">
        <f>ROUND(J23+K23,2)</f>
        <v/>
      </c>
      <c r="M23" s="24">
        <f>D23*Premissas!$B$8+Premissas!$B$9+Premissas!$B$10+Premissas!$B$11+Premissas!$B$12+ROUND(Premissas!$B$13*E23,2)</f>
        <v/>
      </c>
      <c r="N23" s="25">
        <f>ROUNDUP((L23+M23-Premissas!$B$5*L23)/(1-Premissas!$B$6-Premissas!$B$7-Premissas!$B$5-Premissas!$B$14),2)</f>
        <v/>
      </c>
      <c r="O23" s="24">
        <f>ROUND(IF(N23&lt;=30000,N23*(1+Premissas!$B$21),N23+Premissas!$B$21*30000*SQRT(N23/30000)),2)</f>
        <v/>
      </c>
      <c r="P23" s="24">
        <f>N23-I23</f>
        <v/>
      </c>
      <c r="Q23" s="26">
        <f>P23/I23</f>
        <v/>
      </c>
      <c r="R23" s="26">
        <f>(I23-L23-Premissas!$B$5*(I23-L23)-(Premissas!$B$6+Premissas!$B$7)*I23-M23)/I23</f>
        <v/>
      </c>
      <c r="S23" s="24">
        <f>ROUND((CEILING((L23*Premissas!$B$17/Premissas!$B$18-97)/100,1)*100+97)*Premissas!$B$18,2)</f>
        <v/>
      </c>
    </row>
    <row r="24">
      <c r="A24" s="17" t="inlineStr">
        <is>
          <t>KIT 24 MOD. 620W + INV. CHINT 10KW</t>
        </is>
      </c>
      <c r="B24" s="17" t="inlineStr">
        <is>
          <t>CHINT</t>
        </is>
      </c>
      <c r="C24" s="17" t="inlineStr">
        <is>
          <t>Inversor</t>
        </is>
      </c>
      <c r="D24" s="21" t="n">
        <v>24</v>
      </c>
      <c r="E24" s="30" t="n">
        <v>14.88</v>
      </c>
      <c r="F24" s="20" t="inlineStr">
        <is>
          <t>CHINT CPS SCA10KTL-PSM/EU</t>
        </is>
      </c>
      <c r="G24" s="21" t="n">
        <v>1</v>
      </c>
      <c r="H24" s="17" t="inlineStr">
        <is>
          <t>Sim</t>
        </is>
      </c>
      <c r="I24" s="23" t="n">
        <v>34751.85</v>
      </c>
      <c r="J24" s="24">
        <f>(D24*Premissas!$B$24+(2*ROUNDUP(D24/2,0))*Premissas!$B$26+INT((2*ROUNDUP(D24/2,0))/4)*Premissas!$B$27+MOD((2*ROUNDUP(D24/2,0)),4)/2*Premissas!$B$28+2*IF(D24&lt;=19,3*D24,IF(D24&lt;=50,ROUNDUP(2.5*D24,0),2*D24))*Premissas!$B$29+IF(C24="Micro",G24*(Premissas!$B$31+Premissas!$B$32+4*Premissas!$B$30),G24*(INDEX(Premissas!$B$40:$B$71,MATCH(F24,Premissas!$A$40:$A$71,0))+INDEX(Premissas!$C$40:$C$71,MATCH(F24,Premissas!$A$40:$A$71,0))*Premissas!$B$30)))</f>
        <v/>
      </c>
      <c r="K24" s="24">
        <f>IF(J24&lt;Premissas!$B$36,MAX(Premissas!$B$33,J24*Premissas!$B$34),J24*Premissas!$B$35)</f>
        <v/>
      </c>
      <c r="L24" s="24">
        <f>ROUND(J24+K24,2)</f>
        <v/>
      </c>
      <c r="M24" s="24">
        <f>D24*Premissas!$B$8+Premissas!$B$9+Premissas!$B$10+Premissas!$B$11+Premissas!$B$12+ROUND(Premissas!$B$13*E24,2)</f>
        <v/>
      </c>
      <c r="N24" s="25">
        <f>ROUNDUP((L24+M24-Premissas!$B$5*L24)/(1-Premissas!$B$6-Premissas!$B$7-Premissas!$B$5-Premissas!$B$14),2)</f>
        <v/>
      </c>
      <c r="O24" s="24">
        <f>ROUND(IF(N24&lt;=30000,N24*(1+Premissas!$B$21),N24+Premissas!$B$21*30000*SQRT(N24/30000)),2)</f>
        <v/>
      </c>
      <c r="P24" s="24">
        <f>N24-I24</f>
        <v/>
      </c>
      <c r="Q24" s="26">
        <f>P24/I24</f>
        <v/>
      </c>
      <c r="R24" s="26">
        <f>(I24-L24-Premissas!$B$5*(I24-L24)-(Premissas!$B$6+Premissas!$B$7)*I24-M24)/I24</f>
        <v/>
      </c>
      <c r="S24" s="24">
        <f>ROUND((CEILING((L24*Premissas!$B$17/Premissas!$B$18-97)/100,1)*100+97)*Premissas!$B$18,2)</f>
        <v/>
      </c>
    </row>
    <row r="25">
      <c r="A25" s="17" t="inlineStr">
        <is>
          <t>KIT 25 MOD. 620W + INV. CHINT 10KW</t>
        </is>
      </c>
      <c r="B25" s="17" t="inlineStr">
        <is>
          <t>CHINT</t>
        </is>
      </c>
      <c r="C25" s="17" t="inlineStr">
        <is>
          <t>Inversor</t>
        </is>
      </c>
      <c r="D25" s="21" t="n">
        <v>25</v>
      </c>
      <c r="E25" s="30" t="n">
        <v>15.5</v>
      </c>
      <c r="F25" s="20" t="inlineStr">
        <is>
          <t>CHINT CPS SCA10KTL-PSM/EU</t>
        </is>
      </c>
      <c r="G25" s="21" t="n">
        <v>1</v>
      </c>
      <c r="H25" s="17" t="inlineStr">
        <is>
          <t>Sim</t>
        </is>
      </c>
      <c r="I25" s="23" t="n">
        <v>36116.85</v>
      </c>
      <c r="J25" s="24">
        <f>(D25*Premissas!$B$24+(2*ROUNDUP(D25/2,0))*Premissas!$B$26+INT((2*ROUNDUP(D25/2,0))/4)*Premissas!$B$27+MOD((2*ROUNDUP(D25/2,0)),4)/2*Premissas!$B$28+2*IF(D25&lt;=19,3*D25,IF(D25&lt;=50,ROUNDUP(2.5*D25,0),2*D25))*Premissas!$B$29+IF(C25="Micro",G25*(Premissas!$B$31+Premissas!$B$32+4*Premissas!$B$30),G25*(INDEX(Premissas!$B$40:$B$71,MATCH(F25,Premissas!$A$40:$A$71,0))+INDEX(Premissas!$C$40:$C$71,MATCH(F25,Premissas!$A$40:$A$71,0))*Premissas!$B$30)))</f>
        <v/>
      </c>
      <c r="K25" s="24">
        <f>IF(J25&lt;Premissas!$B$36,MAX(Premissas!$B$33,J25*Premissas!$B$34),J25*Premissas!$B$35)</f>
        <v/>
      </c>
      <c r="L25" s="24">
        <f>ROUND(J25+K25,2)</f>
        <v/>
      </c>
      <c r="M25" s="24">
        <f>D25*Premissas!$B$8+Premissas!$B$9+Premissas!$B$10+Premissas!$B$11+Premissas!$B$12+ROUND(Premissas!$B$13*E25,2)</f>
        <v/>
      </c>
      <c r="N25" s="25">
        <f>ROUNDUP((L25+M25-Premissas!$B$5*L25)/(1-Premissas!$B$6-Premissas!$B$7-Premissas!$B$5-Premissas!$B$14),2)</f>
        <v/>
      </c>
      <c r="O25" s="24">
        <f>ROUND(IF(N25&lt;=30000,N25*(1+Premissas!$B$21),N25+Premissas!$B$21*30000*SQRT(N25/30000)),2)</f>
        <v/>
      </c>
      <c r="P25" s="24">
        <f>N25-I25</f>
        <v/>
      </c>
      <c r="Q25" s="26">
        <f>P25/I25</f>
        <v/>
      </c>
      <c r="R25" s="26">
        <f>(I25-L25-Premissas!$B$5*(I25-L25)-(Premissas!$B$6+Premissas!$B$7)*I25-M25)/I25</f>
        <v/>
      </c>
      <c r="S25" s="24">
        <f>ROUND((CEILING((L25*Premissas!$B$17/Premissas!$B$18-97)/100,1)*100+97)*Premissas!$B$18,2)</f>
        <v/>
      </c>
    </row>
    <row r="26">
      <c r="A26" s="17" t="inlineStr">
        <is>
          <t>KIT 26 MOD. 620W + INV. CHINT 10KW</t>
        </is>
      </c>
      <c r="B26" s="17" t="inlineStr">
        <is>
          <t>CHINT</t>
        </is>
      </c>
      <c r="C26" s="17" t="inlineStr">
        <is>
          <t>Inversor</t>
        </is>
      </c>
      <c r="D26" s="21" t="n">
        <v>26</v>
      </c>
      <c r="E26" s="30" t="n">
        <v>16.12</v>
      </c>
      <c r="F26" s="20" t="inlineStr">
        <is>
          <t>CHINT CPS SCA10KTL-PSM/EU</t>
        </is>
      </c>
      <c r="G26" s="21" t="n">
        <v>1</v>
      </c>
      <c r="H26" s="17" t="inlineStr">
        <is>
          <t>Sim</t>
        </is>
      </c>
      <c r="I26" s="23" t="n">
        <v>37166.85</v>
      </c>
      <c r="J26" s="24">
        <f>(D26*Premissas!$B$24+(2*ROUNDUP(D26/2,0))*Premissas!$B$26+INT((2*ROUNDUP(D26/2,0))/4)*Premissas!$B$27+MOD((2*ROUNDUP(D26/2,0)),4)/2*Premissas!$B$28+2*IF(D26&lt;=19,3*D26,IF(D26&lt;=50,ROUNDUP(2.5*D26,0),2*D26))*Premissas!$B$29+IF(C26="Micro",G26*(Premissas!$B$31+Premissas!$B$32+4*Premissas!$B$30),G26*(INDEX(Premissas!$B$40:$B$71,MATCH(F26,Premissas!$A$40:$A$71,0))+INDEX(Premissas!$C$40:$C$71,MATCH(F26,Premissas!$A$40:$A$71,0))*Premissas!$B$30)))</f>
        <v/>
      </c>
      <c r="K26" s="24">
        <f>IF(J26&lt;Premissas!$B$36,MAX(Premissas!$B$33,J26*Premissas!$B$34),J26*Premissas!$B$35)</f>
        <v/>
      </c>
      <c r="L26" s="24">
        <f>ROUND(J26+K26,2)</f>
        <v/>
      </c>
      <c r="M26" s="24">
        <f>D26*Premissas!$B$8+Premissas!$B$9+Premissas!$B$10+Premissas!$B$11+Premissas!$B$12+ROUND(Premissas!$B$13*E26,2)</f>
        <v/>
      </c>
      <c r="N26" s="25">
        <f>ROUNDUP((L26+M26-Premissas!$B$5*L26)/(1-Premissas!$B$6-Premissas!$B$7-Premissas!$B$5-Premissas!$B$14),2)</f>
        <v/>
      </c>
      <c r="O26" s="24">
        <f>ROUND(IF(N26&lt;=30000,N26*(1+Premissas!$B$21),N26+Premissas!$B$21*30000*SQRT(N26/30000)),2)</f>
        <v/>
      </c>
      <c r="P26" s="24">
        <f>N26-I26</f>
        <v/>
      </c>
      <c r="Q26" s="26">
        <f>P26/I26</f>
        <v/>
      </c>
      <c r="R26" s="26">
        <f>(I26-L26-Premissas!$B$5*(I26-L26)-(Premissas!$B$6+Premissas!$B$7)*I26-M26)/I26</f>
        <v/>
      </c>
      <c r="S26" s="24">
        <f>ROUND((CEILING((L26*Premissas!$B$17/Premissas!$B$18-97)/100,1)*100+97)*Premissas!$B$18,2)</f>
        <v/>
      </c>
    </row>
    <row r="27">
      <c r="A27" s="17" t="inlineStr">
        <is>
          <t>KIT 27 MOD. 620W + INV. CHINT 10KW</t>
        </is>
      </c>
      <c r="B27" s="17" t="inlineStr">
        <is>
          <t>CHINT</t>
        </is>
      </c>
      <c r="C27" s="17" t="inlineStr">
        <is>
          <t>Inversor</t>
        </is>
      </c>
      <c r="D27" s="21" t="n">
        <v>27</v>
      </c>
      <c r="E27" s="30" t="n">
        <v>16.74</v>
      </c>
      <c r="F27" s="20" t="inlineStr">
        <is>
          <t>CHINT CPS SCA10KTL-PSM/EU</t>
        </is>
      </c>
      <c r="G27" s="21" t="n">
        <v>1</v>
      </c>
      <c r="H27" s="17" t="inlineStr">
        <is>
          <t>Sim</t>
        </is>
      </c>
      <c r="I27" s="23" t="n">
        <v>38531.85</v>
      </c>
      <c r="J27" s="24">
        <f>(D27*Premissas!$B$24+(2*ROUNDUP(D27/2,0))*Premissas!$B$26+INT((2*ROUNDUP(D27/2,0))/4)*Premissas!$B$27+MOD((2*ROUNDUP(D27/2,0)),4)/2*Premissas!$B$28+2*IF(D27&lt;=19,3*D27,IF(D27&lt;=50,ROUNDUP(2.5*D27,0),2*D27))*Premissas!$B$29+IF(C27="Micro",G27*(Premissas!$B$31+Premissas!$B$32+4*Premissas!$B$30),G27*(INDEX(Premissas!$B$40:$B$71,MATCH(F27,Premissas!$A$40:$A$71,0))+INDEX(Premissas!$C$40:$C$71,MATCH(F27,Premissas!$A$40:$A$71,0))*Premissas!$B$30)))</f>
        <v/>
      </c>
      <c r="K27" s="24">
        <f>IF(J27&lt;Premissas!$B$36,MAX(Premissas!$B$33,J27*Premissas!$B$34),J27*Premissas!$B$35)</f>
        <v/>
      </c>
      <c r="L27" s="24">
        <f>ROUND(J27+K27,2)</f>
        <v/>
      </c>
      <c r="M27" s="24">
        <f>D27*Premissas!$B$8+Premissas!$B$9+Premissas!$B$10+Premissas!$B$11+Premissas!$B$12+ROUND(Premissas!$B$13*E27,2)</f>
        <v/>
      </c>
      <c r="N27" s="25">
        <f>ROUNDUP((L27+M27-Premissas!$B$5*L27)/(1-Premissas!$B$6-Premissas!$B$7-Premissas!$B$5-Premissas!$B$14),2)</f>
        <v/>
      </c>
      <c r="O27" s="24">
        <f>ROUND(IF(N27&lt;=30000,N27*(1+Premissas!$B$21),N27+Premissas!$B$21*30000*SQRT(N27/30000)),2)</f>
        <v/>
      </c>
      <c r="P27" s="24">
        <f>N27-I27</f>
        <v/>
      </c>
      <c r="Q27" s="26">
        <f>P27/I27</f>
        <v/>
      </c>
      <c r="R27" s="26">
        <f>(I27-L27-Premissas!$B$5*(I27-L27)-(Premissas!$B$6+Premissas!$B$7)*I27-M27)/I27</f>
        <v/>
      </c>
      <c r="S27" s="24">
        <f>ROUND((CEILING((L27*Premissas!$B$17/Premissas!$B$18-97)/100,1)*100+97)*Premissas!$B$18,2)</f>
        <v/>
      </c>
    </row>
    <row r="28">
      <c r="A28" s="17" t="inlineStr">
        <is>
          <t>KIT 29 MOD. 620W + INV. CHINT 15KW</t>
        </is>
      </c>
      <c r="B28" s="17" t="inlineStr">
        <is>
          <t>CHINT</t>
        </is>
      </c>
      <c r="C28" s="17" t="inlineStr">
        <is>
          <t>Inversor</t>
        </is>
      </c>
      <c r="D28" s="21" t="n">
        <v>29</v>
      </c>
      <c r="E28" s="30" t="n">
        <v>17.98</v>
      </c>
      <c r="F28" s="20" t="inlineStr">
        <is>
          <t>CHINT SCA15K-T-SA TRI 220V</t>
        </is>
      </c>
      <c r="G28" s="21" t="n">
        <v>1</v>
      </c>
      <c r="H28" s="17" t="inlineStr">
        <is>
          <t>Sim</t>
        </is>
      </c>
      <c r="I28" s="23" t="n">
        <v>46931.85</v>
      </c>
      <c r="J28" s="24">
        <f>(D28*Premissas!$B$24+(2*ROUNDUP(D28/2,0))*Premissas!$B$26+INT((2*ROUNDUP(D28/2,0))/4)*Premissas!$B$27+MOD((2*ROUNDUP(D28/2,0)),4)/2*Premissas!$B$28+2*IF(D28&lt;=19,3*D28,IF(D28&lt;=50,ROUNDUP(2.5*D28,0),2*D28))*Premissas!$B$29+IF(C28="Micro",G28*(Premissas!$B$31+Premissas!$B$32+4*Premissas!$B$30),G28*(INDEX(Premissas!$B$40:$B$71,MATCH(F28,Premissas!$A$40:$A$71,0))+INDEX(Premissas!$C$40:$C$71,MATCH(F28,Premissas!$A$40:$A$71,0))*Premissas!$B$30)))</f>
        <v/>
      </c>
      <c r="K28" s="24">
        <f>IF(J28&lt;Premissas!$B$36,MAX(Premissas!$B$33,J28*Premissas!$B$34),J28*Premissas!$B$35)</f>
        <v/>
      </c>
      <c r="L28" s="24">
        <f>ROUND(J28+K28,2)</f>
        <v/>
      </c>
      <c r="M28" s="24">
        <f>D28*Premissas!$B$8+Premissas!$B$9+Premissas!$B$10+Premissas!$B$11+Premissas!$B$12+ROUND(Premissas!$B$13*E28,2)</f>
        <v/>
      </c>
      <c r="N28" s="25">
        <f>ROUNDUP((L28+M28-Premissas!$B$5*L28)/(1-Premissas!$B$6-Premissas!$B$7-Premissas!$B$5-Premissas!$B$14),2)</f>
        <v/>
      </c>
      <c r="O28" s="24">
        <f>ROUND(IF(N28&lt;=30000,N28*(1+Premissas!$B$21),N28+Premissas!$B$21*30000*SQRT(N28/30000)),2)</f>
        <v/>
      </c>
      <c r="P28" s="24">
        <f>N28-I28</f>
        <v/>
      </c>
      <c r="Q28" s="26">
        <f>P28/I28</f>
        <v/>
      </c>
      <c r="R28" s="26">
        <f>(I28-L28-Premissas!$B$5*(I28-L28)-(Premissas!$B$6+Premissas!$B$7)*I28-M28)/I28</f>
        <v/>
      </c>
      <c r="S28" s="24">
        <f>ROUND((CEILING((L28*Premissas!$B$17/Premissas!$B$18-97)/100,1)*100+97)*Premissas!$B$18,2)</f>
        <v/>
      </c>
    </row>
    <row r="29">
      <c r="A29" s="17" t="inlineStr">
        <is>
          <t>KIT 30 MOD. 620W + INV. CHINT 15KW</t>
        </is>
      </c>
      <c r="B29" s="17" t="inlineStr">
        <is>
          <t>CHINT</t>
        </is>
      </c>
      <c r="C29" s="17" t="inlineStr">
        <is>
          <t>Inversor</t>
        </is>
      </c>
      <c r="D29" s="21" t="n">
        <v>30</v>
      </c>
      <c r="E29" s="30" t="n">
        <v>18.6</v>
      </c>
      <c r="F29" s="20" t="inlineStr">
        <is>
          <t>CHINT SCA15K-T-SA TRI 220V</t>
        </is>
      </c>
      <c r="G29" s="21" t="n">
        <v>1</v>
      </c>
      <c r="H29" s="17" t="inlineStr">
        <is>
          <t>Sim</t>
        </is>
      </c>
      <c r="I29" s="23" t="n">
        <v>47981.85</v>
      </c>
      <c r="J29" s="24">
        <f>(D29*Premissas!$B$24+(2*ROUNDUP(D29/2,0))*Premissas!$B$26+INT((2*ROUNDUP(D29/2,0))/4)*Premissas!$B$27+MOD((2*ROUNDUP(D29/2,0)),4)/2*Premissas!$B$28+2*IF(D29&lt;=19,3*D29,IF(D29&lt;=50,ROUNDUP(2.5*D29,0),2*D29))*Premissas!$B$29+IF(C29="Micro",G29*(Premissas!$B$31+Premissas!$B$32+4*Premissas!$B$30),G29*(INDEX(Premissas!$B$40:$B$71,MATCH(F29,Premissas!$A$40:$A$71,0))+INDEX(Premissas!$C$40:$C$71,MATCH(F29,Premissas!$A$40:$A$71,0))*Premissas!$B$30)))</f>
        <v/>
      </c>
      <c r="K29" s="24">
        <f>IF(J29&lt;Premissas!$B$36,MAX(Premissas!$B$33,J29*Premissas!$B$34),J29*Premissas!$B$35)</f>
        <v/>
      </c>
      <c r="L29" s="24">
        <f>ROUND(J29+K29,2)</f>
        <v/>
      </c>
      <c r="M29" s="24">
        <f>D29*Premissas!$B$8+Premissas!$B$9+Premissas!$B$10+Premissas!$B$11+Premissas!$B$12+ROUND(Premissas!$B$13*E29,2)</f>
        <v/>
      </c>
      <c r="N29" s="25">
        <f>ROUNDUP((L29+M29-Premissas!$B$5*L29)/(1-Premissas!$B$6-Premissas!$B$7-Premissas!$B$5-Premissas!$B$14),2)</f>
        <v/>
      </c>
      <c r="O29" s="24">
        <f>ROUND(IF(N29&lt;=30000,N29*(1+Premissas!$B$21),N29+Premissas!$B$21*30000*SQRT(N29/30000)),2)</f>
        <v/>
      </c>
      <c r="P29" s="24">
        <f>N29-I29</f>
        <v/>
      </c>
      <c r="Q29" s="26">
        <f>P29/I29</f>
        <v/>
      </c>
      <c r="R29" s="26">
        <f>(I29-L29-Premissas!$B$5*(I29-L29)-(Premissas!$B$6+Premissas!$B$7)*I29-M29)/I29</f>
        <v/>
      </c>
      <c r="S29" s="24">
        <f>ROUND((CEILING((L29*Premissas!$B$17/Premissas!$B$18-97)/100,1)*100+97)*Premissas!$B$18,2)</f>
        <v/>
      </c>
    </row>
    <row r="30">
      <c r="A30" s="17" t="inlineStr">
        <is>
          <t>KIT 31 MOD. 620W + INV. CHINT 15KW</t>
        </is>
      </c>
      <c r="B30" s="17" t="inlineStr">
        <is>
          <t>CHINT</t>
        </is>
      </c>
      <c r="C30" s="17" t="inlineStr">
        <is>
          <t>Inversor</t>
        </is>
      </c>
      <c r="D30" s="21" t="n">
        <v>31</v>
      </c>
      <c r="E30" s="30" t="n">
        <v>19.22</v>
      </c>
      <c r="F30" s="20" t="inlineStr">
        <is>
          <t>CHINT SCA15K-T-SA TRI 220V</t>
        </is>
      </c>
      <c r="G30" s="21" t="n">
        <v>1</v>
      </c>
      <c r="H30" s="17" t="inlineStr">
        <is>
          <t>Sim</t>
        </is>
      </c>
      <c r="I30" s="23" t="n">
        <v>49346.85</v>
      </c>
      <c r="J30" s="24">
        <f>(D30*Premissas!$B$24+(2*ROUNDUP(D30/2,0))*Premissas!$B$26+INT((2*ROUNDUP(D30/2,0))/4)*Premissas!$B$27+MOD((2*ROUNDUP(D30/2,0)),4)/2*Premissas!$B$28+2*IF(D30&lt;=19,3*D30,IF(D30&lt;=50,ROUNDUP(2.5*D30,0),2*D30))*Premissas!$B$29+IF(C30="Micro",G30*(Premissas!$B$31+Premissas!$B$32+4*Premissas!$B$30),G30*(INDEX(Premissas!$B$40:$B$71,MATCH(F30,Premissas!$A$40:$A$71,0))+INDEX(Premissas!$C$40:$C$71,MATCH(F30,Premissas!$A$40:$A$71,0))*Premissas!$B$30)))</f>
        <v/>
      </c>
      <c r="K30" s="24">
        <f>IF(J30&lt;Premissas!$B$36,MAX(Premissas!$B$33,J30*Premissas!$B$34),J30*Premissas!$B$35)</f>
        <v/>
      </c>
      <c r="L30" s="24">
        <f>ROUND(J30+K30,2)</f>
        <v/>
      </c>
      <c r="M30" s="24">
        <f>D30*Premissas!$B$8+Premissas!$B$9+Premissas!$B$10+Premissas!$B$11+Premissas!$B$12+ROUND(Premissas!$B$13*E30,2)</f>
        <v/>
      </c>
      <c r="N30" s="25">
        <f>ROUNDUP((L30+M30-Premissas!$B$5*L30)/(1-Premissas!$B$6-Premissas!$B$7-Premissas!$B$5-Premissas!$B$14),2)</f>
        <v/>
      </c>
      <c r="O30" s="24">
        <f>ROUND(IF(N30&lt;=30000,N30*(1+Premissas!$B$21),N30+Premissas!$B$21*30000*SQRT(N30/30000)),2)</f>
        <v/>
      </c>
      <c r="P30" s="24">
        <f>N30-I30</f>
        <v/>
      </c>
      <c r="Q30" s="26">
        <f>P30/I30</f>
        <v/>
      </c>
      <c r="R30" s="26">
        <f>(I30-L30-Premissas!$B$5*(I30-L30)-(Premissas!$B$6+Premissas!$B$7)*I30-M30)/I30</f>
        <v/>
      </c>
      <c r="S30" s="24">
        <f>ROUND((CEILING((L30*Premissas!$B$17/Premissas!$B$18-97)/100,1)*100+97)*Premissas!$B$18,2)</f>
        <v/>
      </c>
    </row>
    <row r="31">
      <c r="A31" s="17" t="inlineStr">
        <is>
          <t>KIT 32 MOD. 620W + INV. CHINT 15KW</t>
        </is>
      </c>
      <c r="B31" s="17" t="inlineStr">
        <is>
          <t>CHINT</t>
        </is>
      </c>
      <c r="C31" s="17" t="inlineStr">
        <is>
          <t>Inversor</t>
        </is>
      </c>
      <c r="D31" s="21" t="n">
        <v>32</v>
      </c>
      <c r="E31" s="30" t="n">
        <v>19.84</v>
      </c>
      <c r="F31" s="20" t="inlineStr">
        <is>
          <t>CHINT SCA15K-T-SA TRI 220V</t>
        </is>
      </c>
      <c r="G31" s="21" t="n">
        <v>1</v>
      </c>
      <c r="H31" s="17" t="inlineStr">
        <is>
          <t>Sim</t>
        </is>
      </c>
      <c r="I31" s="23" t="n">
        <v>50396.85</v>
      </c>
      <c r="J31" s="24">
        <f>(D31*Premissas!$B$24+(2*ROUNDUP(D31/2,0))*Premissas!$B$26+INT((2*ROUNDUP(D31/2,0))/4)*Premissas!$B$27+MOD((2*ROUNDUP(D31/2,0)),4)/2*Premissas!$B$28+2*IF(D31&lt;=19,3*D31,IF(D31&lt;=50,ROUNDUP(2.5*D31,0),2*D31))*Premissas!$B$29+IF(C31="Micro",G31*(Premissas!$B$31+Premissas!$B$32+4*Premissas!$B$30),G31*(INDEX(Premissas!$B$40:$B$71,MATCH(F31,Premissas!$A$40:$A$71,0))+INDEX(Premissas!$C$40:$C$71,MATCH(F31,Premissas!$A$40:$A$71,0))*Premissas!$B$30)))</f>
        <v/>
      </c>
      <c r="K31" s="24">
        <f>IF(J31&lt;Premissas!$B$36,MAX(Premissas!$B$33,J31*Premissas!$B$34),J31*Premissas!$B$35)</f>
        <v/>
      </c>
      <c r="L31" s="24">
        <f>ROUND(J31+K31,2)</f>
        <v/>
      </c>
      <c r="M31" s="24">
        <f>D31*Premissas!$B$8+Premissas!$B$9+Premissas!$B$10+Premissas!$B$11+Premissas!$B$12+ROUND(Premissas!$B$13*E31,2)</f>
        <v/>
      </c>
      <c r="N31" s="25">
        <f>ROUNDUP((L31+M31-Premissas!$B$5*L31)/(1-Premissas!$B$6-Premissas!$B$7-Premissas!$B$5-Premissas!$B$14),2)</f>
        <v/>
      </c>
      <c r="O31" s="24">
        <f>ROUND(IF(N31&lt;=30000,N31*(1+Premissas!$B$21),N31+Premissas!$B$21*30000*SQRT(N31/30000)),2)</f>
        <v/>
      </c>
      <c r="P31" s="24">
        <f>N31-I31</f>
        <v/>
      </c>
      <c r="Q31" s="26">
        <f>P31/I31</f>
        <v/>
      </c>
      <c r="R31" s="26">
        <f>(I31-L31-Premissas!$B$5*(I31-L31)-(Premissas!$B$6+Premissas!$B$7)*I31-M31)/I31</f>
        <v/>
      </c>
      <c r="S31" s="24">
        <f>ROUND((CEILING((L31*Premissas!$B$17/Premissas!$B$18-97)/100,1)*100+97)*Premissas!$B$18,2)</f>
        <v/>
      </c>
    </row>
    <row r="32">
      <c r="A32" s="17" t="inlineStr">
        <is>
          <t>KIT 33 MOD. 620W + INV. CHINT 15KW</t>
        </is>
      </c>
      <c r="B32" s="17" t="inlineStr">
        <is>
          <t>CHINT</t>
        </is>
      </c>
      <c r="C32" s="17" t="inlineStr">
        <is>
          <t>Inversor</t>
        </is>
      </c>
      <c r="D32" s="21" t="n">
        <v>33</v>
      </c>
      <c r="E32" s="30" t="n">
        <v>20.46</v>
      </c>
      <c r="F32" s="20" t="inlineStr">
        <is>
          <t>CHINT SCA15K-T-SA TRI 220V</t>
        </is>
      </c>
      <c r="G32" s="21" t="n">
        <v>1</v>
      </c>
      <c r="H32" s="17" t="inlineStr">
        <is>
          <t>Sim</t>
        </is>
      </c>
      <c r="I32" s="23" t="n">
        <v>51761.85</v>
      </c>
      <c r="J32" s="24">
        <f>(D32*Premissas!$B$24+(2*ROUNDUP(D32/2,0))*Premissas!$B$26+INT((2*ROUNDUP(D32/2,0))/4)*Premissas!$B$27+MOD((2*ROUNDUP(D32/2,0)),4)/2*Premissas!$B$28+2*IF(D32&lt;=19,3*D32,IF(D32&lt;=50,ROUNDUP(2.5*D32,0),2*D32))*Premissas!$B$29+IF(C32="Micro",G32*(Premissas!$B$31+Premissas!$B$32+4*Premissas!$B$30),G32*(INDEX(Premissas!$B$40:$B$71,MATCH(F32,Premissas!$A$40:$A$71,0))+INDEX(Premissas!$C$40:$C$71,MATCH(F32,Premissas!$A$40:$A$71,0))*Premissas!$B$30)))</f>
        <v/>
      </c>
      <c r="K32" s="24">
        <f>IF(J32&lt;Premissas!$B$36,MAX(Premissas!$B$33,J32*Premissas!$B$34),J32*Premissas!$B$35)</f>
        <v/>
      </c>
      <c r="L32" s="24">
        <f>ROUND(J32+K32,2)</f>
        <v/>
      </c>
      <c r="M32" s="24">
        <f>D32*Premissas!$B$8+Premissas!$B$9+Premissas!$B$10+Premissas!$B$11+Premissas!$B$12+ROUND(Premissas!$B$13*E32,2)</f>
        <v/>
      </c>
      <c r="N32" s="25">
        <f>ROUNDUP((L32+M32-Premissas!$B$5*L32)/(1-Premissas!$B$6-Premissas!$B$7-Premissas!$B$5-Premissas!$B$14),2)</f>
        <v/>
      </c>
      <c r="O32" s="24">
        <f>ROUND(IF(N32&lt;=30000,N32*(1+Premissas!$B$21),N32+Premissas!$B$21*30000*SQRT(N32/30000)),2)</f>
        <v/>
      </c>
      <c r="P32" s="24">
        <f>N32-I32</f>
        <v/>
      </c>
      <c r="Q32" s="26">
        <f>P32/I32</f>
        <v/>
      </c>
      <c r="R32" s="26">
        <f>(I32-L32-Premissas!$B$5*(I32-L32)-(Premissas!$B$6+Premissas!$B$7)*I32-M32)/I32</f>
        <v/>
      </c>
      <c r="S32" s="24">
        <f>ROUND((CEILING((L32*Premissas!$B$17/Premissas!$B$18-97)/100,1)*100+97)*Premissas!$B$18,2)</f>
        <v/>
      </c>
    </row>
    <row r="33">
      <c r="A33" s="17" t="inlineStr">
        <is>
          <t>KIT 34 MOD. 620W + INV. CHINT 15KW</t>
        </is>
      </c>
      <c r="B33" s="17" t="inlineStr">
        <is>
          <t>CHINT</t>
        </is>
      </c>
      <c r="C33" s="17" t="inlineStr">
        <is>
          <t>Inversor</t>
        </is>
      </c>
      <c r="D33" s="21" t="n">
        <v>34</v>
      </c>
      <c r="E33" s="30" t="n">
        <v>21.08</v>
      </c>
      <c r="F33" s="20" t="inlineStr">
        <is>
          <t>CHINT SCA15K-T-SA TRI 220V</t>
        </is>
      </c>
      <c r="G33" s="21" t="n">
        <v>1</v>
      </c>
      <c r="H33" s="17" t="inlineStr">
        <is>
          <t>Sim</t>
        </is>
      </c>
      <c r="I33" s="23" t="n">
        <v>52706.85</v>
      </c>
      <c r="J33" s="24">
        <f>(D33*Premissas!$B$24+(2*ROUNDUP(D33/2,0))*Premissas!$B$26+INT((2*ROUNDUP(D33/2,0))/4)*Premissas!$B$27+MOD((2*ROUNDUP(D33/2,0)),4)/2*Premissas!$B$28+2*IF(D33&lt;=19,3*D33,IF(D33&lt;=50,ROUNDUP(2.5*D33,0),2*D33))*Premissas!$B$29+IF(C33="Micro",G33*(Premissas!$B$31+Premissas!$B$32+4*Premissas!$B$30),G33*(INDEX(Premissas!$B$40:$B$71,MATCH(F33,Premissas!$A$40:$A$71,0))+INDEX(Premissas!$C$40:$C$71,MATCH(F33,Premissas!$A$40:$A$71,0))*Premissas!$B$30)))</f>
        <v/>
      </c>
      <c r="K33" s="24">
        <f>IF(J33&lt;Premissas!$B$36,MAX(Premissas!$B$33,J33*Premissas!$B$34),J33*Premissas!$B$35)</f>
        <v/>
      </c>
      <c r="L33" s="24">
        <f>ROUND(J33+K33,2)</f>
        <v/>
      </c>
      <c r="M33" s="24">
        <f>D33*Premissas!$B$8+Premissas!$B$9+Premissas!$B$10+Premissas!$B$11+Premissas!$B$12+ROUND(Premissas!$B$13*E33,2)</f>
        <v/>
      </c>
      <c r="N33" s="25">
        <f>ROUNDUP((L33+M33-Premissas!$B$5*L33)/(1-Premissas!$B$6-Premissas!$B$7-Premissas!$B$5-Premissas!$B$14),2)</f>
        <v/>
      </c>
      <c r="O33" s="24">
        <f>ROUND(IF(N33&lt;=30000,N33*(1+Premissas!$B$21),N33+Premissas!$B$21*30000*SQRT(N33/30000)),2)</f>
        <v/>
      </c>
      <c r="P33" s="24">
        <f>N33-I33</f>
        <v/>
      </c>
      <c r="Q33" s="26">
        <f>P33/I33</f>
        <v/>
      </c>
      <c r="R33" s="26">
        <f>(I33-L33-Premissas!$B$5*(I33-L33)-(Premissas!$B$6+Premissas!$B$7)*I33-M33)/I33</f>
        <v/>
      </c>
      <c r="S33" s="24">
        <f>ROUND((CEILING((L33*Premissas!$B$17/Premissas!$B$18-97)/100,1)*100+97)*Premissas!$B$18,2)</f>
        <v/>
      </c>
    </row>
    <row r="34">
      <c r="A34" s="17" t="inlineStr">
        <is>
          <t>KIT 35 MOD. 620W + INV. CHINT 15KW</t>
        </is>
      </c>
      <c r="B34" s="17" t="inlineStr">
        <is>
          <t>CHINT</t>
        </is>
      </c>
      <c r="C34" s="17" t="inlineStr">
        <is>
          <t>Inversor</t>
        </is>
      </c>
      <c r="D34" s="21" t="n">
        <v>35</v>
      </c>
      <c r="E34" s="30" t="n">
        <v>21.7</v>
      </c>
      <c r="F34" s="20" t="inlineStr">
        <is>
          <t>CHINT SCA15K-T-SA TRI 220V</t>
        </is>
      </c>
      <c r="G34" s="21" t="n">
        <v>1</v>
      </c>
      <c r="H34" s="17" t="inlineStr">
        <is>
          <t>Sim</t>
        </is>
      </c>
      <c r="I34" s="23" t="n">
        <v>54071.85</v>
      </c>
      <c r="J34" s="24">
        <f>(D34*Premissas!$B$24+(2*ROUNDUP(D34/2,0))*Premissas!$B$26+INT((2*ROUNDUP(D34/2,0))/4)*Premissas!$B$27+MOD((2*ROUNDUP(D34/2,0)),4)/2*Premissas!$B$28+2*IF(D34&lt;=19,3*D34,IF(D34&lt;=50,ROUNDUP(2.5*D34,0),2*D34))*Premissas!$B$29+IF(C34="Micro",G34*(Premissas!$B$31+Premissas!$B$32+4*Premissas!$B$30),G34*(INDEX(Premissas!$B$40:$B$71,MATCH(F34,Premissas!$A$40:$A$71,0))+INDEX(Premissas!$C$40:$C$71,MATCH(F34,Premissas!$A$40:$A$71,0))*Premissas!$B$30)))</f>
        <v/>
      </c>
      <c r="K34" s="24">
        <f>IF(J34&lt;Premissas!$B$36,MAX(Premissas!$B$33,J34*Premissas!$B$34),J34*Premissas!$B$35)</f>
        <v/>
      </c>
      <c r="L34" s="24">
        <f>ROUND(J34+K34,2)</f>
        <v/>
      </c>
      <c r="M34" s="24">
        <f>D34*Premissas!$B$8+Premissas!$B$9+Premissas!$B$10+Premissas!$B$11+Premissas!$B$12+ROUND(Premissas!$B$13*E34,2)</f>
        <v/>
      </c>
      <c r="N34" s="25">
        <f>ROUNDUP((L34+M34-Premissas!$B$5*L34)/(1-Premissas!$B$6-Premissas!$B$7-Premissas!$B$5-Premissas!$B$14),2)</f>
        <v/>
      </c>
      <c r="O34" s="24">
        <f>ROUND(IF(N34&lt;=30000,N34*(1+Premissas!$B$21),N34+Premissas!$B$21*30000*SQRT(N34/30000)),2)</f>
        <v/>
      </c>
      <c r="P34" s="24">
        <f>N34-I34</f>
        <v/>
      </c>
      <c r="Q34" s="26">
        <f>P34/I34</f>
        <v/>
      </c>
      <c r="R34" s="26">
        <f>(I34-L34-Premissas!$B$5*(I34-L34)-(Premissas!$B$6+Premissas!$B$7)*I34-M34)/I34</f>
        <v/>
      </c>
      <c r="S34" s="24">
        <f>ROUND((CEILING((L34*Premissas!$B$17/Premissas!$B$18-97)/100,1)*100+97)*Premissas!$B$18,2)</f>
        <v/>
      </c>
    </row>
    <row r="35">
      <c r="A35" s="17" t="inlineStr">
        <is>
          <t>KIT 36 MOD. 620W + INV. CHINT 15KW</t>
        </is>
      </c>
      <c r="B35" s="17" t="inlineStr">
        <is>
          <t>CHINT</t>
        </is>
      </c>
      <c r="C35" s="17" t="inlineStr">
        <is>
          <t>Inversor</t>
        </is>
      </c>
      <c r="D35" s="21" t="n">
        <v>36</v>
      </c>
      <c r="E35" s="30" t="n">
        <v>22.32</v>
      </c>
      <c r="F35" s="20" t="inlineStr">
        <is>
          <t>CHINT SCA15K-T-SA TRI 220V</t>
        </is>
      </c>
      <c r="G35" s="21" t="n">
        <v>1</v>
      </c>
      <c r="H35" s="17" t="inlineStr">
        <is>
          <t>Sim</t>
        </is>
      </c>
      <c r="I35" s="23" t="n">
        <v>55121.85</v>
      </c>
      <c r="J35" s="24">
        <f>(D35*Premissas!$B$24+(2*ROUNDUP(D35/2,0))*Premissas!$B$26+INT((2*ROUNDUP(D35/2,0))/4)*Premissas!$B$27+MOD((2*ROUNDUP(D35/2,0)),4)/2*Premissas!$B$28+2*IF(D35&lt;=19,3*D35,IF(D35&lt;=50,ROUNDUP(2.5*D35,0),2*D35))*Premissas!$B$29+IF(C35="Micro",G35*(Premissas!$B$31+Premissas!$B$32+4*Premissas!$B$30),G35*(INDEX(Premissas!$B$40:$B$71,MATCH(F35,Premissas!$A$40:$A$71,0))+INDEX(Premissas!$C$40:$C$71,MATCH(F35,Premissas!$A$40:$A$71,0))*Premissas!$B$30)))</f>
        <v/>
      </c>
      <c r="K35" s="24">
        <f>IF(J35&lt;Premissas!$B$36,MAX(Premissas!$B$33,J35*Premissas!$B$34),J35*Premissas!$B$35)</f>
        <v/>
      </c>
      <c r="L35" s="24">
        <f>ROUND(J35+K35,2)</f>
        <v/>
      </c>
      <c r="M35" s="24">
        <f>D35*Premissas!$B$8+Premissas!$B$9+Premissas!$B$10+Premissas!$B$11+Premissas!$B$12+ROUND(Premissas!$B$13*E35,2)</f>
        <v/>
      </c>
      <c r="N35" s="25">
        <f>ROUNDUP((L35+M35-Premissas!$B$5*L35)/(1-Premissas!$B$6-Premissas!$B$7-Premissas!$B$5-Premissas!$B$14),2)</f>
        <v/>
      </c>
      <c r="O35" s="24">
        <f>ROUND(IF(N35&lt;=30000,N35*(1+Premissas!$B$21),N35+Premissas!$B$21*30000*SQRT(N35/30000)),2)</f>
        <v/>
      </c>
      <c r="P35" s="24">
        <f>N35-I35</f>
        <v/>
      </c>
      <c r="Q35" s="26">
        <f>P35/I35</f>
        <v/>
      </c>
      <c r="R35" s="26">
        <f>(I35-L35-Premissas!$B$5*(I35-L35)-(Premissas!$B$6+Premissas!$B$7)*I35-M35)/I35</f>
        <v/>
      </c>
      <c r="S35" s="24">
        <f>ROUND((CEILING((L35*Premissas!$B$17/Premissas!$B$18-97)/100,1)*100+97)*Premissas!$B$18,2)</f>
        <v/>
      </c>
    </row>
    <row r="36">
      <c r="A36" s="17" t="inlineStr">
        <is>
          <t>KIT 37 MOD. 620W + INV. CHINT 20KW</t>
        </is>
      </c>
      <c r="B36" s="17" t="inlineStr">
        <is>
          <t>CHINT</t>
        </is>
      </c>
      <c r="C36" s="17" t="inlineStr">
        <is>
          <t>Inversor</t>
        </is>
      </c>
      <c r="D36" s="21" t="n">
        <v>37</v>
      </c>
      <c r="E36" s="30" t="n">
        <v>22.94</v>
      </c>
      <c r="F36" s="20" t="inlineStr">
        <is>
          <t>CHINT SCA20K-T-SA TRI 220V</t>
        </is>
      </c>
      <c r="G36" s="21" t="n">
        <v>1</v>
      </c>
      <c r="H36" s="17" t="inlineStr">
        <is>
          <t>Sim</t>
        </is>
      </c>
      <c r="I36" s="23" t="n">
        <v>56696.85</v>
      </c>
      <c r="J36" s="24">
        <f>(D36*Premissas!$B$24+(2*ROUNDUP(D36/2,0))*Premissas!$B$26+INT((2*ROUNDUP(D36/2,0))/4)*Premissas!$B$27+MOD((2*ROUNDUP(D36/2,0)),4)/2*Premissas!$B$28+2*IF(D36&lt;=19,3*D36,IF(D36&lt;=50,ROUNDUP(2.5*D36,0),2*D36))*Premissas!$B$29+IF(C36="Micro",G36*(Premissas!$B$31+Premissas!$B$32+4*Premissas!$B$30),G36*(INDEX(Premissas!$B$40:$B$71,MATCH(F36,Premissas!$A$40:$A$71,0))+INDEX(Premissas!$C$40:$C$71,MATCH(F36,Premissas!$A$40:$A$71,0))*Premissas!$B$30)))</f>
        <v/>
      </c>
      <c r="K36" s="24">
        <f>IF(J36&lt;Premissas!$B$36,MAX(Premissas!$B$33,J36*Premissas!$B$34),J36*Premissas!$B$35)</f>
        <v/>
      </c>
      <c r="L36" s="24">
        <f>ROUND(J36+K36,2)</f>
        <v/>
      </c>
      <c r="M36" s="24">
        <f>D36*Premissas!$B$8+Premissas!$B$9+Premissas!$B$10+Premissas!$B$11+Premissas!$B$12+ROUND(Premissas!$B$13*E36,2)</f>
        <v/>
      </c>
      <c r="N36" s="25">
        <f>ROUNDUP((L36+M36-Premissas!$B$5*L36)/(1-Premissas!$B$6-Premissas!$B$7-Premissas!$B$5-Premissas!$B$14),2)</f>
        <v/>
      </c>
      <c r="O36" s="24">
        <f>ROUND(IF(N36&lt;=30000,N36*(1+Premissas!$B$21),N36+Premissas!$B$21*30000*SQRT(N36/30000)),2)</f>
        <v/>
      </c>
      <c r="P36" s="24">
        <f>N36-I36</f>
        <v/>
      </c>
      <c r="Q36" s="26">
        <f>P36/I36</f>
        <v/>
      </c>
      <c r="R36" s="26">
        <f>(I36-L36-Premissas!$B$5*(I36-L36)-(Premissas!$B$6+Premissas!$B$7)*I36-M36)/I36</f>
        <v/>
      </c>
      <c r="S36" s="24">
        <f>ROUND((CEILING((L36*Premissas!$B$17/Premissas!$B$18-97)/100,1)*100+97)*Premissas!$B$18,2)</f>
        <v/>
      </c>
    </row>
    <row r="37">
      <c r="A37" s="17" t="inlineStr">
        <is>
          <t>KIT 38 MOD. 620W + INV. CHINT 20KW</t>
        </is>
      </c>
      <c r="B37" s="17" t="inlineStr">
        <is>
          <t>CHINT</t>
        </is>
      </c>
      <c r="C37" s="17" t="inlineStr">
        <is>
          <t>Inversor</t>
        </is>
      </c>
      <c r="D37" s="21" t="n">
        <v>38</v>
      </c>
      <c r="E37" s="30" t="n">
        <v>23.56</v>
      </c>
      <c r="F37" s="20" t="inlineStr">
        <is>
          <t>CHINT SCA20K-T-SA TRI 220V</t>
        </is>
      </c>
      <c r="G37" s="21" t="n">
        <v>1</v>
      </c>
      <c r="H37" s="17" t="inlineStr">
        <is>
          <t>Sim</t>
        </is>
      </c>
      <c r="I37" s="23" t="n">
        <v>57641.85</v>
      </c>
      <c r="J37" s="24">
        <f>(D37*Premissas!$B$24+(2*ROUNDUP(D37/2,0))*Premissas!$B$26+INT((2*ROUNDUP(D37/2,0))/4)*Premissas!$B$27+MOD((2*ROUNDUP(D37/2,0)),4)/2*Premissas!$B$28+2*IF(D37&lt;=19,3*D37,IF(D37&lt;=50,ROUNDUP(2.5*D37,0),2*D37))*Premissas!$B$29+IF(C37="Micro",G37*(Premissas!$B$31+Premissas!$B$32+4*Premissas!$B$30),G37*(INDEX(Premissas!$B$40:$B$71,MATCH(F37,Premissas!$A$40:$A$71,0))+INDEX(Premissas!$C$40:$C$71,MATCH(F37,Premissas!$A$40:$A$71,0))*Premissas!$B$30)))</f>
        <v/>
      </c>
      <c r="K37" s="24">
        <f>IF(J37&lt;Premissas!$B$36,MAX(Premissas!$B$33,J37*Premissas!$B$34),J37*Premissas!$B$35)</f>
        <v/>
      </c>
      <c r="L37" s="24">
        <f>ROUND(J37+K37,2)</f>
        <v/>
      </c>
      <c r="M37" s="24">
        <f>D37*Premissas!$B$8+Premissas!$B$9+Premissas!$B$10+Premissas!$B$11+Premissas!$B$12+ROUND(Premissas!$B$13*E37,2)</f>
        <v/>
      </c>
      <c r="N37" s="25">
        <f>ROUNDUP((L37+M37-Premissas!$B$5*L37)/(1-Premissas!$B$6-Premissas!$B$7-Premissas!$B$5-Premissas!$B$14),2)</f>
        <v/>
      </c>
      <c r="O37" s="24">
        <f>ROUND(IF(N37&lt;=30000,N37*(1+Premissas!$B$21),N37+Premissas!$B$21*30000*SQRT(N37/30000)),2)</f>
        <v/>
      </c>
      <c r="P37" s="24">
        <f>N37-I37</f>
        <v/>
      </c>
      <c r="Q37" s="26">
        <f>P37/I37</f>
        <v/>
      </c>
      <c r="R37" s="26">
        <f>(I37-L37-Premissas!$B$5*(I37-L37)-(Premissas!$B$6+Premissas!$B$7)*I37-M37)/I37</f>
        <v/>
      </c>
      <c r="S37" s="24">
        <f>ROUND((CEILING((L37*Premissas!$B$17/Premissas!$B$18-97)/100,1)*100+97)*Premissas!$B$18,2)</f>
        <v/>
      </c>
    </row>
    <row r="38">
      <c r="A38" s="17" t="inlineStr">
        <is>
          <t>KIT 39 MOD. 620W + INV. CHINT 20KW</t>
        </is>
      </c>
      <c r="B38" s="17" t="inlineStr">
        <is>
          <t>CHINT</t>
        </is>
      </c>
      <c r="C38" s="17" t="inlineStr">
        <is>
          <t>Inversor</t>
        </is>
      </c>
      <c r="D38" s="21" t="n">
        <v>39</v>
      </c>
      <c r="E38" s="30" t="n">
        <v>24.18</v>
      </c>
      <c r="F38" s="20" t="inlineStr">
        <is>
          <t>CHINT SCA20K-T-SA TRI 220V</t>
        </is>
      </c>
      <c r="G38" s="21" t="n">
        <v>1</v>
      </c>
      <c r="H38" s="17" t="inlineStr">
        <is>
          <t>Sim</t>
        </is>
      </c>
      <c r="I38" s="23" t="n">
        <v>59006.85</v>
      </c>
      <c r="J38" s="24">
        <f>(D38*Premissas!$B$24+(2*ROUNDUP(D38/2,0))*Premissas!$B$26+INT((2*ROUNDUP(D38/2,0))/4)*Premissas!$B$27+MOD((2*ROUNDUP(D38/2,0)),4)/2*Premissas!$B$28+2*IF(D38&lt;=19,3*D38,IF(D38&lt;=50,ROUNDUP(2.5*D38,0),2*D38))*Premissas!$B$29+IF(C38="Micro",G38*(Premissas!$B$31+Premissas!$B$32+4*Premissas!$B$30),G38*(INDEX(Premissas!$B$40:$B$71,MATCH(F38,Premissas!$A$40:$A$71,0))+INDEX(Premissas!$C$40:$C$71,MATCH(F38,Premissas!$A$40:$A$71,0))*Premissas!$B$30)))</f>
        <v/>
      </c>
      <c r="K38" s="24">
        <f>IF(J38&lt;Premissas!$B$36,MAX(Premissas!$B$33,J38*Premissas!$B$34),J38*Premissas!$B$35)</f>
        <v/>
      </c>
      <c r="L38" s="24">
        <f>ROUND(J38+K38,2)</f>
        <v/>
      </c>
      <c r="M38" s="24">
        <f>D38*Premissas!$B$8+Premissas!$B$9+Premissas!$B$10+Premissas!$B$11+Premissas!$B$12+ROUND(Premissas!$B$13*E38,2)</f>
        <v/>
      </c>
      <c r="N38" s="25">
        <f>ROUNDUP((L38+M38-Premissas!$B$5*L38)/(1-Premissas!$B$6-Premissas!$B$7-Premissas!$B$5-Premissas!$B$14),2)</f>
        <v/>
      </c>
      <c r="O38" s="24">
        <f>ROUND(IF(N38&lt;=30000,N38*(1+Premissas!$B$21),N38+Premissas!$B$21*30000*SQRT(N38/30000)),2)</f>
        <v/>
      </c>
      <c r="P38" s="24">
        <f>N38-I38</f>
        <v/>
      </c>
      <c r="Q38" s="26">
        <f>P38/I38</f>
        <v/>
      </c>
      <c r="R38" s="26">
        <f>(I38-L38-Premissas!$B$5*(I38-L38)-(Premissas!$B$6+Premissas!$B$7)*I38-M38)/I38</f>
        <v/>
      </c>
      <c r="S38" s="24">
        <f>ROUND((CEILING((L38*Premissas!$B$17/Premissas!$B$18-97)/100,1)*100+97)*Premissas!$B$18,2)</f>
        <v/>
      </c>
    </row>
    <row r="39">
      <c r="A39" s="17" t="inlineStr">
        <is>
          <t>KIT 40 MOD. 620W + INV. CHINT 20KW</t>
        </is>
      </c>
      <c r="B39" s="17" t="inlineStr">
        <is>
          <t>CHINT</t>
        </is>
      </c>
      <c r="C39" s="17" t="inlineStr">
        <is>
          <t>Inversor</t>
        </is>
      </c>
      <c r="D39" s="21" t="n">
        <v>40</v>
      </c>
      <c r="E39" s="30" t="n">
        <v>24.8</v>
      </c>
      <c r="F39" s="20" t="inlineStr">
        <is>
          <t>CHINT SCA20K-T-SA TRI 220V</t>
        </is>
      </c>
      <c r="G39" s="21" t="n">
        <v>1</v>
      </c>
      <c r="H39" s="17" t="inlineStr">
        <is>
          <t>Sim</t>
        </is>
      </c>
      <c r="I39" s="23" t="n">
        <v>60056.85</v>
      </c>
      <c r="J39" s="24">
        <f>(D39*Premissas!$B$24+(2*ROUNDUP(D39/2,0))*Premissas!$B$26+INT((2*ROUNDUP(D39/2,0))/4)*Premissas!$B$27+MOD((2*ROUNDUP(D39/2,0)),4)/2*Premissas!$B$28+2*IF(D39&lt;=19,3*D39,IF(D39&lt;=50,ROUNDUP(2.5*D39,0),2*D39))*Premissas!$B$29+IF(C39="Micro",G39*(Premissas!$B$31+Premissas!$B$32+4*Premissas!$B$30),G39*(INDEX(Premissas!$B$40:$B$71,MATCH(F39,Premissas!$A$40:$A$71,0))+INDEX(Premissas!$C$40:$C$71,MATCH(F39,Premissas!$A$40:$A$71,0))*Premissas!$B$30)))</f>
        <v/>
      </c>
      <c r="K39" s="24">
        <f>IF(J39&lt;Premissas!$B$36,MAX(Premissas!$B$33,J39*Premissas!$B$34),J39*Premissas!$B$35)</f>
        <v/>
      </c>
      <c r="L39" s="24">
        <f>ROUND(J39+K39,2)</f>
        <v/>
      </c>
      <c r="M39" s="24">
        <f>D39*Premissas!$B$8+Premissas!$B$9+Premissas!$B$10+Premissas!$B$11+Premissas!$B$12+ROUND(Premissas!$B$13*E39,2)</f>
        <v/>
      </c>
      <c r="N39" s="25">
        <f>ROUNDUP((L39+M39-Premissas!$B$5*L39)/(1-Premissas!$B$6-Premissas!$B$7-Premissas!$B$5-Premissas!$B$14),2)</f>
        <v/>
      </c>
      <c r="O39" s="24">
        <f>ROUND(IF(N39&lt;=30000,N39*(1+Premissas!$B$21),N39+Premissas!$B$21*30000*SQRT(N39/30000)),2)</f>
        <v/>
      </c>
      <c r="P39" s="24">
        <f>N39-I39</f>
        <v/>
      </c>
      <c r="Q39" s="26">
        <f>P39/I39</f>
        <v/>
      </c>
      <c r="R39" s="26">
        <f>(I39-L39-Premissas!$B$5*(I39-L39)-(Premissas!$B$6+Premissas!$B$7)*I39-M39)/I39</f>
        <v/>
      </c>
      <c r="S39" s="24">
        <f>ROUND((CEILING((L39*Premissas!$B$17/Premissas!$B$18-97)/100,1)*100+97)*Premissas!$B$18,2)</f>
        <v/>
      </c>
    </row>
    <row r="40">
      <c r="A40" s="17" t="inlineStr">
        <is>
          <t>KIT 41 MOD. 620W + INV. CHINT 20KW</t>
        </is>
      </c>
      <c r="B40" s="17" t="inlineStr">
        <is>
          <t>CHINT</t>
        </is>
      </c>
      <c r="C40" s="17" t="inlineStr">
        <is>
          <t>Inversor</t>
        </is>
      </c>
      <c r="D40" s="21" t="n">
        <v>41</v>
      </c>
      <c r="E40" s="30" t="n">
        <v>25.42</v>
      </c>
      <c r="F40" s="20" t="inlineStr">
        <is>
          <t>CHINT SCA20K-T-SA TRI 220V</t>
        </is>
      </c>
      <c r="G40" s="21" t="n">
        <v>1</v>
      </c>
      <c r="H40" s="17" t="inlineStr">
        <is>
          <t>Sim</t>
        </is>
      </c>
      <c r="I40" s="23" t="n">
        <v>61421.85</v>
      </c>
      <c r="J40" s="24">
        <f>(D40*Premissas!$B$24+(2*ROUNDUP(D40/2,0))*Premissas!$B$26+INT((2*ROUNDUP(D40/2,0))/4)*Premissas!$B$27+MOD((2*ROUNDUP(D40/2,0)),4)/2*Premissas!$B$28+2*IF(D40&lt;=19,3*D40,IF(D40&lt;=50,ROUNDUP(2.5*D40,0),2*D40))*Premissas!$B$29+IF(C40="Micro",G40*(Premissas!$B$31+Premissas!$B$32+4*Premissas!$B$30),G40*(INDEX(Premissas!$B$40:$B$71,MATCH(F40,Premissas!$A$40:$A$71,0))+INDEX(Premissas!$C$40:$C$71,MATCH(F40,Premissas!$A$40:$A$71,0))*Premissas!$B$30)))</f>
        <v/>
      </c>
      <c r="K40" s="24">
        <f>IF(J40&lt;Premissas!$B$36,MAX(Premissas!$B$33,J40*Premissas!$B$34),J40*Premissas!$B$35)</f>
        <v/>
      </c>
      <c r="L40" s="24">
        <f>ROUND(J40+K40,2)</f>
        <v/>
      </c>
      <c r="M40" s="24">
        <f>D40*Premissas!$B$8+Premissas!$B$9+Premissas!$B$10+Premissas!$B$11+Premissas!$B$12+ROUND(Premissas!$B$13*E40,2)</f>
        <v/>
      </c>
      <c r="N40" s="25">
        <f>ROUNDUP((L40+M40-Premissas!$B$5*L40)/(1-Premissas!$B$6-Premissas!$B$7-Premissas!$B$5-Premissas!$B$14),2)</f>
        <v/>
      </c>
      <c r="O40" s="24">
        <f>ROUND(IF(N40&lt;=30000,N40*(1+Premissas!$B$21),N40+Premissas!$B$21*30000*SQRT(N40/30000)),2)</f>
        <v/>
      </c>
      <c r="P40" s="24">
        <f>N40-I40</f>
        <v/>
      </c>
      <c r="Q40" s="26">
        <f>P40/I40</f>
        <v/>
      </c>
      <c r="R40" s="26">
        <f>(I40-L40-Premissas!$B$5*(I40-L40)-(Premissas!$B$6+Premissas!$B$7)*I40-M40)/I40</f>
        <v/>
      </c>
      <c r="S40" s="24">
        <f>ROUND((CEILING((L40*Premissas!$B$17/Premissas!$B$18-97)/100,1)*100+97)*Premissas!$B$18,2)</f>
        <v/>
      </c>
    </row>
    <row r="41">
      <c r="A41" s="17" t="inlineStr">
        <is>
          <t>KIT 42 MOD. 620W + INV. CHINT 20KW</t>
        </is>
      </c>
      <c r="B41" s="17" t="inlineStr">
        <is>
          <t>CHINT</t>
        </is>
      </c>
      <c r="C41" s="17" t="inlineStr">
        <is>
          <t>Inversor</t>
        </is>
      </c>
      <c r="D41" s="21" t="n">
        <v>42</v>
      </c>
      <c r="E41" s="30" t="n">
        <v>26.04</v>
      </c>
      <c r="F41" s="20" t="inlineStr">
        <is>
          <t>CHINT SCA20K-T-SA TRI 220V</t>
        </is>
      </c>
      <c r="G41" s="21" t="n">
        <v>1</v>
      </c>
      <c r="H41" s="17" t="inlineStr">
        <is>
          <t>Sim</t>
        </is>
      </c>
      <c r="I41" s="23" t="n">
        <v>62366.85</v>
      </c>
      <c r="J41" s="24">
        <f>(D41*Premissas!$B$24+(2*ROUNDUP(D41/2,0))*Premissas!$B$26+INT((2*ROUNDUP(D41/2,0))/4)*Premissas!$B$27+MOD((2*ROUNDUP(D41/2,0)),4)/2*Premissas!$B$28+2*IF(D41&lt;=19,3*D41,IF(D41&lt;=50,ROUNDUP(2.5*D41,0),2*D41))*Premissas!$B$29+IF(C41="Micro",G41*(Premissas!$B$31+Premissas!$B$32+4*Premissas!$B$30),G41*(INDEX(Premissas!$B$40:$B$71,MATCH(F41,Premissas!$A$40:$A$71,0))+INDEX(Premissas!$C$40:$C$71,MATCH(F41,Premissas!$A$40:$A$71,0))*Premissas!$B$30)))</f>
        <v/>
      </c>
      <c r="K41" s="24">
        <f>IF(J41&lt;Premissas!$B$36,MAX(Premissas!$B$33,J41*Premissas!$B$34),J41*Premissas!$B$35)</f>
        <v/>
      </c>
      <c r="L41" s="24">
        <f>ROUND(J41+K41,2)</f>
        <v/>
      </c>
      <c r="M41" s="24">
        <f>D41*Premissas!$B$8+Premissas!$B$9+Premissas!$B$10+Premissas!$B$11+Premissas!$B$12+ROUND(Premissas!$B$13*E41,2)</f>
        <v/>
      </c>
      <c r="N41" s="25">
        <f>ROUNDUP((L41+M41-Premissas!$B$5*L41)/(1-Premissas!$B$6-Premissas!$B$7-Premissas!$B$5-Premissas!$B$14),2)</f>
        <v/>
      </c>
      <c r="O41" s="24">
        <f>ROUND(IF(N41&lt;=30000,N41*(1+Premissas!$B$21),N41+Premissas!$B$21*30000*SQRT(N41/30000)),2)</f>
        <v/>
      </c>
      <c r="P41" s="24">
        <f>N41-I41</f>
        <v/>
      </c>
      <c r="Q41" s="26">
        <f>P41/I41</f>
        <v/>
      </c>
      <c r="R41" s="26">
        <f>(I41-L41-Premissas!$B$5*(I41-L41)-(Premissas!$B$6+Premissas!$B$7)*I41-M41)/I41</f>
        <v/>
      </c>
      <c r="S41" s="24">
        <f>ROUND((CEILING((L41*Premissas!$B$17/Premissas!$B$18-97)/100,1)*100+97)*Premissas!$B$18,2)</f>
        <v/>
      </c>
    </row>
    <row r="42">
      <c r="A42" s="17" t="inlineStr">
        <is>
          <t>KIT 43 MOD. 620W + INV. CHINT 20KW</t>
        </is>
      </c>
      <c r="B42" s="17" t="inlineStr">
        <is>
          <t>CHINT</t>
        </is>
      </c>
      <c r="C42" s="17" t="inlineStr">
        <is>
          <t>Inversor</t>
        </is>
      </c>
      <c r="D42" s="21" t="n">
        <v>43</v>
      </c>
      <c r="E42" s="30" t="n">
        <v>26.66</v>
      </c>
      <c r="F42" s="20" t="inlineStr">
        <is>
          <t>CHINT SCA20K-T-SA TRI 220V</t>
        </is>
      </c>
      <c r="G42" s="21" t="n">
        <v>1</v>
      </c>
      <c r="H42" s="17" t="inlineStr">
        <is>
          <t>Sim</t>
        </is>
      </c>
      <c r="I42" s="23" t="n">
        <v>63731.85</v>
      </c>
      <c r="J42" s="24">
        <f>(D42*Premissas!$B$24+(2*ROUNDUP(D42/2,0))*Premissas!$B$26+INT((2*ROUNDUP(D42/2,0))/4)*Premissas!$B$27+MOD((2*ROUNDUP(D42/2,0)),4)/2*Premissas!$B$28+2*IF(D42&lt;=19,3*D42,IF(D42&lt;=50,ROUNDUP(2.5*D42,0),2*D42))*Premissas!$B$29+IF(C42="Micro",G42*(Premissas!$B$31+Premissas!$B$32+4*Premissas!$B$30),G42*(INDEX(Premissas!$B$40:$B$71,MATCH(F42,Premissas!$A$40:$A$71,0))+INDEX(Premissas!$C$40:$C$71,MATCH(F42,Premissas!$A$40:$A$71,0))*Premissas!$B$30)))</f>
        <v/>
      </c>
      <c r="K42" s="24">
        <f>IF(J42&lt;Premissas!$B$36,MAX(Premissas!$B$33,J42*Premissas!$B$34),J42*Premissas!$B$35)</f>
        <v/>
      </c>
      <c r="L42" s="24">
        <f>ROUND(J42+K42,2)</f>
        <v/>
      </c>
      <c r="M42" s="24">
        <f>D42*Premissas!$B$8+Premissas!$B$9+Premissas!$B$10+Premissas!$B$11+Premissas!$B$12+ROUND(Premissas!$B$13*E42,2)</f>
        <v/>
      </c>
      <c r="N42" s="25">
        <f>ROUNDUP((L42+M42-Premissas!$B$5*L42)/(1-Premissas!$B$6-Premissas!$B$7-Premissas!$B$5-Premissas!$B$14),2)</f>
        <v/>
      </c>
      <c r="O42" s="24">
        <f>ROUND(IF(N42&lt;=30000,N42*(1+Premissas!$B$21),N42+Premissas!$B$21*30000*SQRT(N42/30000)),2)</f>
        <v/>
      </c>
      <c r="P42" s="24">
        <f>N42-I42</f>
        <v/>
      </c>
      <c r="Q42" s="26">
        <f>P42/I42</f>
        <v/>
      </c>
      <c r="R42" s="26">
        <f>(I42-L42-Premissas!$B$5*(I42-L42)-(Premissas!$B$6+Premissas!$B$7)*I42-M42)/I42</f>
        <v/>
      </c>
      <c r="S42" s="24">
        <f>ROUND((CEILING((L42*Premissas!$B$17/Premissas!$B$18-97)/100,1)*100+97)*Premissas!$B$18,2)</f>
        <v/>
      </c>
    </row>
    <row r="43">
      <c r="A43" s="17" t="inlineStr">
        <is>
          <t>KIT 44 MOD. 620W + INV. CHINT 20KW</t>
        </is>
      </c>
      <c r="B43" s="17" t="inlineStr">
        <is>
          <t>CHINT</t>
        </is>
      </c>
      <c r="C43" s="17" t="inlineStr">
        <is>
          <t>Inversor</t>
        </is>
      </c>
      <c r="D43" s="21" t="n">
        <v>44</v>
      </c>
      <c r="E43" s="30" t="n">
        <v>27.28</v>
      </c>
      <c r="F43" s="20" t="inlineStr">
        <is>
          <t>CHINT SCA20K-T-SA TRI 220V</t>
        </is>
      </c>
      <c r="G43" s="21" t="n">
        <v>1</v>
      </c>
      <c r="H43" s="17" t="inlineStr">
        <is>
          <t>Sim</t>
        </is>
      </c>
      <c r="I43" s="23" t="n">
        <v>64781.85</v>
      </c>
      <c r="J43" s="24">
        <f>(D43*Premissas!$B$24+(2*ROUNDUP(D43/2,0))*Premissas!$B$26+INT((2*ROUNDUP(D43/2,0))/4)*Premissas!$B$27+MOD((2*ROUNDUP(D43/2,0)),4)/2*Premissas!$B$28+2*IF(D43&lt;=19,3*D43,IF(D43&lt;=50,ROUNDUP(2.5*D43,0),2*D43))*Premissas!$B$29+IF(C43="Micro",G43*(Premissas!$B$31+Premissas!$B$32+4*Premissas!$B$30),G43*(INDEX(Premissas!$B$40:$B$71,MATCH(F43,Premissas!$A$40:$A$71,0))+INDEX(Premissas!$C$40:$C$71,MATCH(F43,Premissas!$A$40:$A$71,0))*Premissas!$B$30)))</f>
        <v/>
      </c>
      <c r="K43" s="24">
        <f>IF(J43&lt;Premissas!$B$36,MAX(Premissas!$B$33,J43*Premissas!$B$34),J43*Premissas!$B$35)</f>
        <v/>
      </c>
      <c r="L43" s="24">
        <f>ROUND(J43+K43,2)</f>
        <v/>
      </c>
      <c r="M43" s="24">
        <f>D43*Premissas!$B$8+Premissas!$B$9+Premissas!$B$10+Premissas!$B$11+Premissas!$B$12+ROUND(Premissas!$B$13*E43,2)</f>
        <v/>
      </c>
      <c r="N43" s="25">
        <f>ROUNDUP((L43+M43-Premissas!$B$5*L43)/(1-Premissas!$B$6-Premissas!$B$7-Premissas!$B$5-Premissas!$B$14),2)</f>
        <v/>
      </c>
      <c r="O43" s="24">
        <f>ROUND(IF(N43&lt;=30000,N43*(1+Premissas!$B$21),N43+Premissas!$B$21*30000*SQRT(N43/30000)),2)</f>
        <v/>
      </c>
      <c r="P43" s="24">
        <f>N43-I43</f>
        <v/>
      </c>
      <c r="Q43" s="26">
        <f>P43/I43</f>
        <v/>
      </c>
      <c r="R43" s="26">
        <f>(I43-L43-Premissas!$B$5*(I43-L43)-(Premissas!$B$6+Premissas!$B$7)*I43-M43)/I43</f>
        <v/>
      </c>
      <c r="S43" s="24">
        <f>ROUND((CEILING((L43*Premissas!$B$17/Premissas!$B$18-97)/100,1)*100+97)*Premissas!$B$18,2)</f>
        <v/>
      </c>
    </row>
    <row r="44">
      <c r="A44" s="17" t="inlineStr">
        <is>
          <t>KIT 45 MOD. 620W + INV. CHINT 20KW</t>
        </is>
      </c>
      <c r="B44" s="17" t="inlineStr">
        <is>
          <t>CHINT</t>
        </is>
      </c>
      <c r="C44" s="17" t="inlineStr">
        <is>
          <t>Inversor</t>
        </is>
      </c>
      <c r="D44" s="21" t="n">
        <v>45</v>
      </c>
      <c r="E44" s="30" t="n">
        <v>27.9</v>
      </c>
      <c r="F44" s="20" t="inlineStr">
        <is>
          <t>CHINT SCA20K-T-SA TRI 220V</t>
        </is>
      </c>
      <c r="G44" s="21" t="n">
        <v>1</v>
      </c>
      <c r="H44" s="17" t="inlineStr">
        <is>
          <t>Sim</t>
        </is>
      </c>
      <c r="I44" s="23" t="n">
        <v>66146.85000000001</v>
      </c>
      <c r="J44" s="24">
        <f>(D44*Premissas!$B$24+(2*ROUNDUP(D44/2,0))*Premissas!$B$26+INT((2*ROUNDUP(D44/2,0))/4)*Premissas!$B$27+MOD((2*ROUNDUP(D44/2,0)),4)/2*Premissas!$B$28+2*IF(D44&lt;=19,3*D44,IF(D44&lt;=50,ROUNDUP(2.5*D44,0),2*D44))*Premissas!$B$29+IF(C44="Micro",G44*(Premissas!$B$31+Premissas!$B$32+4*Premissas!$B$30),G44*(INDEX(Premissas!$B$40:$B$71,MATCH(F44,Premissas!$A$40:$A$71,0))+INDEX(Premissas!$C$40:$C$71,MATCH(F44,Premissas!$A$40:$A$71,0))*Premissas!$B$30)))</f>
        <v/>
      </c>
      <c r="K44" s="24">
        <f>IF(J44&lt;Premissas!$B$36,MAX(Premissas!$B$33,J44*Premissas!$B$34),J44*Premissas!$B$35)</f>
        <v/>
      </c>
      <c r="L44" s="24">
        <f>ROUND(J44+K44,2)</f>
        <v/>
      </c>
      <c r="M44" s="24">
        <f>D44*Premissas!$B$8+Premissas!$B$9+Premissas!$B$10+Premissas!$B$11+Premissas!$B$12+ROUND(Premissas!$B$13*E44,2)</f>
        <v/>
      </c>
      <c r="N44" s="25">
        <f>ROUNDUP((L44+M44-Premissas!$B$5*L44)/(1-Premissas!$B$6-Premissas!$B$7-Premissas!$B$5-Premissas!$B$14),2)</f>
        <v/>
      </c>
      <c r="O44" s="24">
        <f>ROUND(IF(N44&lt;=30000,N44*(1+Premissas!$B$21),N44+Premissas!$B$21*30000*SQRT(N44/30000)),2)</f>
        <v/>
      </c>
      <c r="P44" s="24">
        <f>N44-I44</f>
        <v/>
      </c>
      <c r="Q44" s="26">
        <f>P44/I44</f>
        <v/>
      </c>
      <c r="R44" s="26">
        <f>(I44-L44-Premissas!$B$5*(I44-L44)-(Premissas!$B$6+Premissas!$B$7)*I44-M44)/I44</f>
        <v/>
      </c>
      <c r="S44" s="24">
        <f>ROUND((CEILING((L44*Premissas!$B$17/Premissas!$B$18-97)/100,1)*100+97)*Premissas!$B$18,2)</f>
        <v/>
      </c>
    </row>
    <row r="45">
      <c r="A45" s="17" t="inlineStr">
        <is>
          <t>KIT 46 MOD. 620W + INV. CHINT 20KW</t>
        </is>
      </c>
      <c r="B45" s="17" t="inlineStr">
        <is>
          <t>CHINT</t>
        </is>
      </c>
      <c r="C45" s="17" t="inlineStr">
        <is>
          <t>Inversor</t>
        </is>
      </c>
      <c r="D45" s="21" t="n">
        <v>46</v>
      </c>
      <c r="E45" s="30" t="n">
        <v>28.52</v>
      </c>
      <c r="F45" s="20" t="inlineStr">
        <is>
          <t>CHINT SCA20K-T-SA TRI 220V</t>
        </is>
      </c>
      <c r="G45" s="21" t="n">
        <v>1</v>
      </c>
      <c r="H45" s="17" t="inlineStr">
        <is>
          <t>Sim</t>
        </is>
      </c>
      <c r="I45" s="23" t="n">
        <v>67196.85000000001</v>
      </c>
      <c r="J45" s="24">
        <f>(D45*Premissas!$B$24+(2*ROUNDUP(D45/2,0))*Premissas!$B$26+INT((2*ROUNDUP(D45/2,0))/4)*Premissas!$B$27+MOD((2*ROUNDUP(D45/2,0)),4)/2*Premissas!$B$28+2*IF(D45&lt;=19,3*D45,IF(D45&lt;=50,ROUNDUP(2.5*D45,0),2*D45))*Premissas!$B$29+IF(C45="Micro",G45*(Premissas!$B$31+Premissas!$B$32+4*Premissas!$B$30),G45*(INDEX(Premissas!$B$40:$B$71,MATCH(F45,Premissas!$A$40:$A$71,0))+INDEX(Premissas!$C$40:$C$71,MATCH(F45,Premissas!$A$40:$A$71,0))*Premissas!$B$30)))</f>
        <v/>
      </c>
      <c r="K45" s="24">
        <f>IF(J45&lt;Premissas!$B$36,MAX(Premissas!$B$33,J45*Premissas!$B$34),J45*Premissas!$B$35)</f>
        <v/>
      </c>
      <c r="L45" s="24">
        <f>ROUND(J45+K45,2)</f>
        <v/>
      </c>
      <c r="M45" s="24">
        <f>D45*Premissas!$B$8+Premissas!$B$9+Premissas!$B$10+Premissas!$B$11+Premissas!$B$12+ROUND(Premissas!$B$13*E45,2)</f>
        <v/>
      </c>
      <c r="N45" s="25">
        <f>ROUNDUP((L45+M45-Premissas!$B$5*L45)/(1-Premissas!$B$6-Premissas!$B$7-Premissas!$B$5-Premissas!$B$14),2)</f>
        <v/>
      </c>
      <c r="O45" s="24">
        <f>ROUND(IF(N45&lt;=30000,N45*(1+Premissas!$B$21),N45+Premissas!$B$21*30000*SQRT(N45/30000)),2)</f>
        <v/>
      </c>
      <c r="P45" s="24">
        <f>N45-I45</f>
        <v/>
      </c>
      <c r="Q45" s="26">
        <f>P45/I45</f>
        <v/>
      </c>
      <c r="R45" s="26">
        <f>(I45-L45-Premissas!$B$5*(I45-L45)-(Premissas!$B$6+Premissas!$B$7)*I45-M45)/I45</f>
        <v/>
      </c>
      <c r="S45" s="24">
        <f>ROUND((CEILING((L45*Premissas!$B$17/Premissas!$B$18-97)/100,1)*100+97)*Premissas!$B$18,2)</f>
        <v/>
      </c>
    </row>
    <row r="46">
      <c r="A46" s="17" t="inlineStr">
        <is>
          <t>KIT 47 MOD. 620W + INV. CHINT 20KW</t>
        </is>
      </c>
      <c r="B46" s="17" t="inlineStr">
        <is>
          <t>CHINT</t>
        </is>
      </c>
      <c r="C46" s="17" t="inlineStr">
        <is>
          <t>Inversor</t>
        </is>
      </c>
      <c r="D46" s="21" t="n">
        <v>47</v>
      </c>
      <c r="E46" s="30" t="n">
        <v>29.14</v>
      </c>
      <c r="F46" s="20" t="inlineStr">
        <is>
          <t>CHINT SCA20K-T-SA TRI 220V</t>
        </is>
      </c>
      <c r="G46" s="21" t="n">
        <v>1</v>
      </c>
      <c r="H46" s="17" t="inlineStr">
        <is>
          <t>Sim</t>
        </is>
      </c>
      <c r="I46" s="23" t="n">
        <v>68456.85000000001</v>
      </c>
      <c r="J46" s="24">
        <f>(D46*Premissas!$B$24+(2*ROUNDUP(D46/2,0))*Premissas!$B$26+INT((2*ROUNDUP(D46/2,0))/4)*Premissas!$B$27+MOD((2*ROUNDUP(D46/2,0)),4)/2*Premissas!$B$28+2*IF(D46&lt;=19,3*D46,IF(D46&lt;=50,ROUNDUP(2.5*D46,0),2*D46))*Premissas!$B$29+IF(C46="Micro",G46*(Premissas!$B$31+Premissas!$B$32+4*Premissas!$B$30),G46*(INDEX(Premissas!$B$40:$B$71,MATCH(F46,Premissas!$A$40:$A$71,0))+INDEX(Premissas!$C$40:$C$71,MATCH(F46,Premissas!$A$40:$A$71,0))*Premissas!$B$30)))</f>
        <v/>
      </c>
      <c r="K46" s="24">
        <f>IF(J46&lt;Premissas!$B$36,MAX(Premissas!$B$33,J46*Premissas!$B$34),J46*Premissas!$B$35)</f>
        <v/>
      </c>
      <c r="L46" s="24">
        <f>ROUND(J46+K46,2)</f>
        <v/>
      </c>
      <c r="M46" s="24">
        <f>D46*Premissas!$B$8+Premissas!$B$9+Premissas!$B$10+Premissas!$B$11+Premissas!$B$12+ROUND(Premissas!$B$13*E46,2)</f>
        <v/>
      </c>
      <c r="N46" s="25">
        <f>ROUNDUP((L46+M46-Premissas!$B$5*L46)/(1-Premissas!$B$6-Premissas!$B$7-Premissas!$B$5-Premissas!$B$14),2)</f>
        <v/>
      </c>
      <c r="O46" s="24">
        <f>ROUND(IF(N46&lt;=30000,N46*(1+Premissas!$B$21),N46+Premissas!$B$21*30000*SQRT(N46/30000)),2)</f>
        <v/>
      </c>
      <c r="P46" s="24">
        <f>N46-I46</f>
        <v/>
      </c>
      <c r="Q46" s="26">
        <f>P46/I46</f>
        <v/>
      </c>
      <c r="R46" s="26">
        <f>(I46-L46-Premissas!$B$5*(I46-L46)-(Premissas!$B$6+Premissas!$B$7)*I46-M46)/I46</f>
        <v/>
      </c>
      <c r="S46" s="24">
        <f>ROUND((CEILING((L46*Premissas!$B$17/Premissas!$B$18-97)/100,1)*100+97)*Premissas!$B$18,2)</f>
        <v/>
      </c>
    </row>
    <row r="47">
      <c r="A47" s="17" t="inlineStr">
        <is>
          <t>KIT 48 MOD. 620W + INV. CHINT 20KW</t>
        </is>
      </c>
      <c r="B47" s="17" t="inlineStr">
        <is>
          <t>CHINT</t>
        </is>
      </c>
      <c r="C47" s="17" t="inlineStr">
        <is>
          <t>Inversor</t>
        </is>
      </c>
      <c r="D47" s="21" t="n">
        <v>48</v>
      </c>
      <c r="E47" s="30" t="n">
        <v>29.76</v>
      </c>
      <c r="F47" s="20" t="inlineStr">
        <is>
          <t>CHINT SCA20K-T-SA TRI 220V</t>
        </is>
      </c>
      <c r="G47" s="21" t="n">
        <v>1</v>
      </c>
      <c r="H47" s="17" t="inlineStr">
        <is>
          <t>Sim</t>
        </is>
      </c>
      <c r="I47" s="23" t="n">
        <v>69506.85000000001</v>
      </c>
      <c r="J47" s="24">
        <f>(D47*Premissas!$B$24+(2*ROUNDUP(D47/2,0))*Premissas!$B$26+INT((2*ROUNDUP(D47/2,0))/4)*Premissas!$B$27+MOD((2*ROUNDUP(D47/2,0)),4)/2*Premissas!$B$28+2*IF(D47&lt;=19,3*D47,IF(D47&lt;=50,ROUNDUP(2.5*D47,0),2*D47))*Premissas!$B$29+IF(C47="Micro",G47*(Premissas!$B$31+Premissas!$B$32+4*Premissas!$B$30),G47*(INDEX(Premissas!$B$40:$B$71,MATCH(F47,Premissas!$A$40:$A$71,0))+INDEX(Premissas!$C$40:$C$71,MATCH(F47,Premissas!$A$40:$A$71,0))*Premissas!$B$30)))</f>
        <v/>
      </c>
      <c r="K47" s="24">
        <f>IF(J47&lt;Premissas!$B$36,MAX(Premissas!$B$33,J47*Premissas!$B$34),J47*Premissas!$B$35)</f>
        <v/>
      </c>
      <c r="L47" s="24">
        <f>ROUND(J47+K47,2)</f>
        <v/>
      </c>
      <c r="M47" s="24">
        <f>D47*Premissas!$B$8+Premissas!$B$9+Premissas!$B$10+Premissas!$B$11+Premissas!$B$12+ROUND(Premissas!$B$13*E47,2)</f>
        <v/>
      </c>
      <c r="N47" s="25">
        <f>ROUNDUP((L47+M47-Premissas!$B$5*L47)/(1-Premissas!$B$6-Premissas!$B$7-Premissas!$B$5-Premissas!$B$14),2)</f>
        <v/>
      </c>
      <c r="O47" s="24">
        <f>ROUND(IF(N47&lt;=30000,N47*(1+Premissas!$B$21),N47+Premissas!$B$21*30000*SQRT(N47/30000)),2)</f>
        <v/>
      </c>
      <c r="P47" s="24">
        <f>N47-I47</f>
        <v/>
      </c>
      <c r="Q47" s="26">
        <f>P47/I47</f>
        <v/>
      </c>
      <c r="R47" s="26">
        <f>(I47-L47-Premissas!$B$5*(I47-L47)-(Premissas!$B$6+Premissas!$B$7)*I47-M47)/I47</f>
        <v/>
      </c>
      <c r="S47" s="24">
        <f>ROUND((CEILING((L47*Premissas!$B$17/Premissas!$B$18-97)/100,1)*100+97)*Premissas!$B$18,2)</f>
        <v/>
      </c>
    </row>
    <row r="48">
      <c r="A48" s="17" t="inlineStr">
        <is>
          <t>KIT 49 MOD. 620W + INV. CHINT 20KW</t>
        </is>
      </c>
      <c r="B48" s="17" t="inlineStr">
        <is>
          <t>CHINT</t>
        </is>
      </c>
      <c r="C48" s="17" t="inlineStr">
        <is>
          <t>Inversor</t>
        </is>
      </c>
      <c r="D48" s="21" t="n">
        <v>49</v>
      </c>
      <c r="E48" s="30" t="n">
        <v>30.38</v>
      </c>
      <c r="F48" s="20" t="inlineStr">
        <is>
          <t>CHINT SCA20K-T-SA TRI 220V</t>
        </is>
      </c>
      <c r="G48" s="21" t="n">
        <v>1</v>
      </c>
      <c r="H48" s="17" t="inlineStr">
        <is>
          <t>Sim</t>
        </is>
      </c>
      <c r="I48" s="23" t="n">
        <v>70871.85000000001</v>
      </c>
      <c r="J48" s="24">
        <f>(D48*Premissas!$B$24+(2*ROUNDUP(D48/2,0))*Premissas!$B$26+INT((2*ROUNDUP(D48/2,0))/4)*Premissas!$B$27+MOD((2*ROUNDUP(D48/2,0)),4)/2*Premissas!$B$28+2*IF(D48&lt;=19,3*D48,IF(D48&lt;=50,ROUNDUP(2.5*D48,0),2*D48))*Premissas!$B$29+IF(C48="Micro",G48*(Premissas!$B$31+Premissas!$B$32+4*Premissas!$B$30),G48*(INDEX(Premissas!$B$40:$B$71,MATCH(F48,Premissas!$A$40:$A$71,0))+INDEX(Premissas!$C$40:$C$71,MATCH(F48,Premissas!$A$40:$A$71,0))*Premissas!$B$30)))</f>
        <v/>
      </c>
      <c r="K48" s="24">
        <f>IF(J48&lt;Premissas!$B$36,MAX(Premissas!$B$33,J48*Premissas!$B$34),J48*Premissas!$B$35)</f>
        <v/>
      </c>
      <c r="L48" s="24">
        <f>ROUND(J48+K48,2)</f>
        <v/>
      </c>
      <c r="M48" s="24">
        <f>D48*Premissas!$B$8+Premissas!$B$9+Premissas!$B$10+Premissas!$B$11+Premissas!$B$12+ROUND(Premissas!$B$13*E48,2)</f>
        <v/>
      </c>
      <c r="N48" s="25">
        <f>ROUNDUP((L48+M48-Premissas!$B$5*L48)/(1-Premissas!$B$6-Premissas!$B$7-Premissas!$B$5-Premissas!$B$14),2)</f>
        <v/>
      </c>
      <c r="O48" s="24">
        <f>ROUND(IF(N48&lt;=30000,N48*(1+Premissas!$B$21),N48+Premissas!$B$21*30000*SQRT(N48/30000)),2)</f>
        <v/>
      </c>
      <c r="P48" s="24">
        <f>N48-I48</f>
        <v/>
      </c>
      <c r="Q48" s="26">
        <f>P48/I48</f>
        <v/>
      </c>
      <c r="R48" s="26">
        <f>(I48-L48-Premissas!$B$5*(I48-L48)-(Premissas!$B$6+Premissas!$B$7)*I48-M48)/I48</f>
        <v/>
      </c>
      <c r="S48" s="24">
        <f>ROUND((CEILING((L48*Premissas!$B$17/Premissas!$B$18-97)/100,1)*100+97)*Premissas!$B$18,2)</f>
        <v/>
      </c>
    </row>
    <row r="49">
      <c r="A49" s="17" t="inlineStr">
        <is>
          <t>KIT 50 MOD. 620W + INV. CHINT 20KW</t>
        </is>
      </c>
      <c r="B49" s="17" t="inlineStr">
        <is>
          <t>CHINT</t>
        </is>
      </c>
      <c r="C49" s="17" t="inlineStr">
        <is>
          <t>Inversor</t>
        </is>
      </c>
      <c r="D49" s="21" t="n">
        <v>50</v>
      </c>
      <c r="E49" s="30" t="n">
        <v>31</v>
      </c>
      <c r="F49" s="20" t="inlineStr">
        <is>
          <t>CHINT SCA20K-T-SA TRI 220V</t>
        </is>
      </c>
      <c r="G49" s="21" t="n">
        <v>1</v>
      </c>
      <c r="H49" s="17" t="inlineStr">
        <is>
          <t>Sim</t>
        </is>
      </c>
      <c r="I49" s="23" t="n">
        <v>71921.85000000001</v>
      </c>
      <c r="J49" s="24">
        <f>(D49*Premissas!$B$24+(2*ROUNDUP(D49/2,0))*Premissas!$B$26+INT((2*ROUNDUP(D49/2,0))/4)*Premissas!$B$27+MOD((2*ROUNDUP(D49/2,0)),4)/2*Premissas!$B$28+2*IF(D49&lt;=19,3*D49,IF(D49&lt;=50,ROUNDUP(2.5*D49,0),2*D49))*Premissas!$B$29+IF(C49="Micro",G49*(Premissas!$B$31+Premissas!$B$32+4*Premissas!$B$30),G49*(INDEX(Premissas!$B$40:$B$71,MATCH(F49,Premissas!$A$40:$A$71,0))+INDEX(Premissas!$C$40:$C$71,MATCH(F49,Premissas!$A$40:$A$71,0))*Premissas!$B$30)))</f>
        <v/>
      </c>
      <c r="K49" s="24">
        <f>IF(J49&lt;Premissas!$B$36,MAX(Premissas!$B$33,J49*Premissas!$B$34),J49*Premissas!$B$35)</f>
        <v/>
      </c>
      <c r="L49" s="24">
        <f>ROUND(J49+K49,2)</f>
        <v/>
      </c>
      <c r="M49" s="24">
        <f>D49*Premissas!$B$8+Premissas!$B$9+Premissas!$B$10+Premissas!$B$11+Premissas!$B$12+ROUND(Premissas!$B$13*E49,2)</f>
        <v/>
      </c>
      <c r="N49" s="25">
        <f>ROUNDUP((L49+M49-Premissas!$B$5*L49)/(1-Premissas!$B$6-Premissas!$B$7-Premissas!$B$5-Premissas!$B$14),2)</f>
        <v/>
      </c>
      <c r="O49" s="24">
        <f>ROUND(IF(N49&lt;=30000,N49*(1+Premissas!$B$21),N49+Premissas!$B$21*30000*SQRT(N49/30000)),2)</f>
        <v/>
      </c>
      <c r="P49" s="24">
        <f>N49-I49</f>
        <v/>
      </c>
      <c r="Q49" s="26">
        <f>P49/I49</f>
        <v/>
      </c>
      <c r="R49" s="26">
        <f>(I49-L49-Premissas!$B$5*(I49-L49)-(Premissas!$B$6+Premissas!$B$7)*I49-M49)/I49</f>
        <v/>
      </c>
      <c r="S49" s="24">
        <f>ROUND((CEILING((L49*Premissas!$B$17/Premissas!$B$18-97)/100,1)*100+97)*Premissas!$B$18,2)</f>
        <v/>
      </c>
    </row>
    <row r="50">
      <c r="A50" s="17" t="inlineStr">
        <is>
          <t>KIT 51 MOD. 620W + INV. CHINT 20KW</t>
        </is>
      </c>
      <c r="B50" s="17" t="inlineStr">
        <is>
          <t>CHINT</t>
        </is>
      </c>
      <c r="C50" s="17" t="inlineStr">
        <is>
          <t>Inversor</t>
        </is>
      </c>
      <c r="D50" s="21" t="n">
        <v>51</v>
      </c>
      <c r="E50" s="30" t="n">
        <v>31.62</v>
      </c>
      <c r="F50" s="20" t="inlineStr">
        <is>
          <t>CHINT SCA20K-T-SA TRI 220V</t>
        </is>
      </c>
      <c r="G50" s="21" t="n">
        <v>1</v>
      </c>
      <c r="H50" s="17" t="inlineStr">
        <is>
          <t>Sim</t>
        </is>
      </c>
      <c r="I50" s="23" t="n">
        <v>72761.85000000001</v>
      </c>
      <c r="J50" s="24">
        <f>(D50*Premissas!$B$24+(2*ROUNDUP(D50/2,0))*Premissas!$B$26+INT((2*ROUNDUP(D50/2,0))/4)*Premissas!$B$27+MOD((2*ROUNDUP(D50/2,0)),4)/2*Premissas!$B$28+2*IF(D50&lt;=19,3*D50,IF(D50&lt;=50,ROUNDUP(2.5*D50,0),2*D50))*Premissas!$B$29+IF(C50="Micro",G50*(Premissas!$B$31+Premissas!$B$32+4*Premissas!$B$30),G50*(INDEX(Premissas!$B$40:$B$71,MATCH(F50,Premissas!$A$40:$A$71,0))+INDEX(Premissas!$C$40:$C$71,MATCH(F50,Premissas!$A$40:$A$71,0))*Premissas!$B$30)))</f>
        <v/>
      </c>
      <c r="K50" s="24">
        <f>IF(J50&lt;Premissas!$B$36,MAX(Premissas!$B$33,J50*Premissas!$B$34),J50*Premissas!$B$35)</f>
        <v/>
      </c>
      <c r="L50" s="24">
        <f>ROUND(J50+K50,2)</f>
        <v/>
      </c>
      <c r="M50" s="24">
        <f>D50*Premissas!$B$8+Premissas!$B$9+Premissas!$B$10+Premissas!$B$11+Premissas!$B$12+ROUND(Premissas!$B$13*E50,2)</f>
        <v/>
      </c>
      <c r="N50" s="25">
        <f>ROUNDUP((L50+M50-Premissas!$B$5*L50)/(1-Premissas!$B$6-Premissas!$B$7-Premissas!$B$5-Premissas!$B$14),2)</f>
        <v/>
      </c>
      <c r="O50" s="24">
        <f>ROUND(IF(N50&lt;=30000,N50*(1+Premissas!$B$21),N50+Premissas!$B$21*30000*SQRT(N50/30000)),2)</f>
        <v/>
      </c>
      <c r="P50" s="24">
        <f>N50-I50</f>
        <v/>
      </c>
      <c r="Q50" s="26">
        <f>P50/I50</f>
        <v/>
      </c>
      <c r="R50" s="26">
        <f>(I50-L50-Premissas!$B$5*(I50-L50)-(Premissas!$B$6+Premissas!$B$7)*I50-M50)/I50</f>
        <v/>
      </c>
      <c r="S50" s="24">
        <f>ROUND((CEILING((L50*Premissas!$B$17/Premissas!$B$18-97)/100,1)*100+97)*Premissas!$B$18,2)</f>
        <v/>
      </c>
    </row>
    <row r="51">
      <c r="A51" s="17" t="inlineStr">
        <is>
          <t>KIT 52 MOD. 620W + INV. CHINT 20KW</t>
        </is>
      </c>
      <c r="B51" s="17" t="inlineStr">
        <is>
          <t>CHINT</t>
        </is>
      </c>
      <c r="C51" s="17" t="inlineStr">
        <is>
          <t>Inversor</t>
        </is>
      </c>
      <c r="D51" s="21" t="n">
        <v>52</v>
      </c>
      <c r="E51" s="30" t="n">
        <v>32.24</v>
      </c>
      <c r="F51" s="20" t="inlineStr">
        <is>
          <t>CHINT SCA20K-T-SA TRI 220V</t>
        </is>
      </c>
      <c r="G51" s="21" t="n">
        <v>1</v>
      </c>
      <c r="H51" s="17" t="inlineStr">
        <is>
          <t>Sim</t>
        </is>
      </c>
      <c r="I51" s="23" t="n">
        <v>73811.85000000001</v>
      </c>
      <c r="J51" s="24">
        <f>(D51*Premissas!$B$24+(2*ROUNDUP(D51/2,0))*Premissas!$B$26+INT((2*ROUNDUP(D51/2,0))/4)*Premissas!$B$27+MOD((2*ROUNDUP(D51/2,0)),4)/2*Premissas!$B$28+2*IF(D51&lt;=19,3*D51,IF(D51&lt;=50,ROUNDUP(2.5*D51,0),2*D51))*Premissas!$B$29+IF(C51="Micro",G51*(Premissas!$B$31+Premissas!$B$32+4*Premissas!$B$30),G51*(INDEX(Premissas!$B$40:$B$71,MATCH(F51,Premissas!$A$40:$A$71,0))+INDEX(Premissas!$C$40:$C$71,MATCH(F51,Premissas!$A$40:$A$71,0))*Premissas!$B$30)))</f>
        <v/>
      </c>
      <c r="K51" s="24">
        <f>IF(J51&lt;Premissas!$B$36,MAX(Premissas!$B$33,J51*Premissas!$B$34),J51*Premissas!$B$35)</f>
        <v/>
      </c>
      <c r="L51" s="24">
        <f>ROUND(J51+K51,2)</f>
        <v/>
      </c>
      <c r="M51" s="24">
        <f>D51*Premissas!$B$8+Premissas!$B$9+Premissas!$B$10+Premissas!$B$11+Premissas!$B$12+ROUND(Premissas!$B$13*E51,2)</f>
        <v/>
      </c>
      <c r="N51" s="25">
        <f>ROUNDUP((L51+M51-Premissas!$B$5*L51)/(1-Premissas!$B$6-Premissas!$B$7-Premissas!$B$5-Premissas!$B$14),2)</f>
        <v/>
      </c>
      <c r="O51" s="24">
        <f>ROUND(IF(N51&lt;=30000,N51*(1+Premissas!$B$21),N51+Premissas!$B$21*30000*SQRT(N51/30000)),2)</f>
        <v/>
      </c>
      <c r="P51" s="24">
        <f>N51-I51</f>
        <v/>
      </c>
      <c r="Q51" s="26">
        <f>P51/I51</f>
        <v/>
      </c>
      <c r="R51" s="26">
        <f>(I51-L51-Premissas!$B$5*(I51-L51)-(Premissas!$B$6+Premissas!$B$7)*I51-M51)/I51</f>
        <v/>
      </c>
      <c r="S51" s="24">
        <f>ROUND((CEILING((L51*Premissas!$B$17/Premissas!$B$18-97)/100,1)*100+97)*Premissas!$B$18,2)</f>
        <v/>
      </c>
    </row>
    <row r="52">
      <c r="A52" s="17" t="inlineStr">
        <is>
          <t>KIT 53 MOD. 620W + INV. CHINT 20KW</t>
        </is>
      </c>
      <c r="B52" s="17" t="inlineStr">
        <is>
          <t>CHINT</t>
        </is>
      </c>
      <c r="C52" s="17" t="inlineStr">
        <is>
          <t>Inversor</t>
        </is>
      </c>
      <c r="D52" s="21" t="n">
        <v>53</v>
      </c>
      <c r="E52" s="30" t="n">
        <v>32.86</v>
      </c>
      <c r="F52" s="20" t="inlineStr">
        <is>
          <t>CHINT SCA20K-T-SA TRI 220V</t>
        </is>
      </c>
      <c r="G52" s="21" t="n">
        <v>1</v>
      </c>
      <c r="H52" s="17" t="inlineStr">
        <is>
          <t>Sim</t>
        </is>
      </c>
      <c r="I52" s="23" t="n">
        <v>75176.85000000001</v>
      </c>
      <c r="J52" s="24">
        <f>(D52*Premissas!$B$24+(2*ROUNDUP(D52/2,0))*Premissas!$B$26+INT((2*ROUNDUP(D52/2,0))/4)*Premissas!$B$27+MOD((2*ROUNDUP(D52/2,0)),4)/2*Premissas!$B$28+2*IF(D52&lt;=19,3*D52,IF(D52&lt;=50,ROUNDUP(2.5*D52,0),2*D52))*Premissas!$B$29+IF(C52="Micro",G52*(Premissas!$B$31+Premissas!$B$32+4*Premissas!$B$30),G52*(INDEX(Premissas!$B$40:$B$71,MATCH(F52,Premissas!$A$40:$A$71,0))+INDEX(Premissas!$C$40:$C$71,MATCH(F52,Premissas!$A$40:$A$71,0))*Premissas!$B$30)))</f>
        <v/>
      </c>
      <c r="K52" s="24">
        <f>IF(J52&lt;Premissas!$B$36,MAX(Premissas!$B$33,J52*Premissas!$B$34),J52*Premissas!$B$35)</f>
        <v/>
      </c>
      <c r="L52" s="24">
        <f>ROUND(J52+K52,2)</f>
        <v/>
      </c>
      <c r="M52" s="24">
        <f>D52*Premissas!$B$8+Premissas!$B$9+Premissas!$B$10+Premissas!$B$11+Premissas!$B$12+ROUND(Premissas!$B$13*E52,2)</f>
        <v/>
      </c>
      <c r="N52" s="25">
        <f>ROUNDUP((L52+M52-Premissas!$B$5*L52)/(1-Premissas!$B$6-Premissas!$B$7-Premissas!$B$5-Premissas!$B$14),2)</f>
        <v/>
      </c>
      <c r="O52" s="24">
        <f>ROUND(IF(N52&lt;=30000,N52*(1+Premissas!$B$21),N52+Premissas!$B$21*30000*SQRT(N52/30000)),2)</f>
        <v/>
      </c>
      <c r="P52" s="24">
        <f>N52-I52</f>
        <v/>
      </c>
      <c r="Q52" s="26">
        <f>P52/I52</f>
        <v/>
      </c>
      <c r="R52" s="26">
        <f>(I52-L52-Premissas!$B$5*(I52-L52)-(Premissas!$B$6+Premissas!$B$7)*I52-M52)/I52</f>
        <v/>
      </c>
      <c r="S52" s="24">
        <f>ROUND((CEILING((L52*Premissas!$B$17/Premissas!$B$18-97)/100,1)*100+97)*Premissas!$B$18,2)</f>
        <v/>
      </c>
    </row>
    <row r="53">
      <c r="A53" s="17" t="inlineStr">
        <is>
          <t>KIT 54 MOD. 620W + INV. CHINT 20KW</t>
        </is>
      </c>
      <c r="B53" s="17" t="inlineStr">
        <is>
          <t>CHINT</t>
        </is>
      </c>
      <c r="C53" s="17" t="inlineStr">
        <is>
          <t>Inversor</t>
        </is>
      </c>
      <c r="D53" s="21" t="n">
        <v>54</v>
      </c>
      <c r="E53" s="30" t="n">
        <v>33.48</v>
      </c>
      <c r="F53" s="20" t="inlineStr">
        <is>
          <t>CHINT SCA20K-T-SA TRI 220V</t>
        </is>
      </c>
      <c r="G53" s="21" t="n">
        <v>1</v>
      </c>
      <c r="H53" s="17" t="inlineStr">
        <is>
          <t>Sim</t>
        </is>
      </c>
      <c r="I53" s="23" t="n">
        <v>76226.85000000001</v>
      </c>
      <c r="J53" s="24">
        <f>(D53*Premissas!$B$24+(2*ROUNDUP(D53/2,0))*Premissas!$B$26+INT((2*ROUNDUP(D53/2,0))/4)*Premissas!$B$27+MOD((2*ROUNDUP(D53/2,0)),4)/2*Premissas!$B$28+2*IF(D53&lt;=19,3*D53,IF(D53&lt;=50,ROUNDUP(2.5*D53,0),2*D53))*Premissas!$B$29+IF(C53="Micro",G53*(Premissas!$B$31+Premissas!$B$32+4*Premissas!$B$30),G53*(INDEX(Premissas!$B$40:$B$71,MATCH(F53,Premissas!$A$40:$A$71,0))+INDEX(Premissas!$C$40:$C$71,MATCH(F53,Premissas!$A$40:$A$71,0))*Premissas!$B$30)))</f>
        <v/>
      </c>
      <c r="K53" s="24">
        <f>IF(J53&lt;Premissas!$B$36,MAX(Premissas!$B$33,J53*Premissas!$B$34),J53*Premissas!$B$35)</f>
        <v/>
      </c>
      <c r="L53" s="24">
        <f>ROUND(J53+K53,2)</f>
        <v/>
      </c>
      <c r="M53" s="24">
        <f>D53*Premissas!$B$8+Premissas!$B$9+Premissas!$B$10+Premissas!$B$11+Premissas!$B$12+ROUND(Premissas!$B$13*E53,2)</f>
        <v/>
      </c>
      <c r="N53" s="25">
        <f>ROUNDUP((L53+M53-Premissas!$B$5*L53)/(1-Premissas!$B$6-Premissas!$B$7-Premissas!$B$5-Premissas!$B$14),2)</f>
        <v/>
      </c>
      <c r="O53" s="24">
        <f>ROUND(IF(N53&lt;=30000,N53*(1+Premissas!$B$21),N53+Premissas!$B$21*30000*SQRT(N53/30000)),2)</f>
        <v/>
      </c>
      <c r="P53" s="24">
        <f>N53-I53</f>
        <v/>
      </c>
      <c r="Q53" s="26">
        <f>P53/I53</f>
        <v/>
      </c>
      <c r="R53" s="26">
        <f>(I53-L53-Premissas!$B$5*(I53-L53)-(Premissas!$B$6+Premissas!$B$7)*I53-M53)/I53</f>
        <v/>
      </c>
      <c r="S53" s="24">
        <f>ROUND((CEILING((L53*Premissas!$B$17/Premissas!$B$18-97)/100,1)*100+97)*Premissas!$B$18,2)</f>
        <v/>
      </c>
    </row>
    <row r="54">
      <c r="A54" s="17" t="inlineStr">
        <is>
          <t>KIT 55 MOD. 620W + INV. CHINT 25KW</t>
        </is>
      </c>
      <c r="B54" s="17" t="inlineStr">
        <is>
          <t>CHINT</t>
        </is>
      </c>
      <c r="C54" s="17" t="inlineStr">
        <is>
          <t>Inversor</t>
        </is>
      </c>
      <c r="D54" s="21" t="n">
        <v>55</v>
      </c>
      <c r="E54" s="30" t="n">
        <v>34.1</v>
      </c>
      <c r="F54" s="20" t="inlineStr">
        <is>
          <t>CHINT SCA25K-T-SA TRI 220V</t>
        </is>
      </c>
      <c r="G54" s="21" t="n">
        <v>1</v>
      </c>
      <c r="H54" s="17" t="inlineStr">
        <is>
          <t>Sim</t>
        </is>
      </c>
      <c r="I54" s="23" t="n">
        <v>80741.85000000001</v>
      </c>
      <c r="J54" s="24">
        <f>(D54*Premissas!$B$24+(2*ROUNDUP(D54/2,0))*Premissas!$B$26+INT((2*ROUNDUP(D54/2,0))/4)*Premissas!$B$27+MOD((2*ROUNDUP(D54/2,0)),4)/2*Premissas!$B$28+2*IF(D54&lt;=19,3*D54,IF(D54&lt;=50,ROUNDUP(2.5*D54,0),2*D54))*Premissas!$B$29+IF(C54="Micro",G54*(Premissas!$B$31+Premissas!$B$32+4*Premissas!$B$30),G54*(INDEX(Premissas!$B$40:$B$71,MATCH(F54,Premissas!$A$40:$A$71,0))+INDEX(Premissas!$C$40:$C$71,MATCH(F54,Premissas!$A$40:$A$71,0))*Premissas!$B$30)))</f>
        <v/>
      </c>
      <c r="K54" s="24">
        <f>IF(J54&lt;Premissas!$B$36,MAX(Premissas!$B$33,J54*Premissas!$B$34),J54*Premissas!$B$35)</f>
        <v/>
      </c>
      <c r="L54" s="24">
        <f>ROUND(J54+K54,2)</f>
        <v/>
      </c>
      <c r="M54" s="24">
        <f>D54*Premissas!$B$8+Premissas!$B$9+Premissas!$B$10+Premissas!$B$11+Premissas!$B$12+ROUND(Premissas!$B$13*E54,2)</f>
        <v/>
      </c>
      <c r="N54" s="25">
        <f>ROUNDUP((L54+M54-Premissas!$B$5*L54)/(1-Premissas!$B$6-Premissas!$B$7-Premissas!$B$5-Premissas!$B$14),2)</f>
        <v/>
      </c>
      <c r="O54" s="24">
        <f>ROUND(IF(N54&lt;=30000,N54*(1+Premissas!$B$21),N54+Premissas!$B$21*30000*SQRT(N54/30000)),2)</f>
        <v/>
      </c>
      <c r="P54" s="24">
        <f>N54-I54</f>
        <v/>
      </c>
      <c r="Q54" s="26">
        <f>P54/I54</f>
        <v/>
      </c>
      <c r="R54" s="26">
        <f>(I54-L54-Premissas!$B$5*(I54-L54)-(Premissas!$B$6+Premissas!$B$7)*I54-M54)/I54</f>
        <v/>
      </c>
      <c r="S54" s="24">
        <f>ROUND((CEILING((L54*Premissas!$B$17/Premissas!$B$18-97)/100,1)*100+97)*Premissas!$B$18,2)</f>
        <v/>
      </c>
    </row>
    <row r="55">
      <c r="A55" s="17" t="inlineStr">
        <is>
          <t>KIT 56 MOD. 620W + INV. CHINT 25KW</t>
        </is>
      </c>
      <c r="B55" s="17" t="inlineStr">
        <is>
          <t>CHINT</t>
        </is>
      </c>
      <c r="C55" s="17" t="inlineStr">
        <is>
          <t>Inversor</t>
        </is>
      </c>
      <c r="D55" s="21" t="n">
        <v>56</v>
      </c>
      <c r="E55" s="30" t="n">
        <v>34.72</v>
      </c>
      <c r="F55" s="20" t="inlineStr">
        <is>
          <t>CHINT SCA25K-T-SA TRI 220V</t>
        </is>
      </c>
      <c r="G55" s="21" t="n">
        <v>1</v>
      </c>
      <c r="H55" s="17" t="inlineStr">
        <is>
          <t>Sim</t>
        </is>
      </c>
      <c r="I55" s="23" t="n">
        <v>81791.85000000001</v>
      </c>
      <c r="J55" s="24">
        <f>(D55*Premissas!$B$24+(2*ROUNDUP(D55/2,0))*Premissas!$B$26+INT((2*ROUNDUP(D55/2,0))/4)*Premissas!$B$27+MOD((2*ROUNDUP(D55/2,0)),4)/2*Premissas!$B$28+2*IF(D55&lt;=19,3*D55,IF(D55&lt;=50,ROUNDUP(2.5*D55,0),2*D55))*Premissas!$B$29+IF(C55="Micro",G55*(Premissas!$B$31+Premissas!$B$32+4*Premissas!$B$30),G55*(INDEX(Premissas!$B$40:$B$71,MATCH(F55,Premissas!$A$40:$A$71,0))+INDEX(Premissas!$C$40:$C$71,MATCH(F55,Premissas!$A$40:$A$71,0))*Premissas!$B$30)))</f>
        <v/>
      </c>
      <c r="K55" s="24">
        <f>IF(J55&lt;Premissas!$B$36,MAX(Premissas!$B$33,J55*Premissas!$B$34),J55*Premissas!$B$35)</f>
        <v/>
      </c>
      <c r="L55" s="24">
        <f>ROUND(J55+K55,2)</f>
        <v/>
      </c>
      <c r="M55" s="24">
        <f>D55*Premissas!$B$8+Premissas!$B$9+Premissas!$B$10+Premissas!$B$11+Premissas!$B$12+ROUND(Premissas!$B$13*E55,2)</f>
        <v/>
      </c>
      <c r="N55" s="25">
        <f>ROUNDUP((L55+M55-Premissas!$B$5*L55)/(1-Premissas!$B$6-Premissas!$B$7-Premissas!$B$5-Premissas!$B$14),2)</f>
        <v/>
      </c>
      <c r="O55" s="24">
        <f>ROUND(IF(N55&lt;=30000,N55*(1+Premissas!$B$21),N55+Premissas!$B$21*30000*SQRT(N55/30000)),2)</f>
        <v/>
      </c>
      <c r="P55" s="24">
        <f>N55-I55</f>
        <v/>
      </c>
      <c r="Q55" s="26">
        <f>P55/I55</f>
        <v/>
      </c>
      <c r="R55" s="26">
        <f>(I55-L55-Premissas!$B$5*(I55-L55)-(Premissas!$B$6+Premissas!$B$7)*I55-M55)/I55</f>
        <v/>
      </c>
      <c r="S55" s="24">
        <f>ROUND((CEILING((L55*Premissas!$B$17/Premissas!$B$18-97)/100,1)*100+97)*Premissas!$B$18,2)</f>
        <v/>
      </c>
    </row>
    <row r="56">
      <c r="A56" s="17" t="inlineStr">
        <is>
          <t>KIT 57 MOD. 620W + INV. CHINT 25KW</t>
        </is>
      </c>
      <c r="B56" s="17" t="inlineStr">
        <is>
          <t>CHINT</t>
        </is>
      </c>
      <c r="C56" s="17" t="inlineStr">
        <is>
          <t>Inversor</t>
        </is>
      </c>
      <c r="D56" s="21" t="n">
        <v>57</v>
      </c>
      <c r="E56" s="30" t="n">
        <v>35.34</v>
      </c>
      <c r="F56" s="20" t="inlineStr">
        <is>
          <t>CHINT SCA25K-T-SA TRI 220V</t>
        </is>
      </c>
      <c r="G56" s="21" t="n">
        <v>1</v>
      </c>
      <c r="H56" s="17" t="inlineStr">
        <is>
          <t>Sim</t>
        </is>
      </c>
      <c r="I56" s="23" t="n">
        <v>83051.85000000001</v>
      </c>
      <c r="J56" s="24">
        <f>(D56*Premissas!$B$24+(2*ROUNDUP(D56/2,0))*Premissas!$B$26+INT((2*ROUNDUP(D56/2,0))/4)*Premissas!$B$27+MOD((2*ROUNDUP(D56/2,0)),4)/2*Premissas!$B$28+2*IF(D56&lt;=19,3*D56,IF(D56&lt;=50,ROUNDUP(2.5*D56,0),2*D56))*Premissas!$B$29+IF(C56="Micro",G56*(Premissas!$B$31+Premissas!$B$32+4*Premissas!$B$30),G56*(INDEX(Premissas!$B$40:$B$71,MATCH(F56,Premissas!$A$40:$A$71,0))+INDEX(Premissas!$C$40:$C$71,MATCH(F56,Premissas!$A$40:$A$71,0))*Premissas!$B$30)))</f>
        <v/>
      </c>
      <c r="K56" s="24">
        <f>IF(J56&lt;Premissas!$B$36,MAX(Premissas!$B$33,J56*Premissas!$B$34),J56*Premissas!$B$35)</f>
        <v/>
      </c>
      <c r="L56" s="24">
        <f>ROUND(J56+K56,2)</f>
        <v/>
      </c>
      <c r="M56" s="24">
        <f>D56*Premissas!$B$8+Premissas!$B$9+Premissas!$B$10+Premissas!$B$11+Premissas!$B$12+ROUND(Premissas!$B$13*E56,2)</f>
        <v/>
      </c>
      <c r="N56" s="25">
        <f>ROUNDUP((L56+M56-Premissas!$B$5*L56)/(1-Premissas!$B$6-Premissas!$B$7-Premissas!$B$5-Premissas!$B$14),2)</f>
        <v/>
      </c>
      <c r="O56" s="24">
        <f>ROUND(IF(N56&lt;=30000,N56*(1+Premissas!$B$21),N56+Premissas!$B$21*30000*SQRT(N56/30000)),2)</f>
        <v/>
      </c>
      <c r="P56" s="24">
        <f>N56-I56</f>
        <v/>
      </c>
      <c r="Q56" s="26">
        <f>P56/I56</f>
        <v/>
      </c>
      <c r="R56" s="26">
        <f>(I56-L56-Premissas!$B$5*(I56-L56)-(Premissas!$B$6+Premissas!$B$7)*I56-M56)/I56</f>
        <v/>
      </c>
      <c r="S56" s="24">
        <f>ROUND((CEILING((L56*Premissas!$B$17/Premissas!$B$18-97)/100,1)*100+97)*Premissas!$B$18,2)</f>
        <v/>
      </c>
    </row>
    <row r="57">
      <c r="A57" s="17" t="inlineStr">
        <is>
          <t>KIT 58 MOD. 620W + INV. CHINT 25KW</t>
        </is>
      </c>
      <c r="B57" s="17" t="inlineStr">
        <is>
          <t>CHINT</t>
        </is>
      </c>
      <c r="C57" s="17" t="inlineStr">
        <is>
          <t>Inversor</t>
        </is>
      </c>
      <c r="D57" s="21" t="n">
        <v>58</v>
      </c>
      <c r="E57" s="30" t="n">
        <v>35.96</v>
      </c>
      <c r="F57" s="20" t="inlineStr">
        <is>
          <t>CHINT SCA25K-T-SA TRI 220V</t>
        </is>
      </c>
      <c r="G57" s="21" t="n">
        <v>1</v>
      </c>
      <c r="H57" s="17" t="inlineStr">
        <is>
          <t>Sim</t>
        </is>
      </c>
      <c r="I57" s="23" t="n">
        <v>84101.85000000001</v>
      </c>
      <c r="J57" s="24">
        <f>(D57*Premissas!$B$24+(2*ROUNDUP(D57/2,0))*Premissas!$B$26+INT((2*ROUNDUP(D57/2,0))/4)*Premissas!$B$27+MOD((2*ROUNDUP(D57/2,0)),4)/2*Premissas!$B$28+2*IF(D57&lt;=19,3*D57,IF(D57&lt;=50,ROUNDUP(2.5*D57,0),2*D57))*Premissas!$B$29+IF(C57="Micro",G57*(Premissas!$B$31+Premissas!$B$32+4*Premissas!$B$30),G57*(INDEX(Premissas!$B$40:$B$71,MATCH(F57,Premissas!$A$40:$A$71,0))+INDEX(Premissas!$C$40:$C$71,MATCH(F57,Premissas!$A$40:$A$71,0))*Premissas!$B$30)))</f>
        <v/>
      </c>
      <c r="K57" s="24">
        <f>IF(J57&lt;Premissas!$B$36,MAX(Premissas!$B$33,J57*Premissas!$B$34),J57*Premissas!$B$35)</f>
        <v/>
      </c>
      <c r="L57" s="24">
        <f>ROUND(J57+K57,2)</f>
        <v/>
      </c>
      <c r="M57" s="24">
        <f>D57*Premissas!$B$8+Premissas!$B$9+Premissas!$B$10+Premissas!$B$11+Premissas!$B$12+ROUND(Premissas!$B$13*E57,2)</f>
        <v/>
      </c>
      <c r="N57" s="25">
        <f>ROUNDUP((L57+M57-Premissas!$B$5*L57)/(1-Premissas!$B$6-Premissas!$B$7-Premissas!$B$5-Premissas!$B$14),2)</f>
        <v/>
      </c>
      <c r="O57" s="24">
        <f>ROUND(IF(N57&lt;=30000,N57*(1+Premissas!$B$21),N57+Premissas!$B$21*30000*SQRT(N57/30000)),2)</f>
        <v/>
      </c>
      <c r="P57" s="24">
        <f>N57-I57</f>
        <v/>
      </c>
      <c r="Q57" s="26">
        <f>P57/I57</f>
        <v/>
      </c>
      <c r="R57" s="26">
        <f>(I57-L57-Premissas!$B$5*(I57-L57)-(Premissas!$B$6+Premissas!$B$7)*I57-M57)/I57</f>
        <v/>
      </c>
      <c r="S57" s="24">
        <f>ROUND((CEILING((L57*Premissas!$B$17/Premissas!$B$18-97)/100,1)*100+97)*Premissas!$B$18,2)</f>
        <v/>
      </c>
    </row>
    <row r="58">
      <c r="A58" s="17" t="inlineStr">
        <is>
          <t>KIT 59 MOD. 620W + INV. CHINT 25KW</t>
        </is>
      </c>
      <c r="B58" s="17" t="inlineStr">
        <is>
          <t>CHINT</t>
        </is>
      </c>
      <c r="C58" s="17" t="inlineStr">
        <is>
          <t>Inversor</t>
        </is>
      </c>
      <c r="D58" s="21" t="n">
        <v>59</v>
      </c>
      <c r="E58" s="30" t="n">
        <v>36.58</v>
      </c>
      <c r="F58" s="20" t="inlineStr">
        <is>
          <t>CHINT SCA25K-T-SA TRI 220V</t>
        </is>
      </c>
      <c r="G58" s="21" t="n">
        <v>1</v>
      </c>
      <c r="H58" s="17" t="inlineStr">
        <is>
          <t>Sim</t>
        </is>
      </c>
      <c r="I58" s="23" t="n">
        <v>85466.85000000001</v>
      </c>
      <c r="J58" s="24">
        <f>(D58*Premissas!$B$24+(2*ROUNDUP(D58/2,0))*Premissas!$B$26+INT((2*ROUNDUP(D58/2,0))/4)*Premissas!$B$27+MOD((2*ROUNDUP(D58/2,0)),4)/2*Premissas!$B$28+2*IF(D58&lt;=19,3*D58,IF(D58&lt;=50,ROUNDUP(2.5*D58,0),2*D58))*Premissas!$B$29+IF(C58="Micro",G58*(Premissas!$B$31+Premissas!$B$32+4*Premissas!$B$30),G58*(INDEX(Premissas!$B$40:$B$71,MATCH(F58,Premissas!$A$40:$A$71,0))+INDEX(Premissas!$C$40:$C$71,MATCH(F58,Premissas!$A$40:$A$71,0))*Premissas!$B$30)))</f>
        <v/>
      </c>
      <c r="K58" s="24">
        <f>IF(J58&lt;Premissas!$B$36,MAX(Premissas!$B$33,J58*Premissas!$B$34),J58*Premissas!$B$35)</f>
        <v/>
      </c>
      <c r="L58" s="24">
        <f>ROUND(J58+K58,2)</f>
        <v/>
      </c>
      <c r="M58" s="24">
        <f>D58*Premissas!$B$8+Premissas!$B$9+Premissas!$B$10+Premissas!$B$11+Premissas!$B$12+ROUND(Premissas!$B$13*E58,2)</f>
        <v/>
      </c>
      <c r="N58" s="25">
        <f>ROUNDUP((L58+M58-Premissas!$B$5*L58)/(1-Premissas!$B$6-Premissas!$B$7-Premissas!$B$5-Premissas!$B$14),2)</f>
        <v/>
      </c>
      <c r="O58" s="24">
        <f>ROUND(IF(N58&lt;=30000,N58*(1+Premissas!$B$21),N58+Premissas!$B$21*30000*SQRT(N58/30000)),2)</f>
        <v/>
      </c>
      <c r="P58" s="24">
        <f>N58-I58</f>
        <v/>
      </c>
      <c r="Q58" s="26">
        <f>P58/I58</f>
        <v/>
      </c>
      <c r="R58" s="26">
        <f>(I58-L58-Premissas!$B$5*(I58-L58)-(Premissas!$B$6+Premissas!$B$7)*I58-M58)/I58</f>
        <v/>
      </c>
      <c r="S58" s="24">
        <f>ROUND((CEILING((L58*Premissas!$B$17/Premissas!$B$18-97)/100,1)*100+97)*Premissas!$B$18,2)</f>
        <v/>
      </c>
    </row>
    <row r="59">
      <c r="A59" s="17" t="inlineStr">
        <is>
          <t>KIT 60 MOD. 620W + INV. CHINT 25KW</t>
        </is>
      </c>
      <c r="B59" s="17" t="inlineStr">
        <is>
          <t>CHINT</t>
        </is>
      </c>
      <c r="C59" s="17" t="inlineStr">
        <is>
          <t>Inversor</t>
        </is>
      </c>
      <c r="D59" s="21" t="n">
        <v>60</v>
      </c>
      <c r="E59" s="30" t="n">
        <v>37.2</v>
      </c>
      <c r="F59" s="20" t="inlineStr">
        <is>
          <t>CHINT SCA25K-T-SA TRI 220V</t>
        </is>
      </c>
      <c r="G59" s="21" t="n">
        <v>1</v>
      </c>
      <c r="H59" s="17" t="inlineStr">
        <is>
          <t>Sim</t>
        </is>
      </c>
      <c r="I59" s="23" t="n">
        <v>86516.85000000001</v>
      </c>
      <c r="J59" s="24">
        <f>(D59*Premissas!$B$24+(2*ROUNDUP(D59/2,0))*Premissas!$B$26+INT((2*ROUNDUP(D59/2,0))/4)*Premissas!$B$27+MOD((2*ROUNDUP(D59/2,0)),4)/2*Premissas!$B$28+2*IF(D59&lt;=19,3*D59,IF(D59&lt;=50,ROUNDUP(2.5*D59,0),2*D59))*Premissas!$B$29+IF(C59="Micro",G59*(Premissas!$B$31+Premissas!$B$32+4*Premissas!$B$30),G59*(INDEX(Premissas!$B$40:$B$71,MATCH(F59,Premissas!$A$40:$A$71,0))+INDEX(Premissas!$C$40:$C$71,MATCH(F59,Premissas!$A$40:$A$71,0))*Premissas!$B$30)))</f>
        <v/>
      </c>
      <c r="K59" s="24">
        <f>IF(J59&lt;Premissas!$B$36,MAX(Premissas!$B$33,J59*Premissas!$B$34),J59*Premissas!$B$35)</f>
        <v/>
      </c>
      <c r="L59" s="24">
        <f>ROUND(J59+K59,2)</f>
        <v/>
      </c>
      <c r="M59" s="24">
        <f>D59*Premissas!$B$8+Premissas!$B$9+Premissas!$B$10+Premissas!$B$11+Premissas!$B$12+ROUND(Premissas!$B$13*E59,2)</f>
        <v/>
      </c>
      <c r="N59" s="25">
        <f>ROUNDUP((L59+M59-Premissas!$B$5*L59)/(1-Premissas!$B$6-Premissas!$B$7-Premissas!$B$5-Premissas!$B$14),2)</f>
        <v/>
      </c>
      <c r="O59" s="24">
        <f>ROUND(IF(N59&lt;=30000,N59*(1+Premissas!$B$21),N59+Premissas!$B$21*30000*SQRT(N59/30000)),2)</f>
        <v/>
      </c>
      <c r="P59" s="24">
        <f>N59-I59</f>
        <v/>
      </c>
      <c r="Q59" s="26">
        <f>P59/I59</f>
        <v/>
      </c>
      <c r="R59" s="26">
        <f>(I59-L59-Premissas!$B$5*(I59-L59)-(Premissas!$B$6+Premissas!$B$7)*I59-M59)/I59</f>
        <v/>
      </c>
      <c r="S59" s="24">
        <f>ROUND((CEILING((L59*Premissas!$B$17/Premissas!$B$18-97)/100,1)*100+97)*Premissas!$B$18,2)</f>
        <v/>
      </c>
    </row>
    <row r="60">
      <c r="A60" s="17" t="inlineStr">
        <is>
          <t>KIT 61 MOD. 620W + INV. CHINT 25KW</t>
        </is>
      </c>
      <c r="B60" s="17" t="inlineStr">
        <is>
          <t>CHINT</t>
        </is>
      </c>
      <c r="C60" s="17" t="inlineStr">
        <is>
          <t>Inversor</t>
        </is>
      </c>
      <c r="D60" s="21" t="n">
        <v>61</v>
      </c>
      <c r="E60" s="30" t="n">
        <v>37.82</v>
      </c>
      <c r="F60" s="20" t="inlineStr">
        <is>
          <t>CHINT SCA25K-T-SA TRI 220V</t>
        </is>
      </c>
      <c r="G60" s="21" t="n">
        <v>1</v>
      </c>
      <c r="H60" s="17" t="inlineStr">
        <is>
          <t>Sim</t>
        </is>
      </c>
      <c r="I60" s="23" t="n">
        <v>87776.85000000001</v>
      </c>
      <c r="J60" s="24">
        <f>(D60*Premissas!$B$24+(2*ROUNDUP(D60/2,0))*Premissas!$B$26+INT((2*ROUNDUP(D60/2,0))/4)*Premissas!$B$27+MOD((2*ROUNDUP(D60/2,0)),4)/2*Premissas!$B$28+2*IF(D60&lt;=19,3*D60,IF(D60&lt;=50,ROUNDUP(2.5*D60,0),2*D60))*Premissas!$B$29+IF(C60="Micro",G60*(Premissas!$B$31+Premissas!$B$32+4*Premissas!$B$30),G60*(INDEX(Premissas!$B$40:$B$71,MATCH(F60,Premissas!$A$40:$A$71,0))+INDEX(Premissas!$C$40:$C$71,MATCH(F60,Premissas!$A$40:$A$71,0))*Premissas!$B$30)))</f>
        <v/>
      </c>
      <c r="K60" s="24">
        <f>IF(J60&lt;Premissas!$B$36,MAX(Premissas!$B$33,J60*Premissas!$B$34),J60*Premissas!$B$35)</f>
        <v/>
      </c>
      <c r="L60" s="24">
        <f>ROUND(J60+K60,2)</f>
        <v/>
      </c>
      <c r="M60" s="24">
        <f>D60*Premissas!$B$8+Premissas!$B$9+Premissas!$B$10+Premissas!$B$11+Premissas!$B$12+ROUND(Premissas!$B$13*E60,2)</f>
        <v/>
      </c>
      <c r="N60" s="25">
        <f>ROUNDUP((L60+M60-Premissas!$B$5*L60)/(1-Premissas!$B$6-Premissas!$B$7-Premissas!$B$5-Premissas!$B$14),2)</f>
        <v/>
      </c>
      <c r="O60" s="24">
        <f>ROUND(IF(N60&lt;=30000,N60*(1+Premissas!$B$21),N60+Premissas!$B$21*30000*SQRT(N60/30000)),2)</f>
        <v/>
      </c>
      <c r="P60" s="24">
        <f>N60-I60</f>
        <v/>
      </c>
      <c r="Q60" s="26">
        <f>P60/I60</f>
        <v/>
      </c>
      <c r="R60" s="26">
        <f>(I60-L60-Premissas!$B$5*(I60-L60)-(Premissas!$B$6+Premissas!$B$7)*I60-M60)/I60</f>
        <v/>
      </c>
      <c r="S60" s="24">
        <f>ROUND((CEILING((L60*Premissas!$B$17/Premissas!$B$18-97)/100,1)*100+97)*Premissas!$B$18,2)</f>
        <v/>
      </c>
    </row>
    <row r="61">
      <c r="A61" s="17" t="inlineStr">
        <is>
          <t>KIT 62 MOD. 620W + INV. CHINT 25KW</t>
        </is>
      </c>
      <c r="B61" s="17" t="inlineStr">
        <is>
          <t>CHINT</t>
        </is>
      </c>
      <c r="C61" s="17" t="inlineStr">
        <is>
          <t>Inversor</t>
        </is>
      </c>
      <c r="D61" s="21" t="n">
        <v>62</v>
      </c>
      <c r="E61" s="30" t="n">
        <v>38.44</v>
      </c>
      <c r="F61" s="20" t="inlineStr">
        <is>
          <t>CHINT SCA25K-T-SA TRI 220V</t>
        </is>
      </c>
      <c r="G61" s="21" t="n">
        <v>1</v>
      </c>
      <c r="H61" s="17" t="inlineStr">
        <is>
          <t>Sim</t>
        </is>
      </c>
      <c r="I61" s="23" t="n">
        <v>88826.85000000001</v>
      </c>
      <c r="J61" s="24">
        <f>(D61*Premissas!$B$24+(2*ROUNDUP(D61/2,0))*Premissas!$B$26+INT((2*ROUNDUP(D61/2,0))/4)*Premissas!$B$27+MOD((2*ROUNDUP(D61/2,0)),4)/2*Premissas!$B$28+2*IF(D61&lt;=19,3*D61,IF(D61&lt;=50,ROUNDUP(2.5*D61,0),2*D61))*Premissas!$B$29+IF(C61="Micro",G61*(Premissas!$B$31+Premissas!$B$32+4*Premissas!$B$30),G61*(INDEX(Premissas!$B$40:$B$71,MATCH(F61,Premissas!$A$40:$A$71,0))+INDEX(Premissas!$C$40:$C$71,MATCH(F61,Premissas!$A$40:$A$71,0))*Premissas!$B$30)))</f>
        <v/>
      </c>
      <c r="K61" s="24">
        <f>IF(J61&lt;Premissas!$B$36,MAX(Premissas!$B$33,J61*Premissas!$B$34),J61*Premissas!$B$35)</f>
        <v/>
      </c>
      <c r="L61" s="24">
        <f>ROUND(J61+K61,2)</f>
        <v/>
      </c>
      <c r="M61" s="24">
        <f>D61*Premissas!$B$8+Premissas!$B$9+Premissas!$B$10+Premissas!$B$11+Premissas!$B$12+ROUND(Premissas!$B$13*E61,2)</f>
        <v/>
      </c>
      <c r="N61" s="25">
        <f>ROUNDUP((L61+M61-Premissas!$B$5*L61)/(1-Premissas!$B$6-Premissas!$B$7-Premissas!$B$5-Premissas!$B$14),2)</f>
        <v/>
      </c>
      <c r="O61" s="24">
        <f>ROUND(IF(N61&lt;=30000,N61*(1+Premissas!$B$21),N61+Premissas!$B$21*30000*SQRT(N61/30000)),2)</f>
        <v/>
      </c>
      <c r="P61" s="24">
        <f>N61-I61</f>
        <v/>
      </c>
      <c r="Q61" s="26">
        <f>P61/I61</f>
        <v/>
      </c>
      <c r="R61" s="26">
        <f>(I61-L61-Premissas!$B$5*(I61-L61)-(Premissas!$B$6+Premissas!$B$7)*I61-M61)/I61</f>
        <v/>
      </c>
      <c r="S61" s="24">
        <f>ROUND((CEILING((L61*Premissas!$B$17/Premissas!$B$18-97)/100,1)*100+97)*Premissas!$B$18,2)</f>
        <v/>
      </c>
    </row>
    <row r="62">
      <c r="A62" s="17" t="inlineStr">
        <is>
          <t>KIT 63 MOD. 620W + INV. CHINT 25KW</t>
        </is>
      </c>
      <c r="B62" s="17" t="inlineStr">
        <is>
          <t>CHINT</t>
        </is>
      </c>
      <c r="C62" s="17" t="inlineStr">
        <is>
          <t>Inversor</t>
        </is>
      </c>
      <c r="D62" s="21" t="n">
        <v>63</v>
      </c>
      <c r="E62" s="30" t="n">
        <v>39.06</v>
      </c>
      <c r="F62" s="20" t="inlineStr">
        <is>
          <t>CHINT SCA25K-T-SA TRI 220V</t>
        </is>
      </c>
      <c r="G62" s="21" t="n">
        <v>1</v>
      </c>
      <c r="H62" s="17" t="inlineStr">
        <is>
          <t>Sim</t>
        </is>
      </c>
      <c r="I62" s="23" t="n">
        <v>90191.85000000001</v>
      </c>
      <c r="J62" s="24">
        <f>(D62*Premissas!$B$24+(2*ROUNDUP(D62/2,0))*Premissas!$B$26+INT((2*ROUNDUP(D62/2,0))/4)*Premissas!$B$27+MOD((2*ROUNDUP(D62/2,0)),4)/2*Premissas!$B$28+2*IF(D62&lt;=19,3*D62,IF(D62&lt;=50,ROUNDUP(2.5*D62,0),2*D62))*Premissas!$B$29+IF(C62="Micro",G62*(Premissas!$B$31+Premissas!$B$32+4*Premissas!$B$30),G62*(INDEX(Premissas!$B$40:$B$71,MATCH(F62,Premissas!$A$40:$A$71,0))+INDEX(Premissas!$C$40:$C$71,MATCH(F62,Premissas!$A$40:$A$71,0))*Premissas!$B$30)))</f>
        <v/>
      </c>
      <c r="K62" s="24">
        <f>IF(J62&lt;Premissas!$B$36,MAX(Premissas!$B$33,J62*Premissas!$B$34),J62*Premissas!$B$35)</f>
        <v/>
      </c>
      <c r="L62" s="24">
        <f>ROUND(J62+K62,2)</f>
        <v/>
      </c>
      <c r="M62" s="24">
        <f>D62*Premissas!$B$8+Premissas!$B$9+Premissas!$B$10+Premissas!$B$11+Premissas!$B$12+ROUND(Premissas!$B$13*E62,2)</f>
        <v/>
      </c>
      <c r="N62" s="25">
        <f>ROUNDUP((L62+M62-Premissas!$B$5*L62)/(1-Premissas!$B$6-Premissas!$B$7-Premissas!$B$5-Premissas!$B$14),2)</f>
        <v/>
      </c>
      <c r="O62" s="24">
        <f>ROUND(IF(N62&lt;=30000,N62*(1+Premissas!$B$21),N62+Premissas!$B$21*30000*SQRT(N62/30000)),2)</f>
        <v/>
      </c>
      <c r="P62" s="24">
        <f>N62-I62</f>
        <v/>
      </c>
      <c r="Q62" s="26">
        <f>P62/I62</f>
        <v/>
      </c>
      <c r="R62" s="26">
        <f>(I62-L62-Premissas!$B$5*(I62-L62)-(Premissas!$B$6+Premissas!$B$7)*I62-M62)/I62</f>
        <v/>
      </c>
      <c r="S62" s="24">
        <f>ROUND((CEILING((L62*Premissas!$B$17/Premissas!$B$18-97)/100,1)*100+97)*Premissas!$B$18,2)</f>
        <v/>
      </c>
    </row>
    <row r="63">
      <c r="A63" s="17" t="inlineStr">
        <is>
          <t>KIT 64 MOD. 620W + INV. CHINT 25KW</t>
        </is>
      </c>
      <c r="B63" s="17" t="inlineStr">
        <is>
          <t>CHINT</t>
        </is>
      </c>
      <c r="C63" s="17" t="inlineStr">
        <is>
          <t>Inversor</t>
        </is>
      </c>
      <c r="D63" s="21" t="n">
        <v>64</v>
      </c>
      <c r="E63" s="30" t="n">
        <v>39.68</v>
      </c>
      <c r="F63" s="20" t="inlineStr">
        <is>
          <t>CHINT SCA25K-T-SA TRI 220V</t>
        </is>
      </c>
      <c r="G63" s="21" t="n">
        <v>1</v>
      </c>
      <c r="H63" s="17" t="inlineStr">
        <is>
          <t>Sim</t>
        </is>
      </c>
      <c r="I63" s="23" t="n">
        <v>91136.85000000001</v>
      </c>
      <c r="J63" s="24">
        <f>(D63*Premissas!$B$24+(2*ROUNDUP(D63/2,0))*Premissas!$B$26+INT((2*ROUNDUP(D63/2,0))/4)*Premissas!$B$27+MOD((2*ROUNDUP(D63/2,0)),4)/2*Premissas!$B$28+2*IF(D63&lt;=19,3*D63,IF(D63&lt;=50,ROUNDUP(2.5*D63,0),2*D63))*Premissas!$B$29+IF(C63="Micro",G63*(Premissas!$B$31+Premissas!$B$32+4*Premissas!$B$30),G63*(INDEX(Premissas!$B$40:$B$71,MATCH(F63,Premissas!$A$40:$A$71,0))+INDEX(Premissas!$C$40:$C$71,MATCH(F63,Premissas!$A$40:$A$71,0))*Premissas!$B$30)))</f>
        <v/>
      </c>
      <c r="K63" s="24">
        <f>IF(J63&lt;Premissas!$B$36,MAX(Premissas!$B$33,J63*Premissas!$B$34),J63*Premissas!$B$35)</f>
        <v/>
      </c>
      <c r="L63" s="24">
        <f>ROUND(J63+K63,2)</f>
        <v/>
      </c>
      <c r="M63" s="24">
        <f>D63*Premissas!$B$8+Premissas!$B$9+Premissas!$B$10+Premissas!$B$11+Premissas!$B$12+ROUND(Premissas!$B$13*E63,2)</f>
        <v/>
      </c>
      <c r="N63" s="25">
        <f>ROUNDUP((L63+M63-Premissas!$B$5*L63)/(1-Premissas!$B$6-Premissas!$B$7-Premissas!$B$5-Premissas!$B$14),2)</f>
        <v/>
      </c>
      <c r="O63" s="24">
        <f>ROUND(IF(N63&lt;=30000,N63*(1+Premissas!$B$21),N63+Premissas!$B$21*30000*SQRT(N63/30000)),2)</f>
        <v/>
      </c>
      <c r="P63" s="24">
        <f>N63-I63</f>
        <v/>
      </c>
      <c r="Q63" s="26">
        <f>P63/I63</f>
        <v/>
      </c>
      <c r="R63" s="26">
        <f>(I63-L63-Premissas!$B$5*(I63-L63)-(Premissas!$B$6+Premissas!$B$7)*I63-M63)/I63</f>
        <v/>
      </c>
      <c r="S63" s="24">
        <f>ROUND((CEILING((L63*Premissas!$B$17/Premissas!$B$18-97)/100,1)*100+97)*Premissas!$B$18,2)</f>
        <v/>
      </c>
    </row>
    <row r="64">
      <c r="A64" s="17" t="inlineStr">
        <is>
          <t>KIT 65 MOD. 620W + INV. CHINT 25KW</t>
        </is>
      </c>
      <c r="B64" s="17" t="inlineStr">
        <is>
          <t>CHINT</t>
        </is>
      </c>
      <c r="C64" s="17" t="inlineStr">
        <is>
          <t>Inversor</t>
        </is>
      </c>
      <c r="D64" s="21" t="n">
        <v>65</v>
      </c>
      <c r="E64" s="30" t="n">
        <v>40.3</v>
      </c>
      <c r="F64" s="20" t="inlineStr">
        <is>
          <t>CHINT SCA25K-T-SA TRI 220V</t>
        </is>
      </c>
      <c r="G64" s="21" t="n">
        <v>1</v>
      </c>
      <c r="H64" s="17" t="inlineStr">
        <is>
          <t>Sim</t>
        </is>
      </c>
      <c r="I64" s="23" t="n">
        <v>92501.85000000001</v>
      </c>
      <c r="J64" s="24">
        <f>(D64*Premissas!$B$24+(2*ROUNDUP(D64/2,0))*Premissas!$B$26+INT((2*ROUNDUP(D64/2,0))/4)*Premissas!$B$27+MOD((2*ROUNDUP(D64/2,0)),4)/2*Premissas!$B$28+2*IF(D64&lt;=19,3*D64,IF(D64&lt;=50,ROUNDUP(2.5*D64,0),2*D64))*Premissas!$B$29+IF(C64="Micro",G64*(Premissas!$B$31+Premissas!$B$32+4*Premissas!$B$30),G64*(INDEX(Premissas!$B$40:$B$71,MATCH(F64,Premissas!$A$40:$A$71,0))+INDEX(Premissas!$C$40:$C$71,MATCH(F64,Premissas!$A$40:$A$71,0))*Premissas!$B$30)))</f>
        <v/>
      </c>
      <c r="K64" s="24">
        <f>IF(J64&lt;Premissas!$B$36,MAX(Premissas!$B$33,J64*Premissas!$B$34),J64*Premissas!$B$35)</f>
        <v/>
      </c>
      <c r="L64" s="24">
        <f>ROUND(J64+K64,2)</f>
        <v/>
      </c>
      <c r="M64" s="24">
        <f>D64*Premissas!$B$8+Premissas!$B$9+Premissas!$B$10+Premissas!$B$11+Premissas!$B$12+ROUND(Premissas!$B$13*E64,2)</f>
        <v/>
      </c>
      <c r="N64" s="25">
        <f>ROUNDUP((L64+M64-Premissas!$B$5*L64)/(1-Premissas!$B$6-Premissas!$B$7-Premissas!$B$5-Premissas!$B$14),2)</f>
        <v/>
      </c>
      <c r="O64" s="24">
        <f>ROUND(IF(N64&lt;=30000,N64*(1+Premissas!$B$21),N64+Premissas!$B$21*30000*SQRT(N64/30000)),2)</f>
        <v/>
      </c>
      <c r="P64" s="24">
        <f>N64-I64</f>
        <v/>
      </c>
      <c r="Q64" s="26">
        <f>P64/I64</f>
        <v/>
      </c>
      <c r="R64" s="26">
        <f>(I64-L64-Premissas!$B$5*(I64-L64)-(Premissas!$B$6+Premissas!$B$7)*I64-M64)/I64</f>
        <v/>
      </c>
      <c r="S64" s="24">
        <f>ROUND((CEILING((L64*Premissas!$B$17/Premissas!$B$18-97)/100,1)*100+97)*Premissas!$B$18,2)</f>
        <v/>
      </c>
    </row>
    <row r="65">
      <c r="A65" s="17" t="inlineStr">
        <is>
          <t>KIT 66 MOD. 620W + INV. CHINT 25KW</t>
        </is>
      </c>
      <c r="B65" s="17" t="inlineStr">
        <is>
          <t>CHINT</t>
        </is>
      </c>
      <c r="C65" s="17" t="inlineStr">
        <is>
          <t>Inversor</t>
        </is>
      </c>
      <c r="D65" s="21" t="n">
        <v>66</v>
      </c>
      <c r="E65" s="30" t="n">
        <v>40.92</v>
      </c>
      <c r="F65" s="20" t="inlineStr">
        <is>
          <t>CHINT SCA25K-T-SA TRI 220V</t>
        </is>
      </c>
      <c r="G65" s="21" t="n">
        <v>1</v>
      </c>
      <c r="H65" s="17" t="inlineStr">
        <is>
          <t>Sim</t>
        </is>
      </c>
      <c r="I65" s="23" t="n">
        <v>93551.85000000001</v>
      </c>
      <c r="J65" s="24">
        <f>(D65*Premissas!$B$24+(2*ROUNDUP(D65/2,0))*Premissas!$B$26+INT((2*ROUNDUP(D65/2,0))/4)*Premissas!$B$27+MOD((2*ROUNDUP(D65/2,0)),4)/2*Premissas!$B$28+2*IF(D65&lt;=19,3*D65,IF(D65&lt;=50,ROUNDUP(2.5*D65,0),2*D65))*Premissas!$B$29+IF(C65="Micro",G65*(Premissas!$B$31+Premissas!$B$32+4*Premissas!$B$30),G65*(INDEX(Premissas!$B$40:$B$71,MATCH(F65,Premissas!$A$40:$A$71,0))+INDEX(Premissas!$C$40:$C$71,MATCH(F65,Premissas!$A$40:$A$71,0))*Premissas!$B$30)))</f>
        <v/>
      </c>
      <c r="K65" s="24">
        <f>IF(J65&lt;Premissas!$B$36,MAX(Premissas!$B$33,J65*Premissas!$B$34),J65*Premissas!$B$35)</f>
        <v/>
      </c>
      <c r="L65" s="24">
        <f>ROUND(J65+K65,2)</f>
        <v/>
      </c>
      <c r="M65" s="24">
        <f>D65*Premissas!$B$8+Premissas!$B$9+Premissas!$B$10+Premissas!$B$11+Premissas!$B$12+ROUND(Premissas!$B$13*E65,2)</f>
        <v/>
      </c>
      <c r="N65" s="25">
        <f>ROUNDUP((L65+M65-Premissas!$B$5*L65)/(1-Premissas!$B$6-Premissas!$B$7-Premissas!$B$5-Premissas!$B$14),2)</f>
        <v/>
      </c>
      <c r="O65" s="24">
        <f>ROUND(IF(N65&lt;=30000,N65*(1+Premissas!$B$21),N65+Premissas!$B$21*30000*SQRT(N65/30000)),2)</f>
        <v/>
      </c>
      <c r="P65" s="24">
        <f>N65-I65</f>
        <v/>
      </c>
      <c r="Q65" s="26">
        <f>P65/I65</f>
        <v/>
      </c>
      <c r="R65" s="26">
        <f>(I65-L65-Premissas!$B$5*(I65-L65)-(Premissas!$B$6+Premissas!$B$7)*I65-M65)/I65</f>
        <v/>
      </c>
      <c r="S65" s="24">
        <f>ROUND((CEILING((L65*Premissas!$B$17/Premissas!$B$18-97)/100,1)*100+97)*Premissas!$B$18,2)</f>
        <v/>
      </c>
    </row>
    <row r="66">
      <c r="A66" s="17" t="inlineStr">
        <is>
          <t>KIT 67 MOD. 620W + INV. CHINT 25KW</t>
        </is>
      </c>
      <c r="B66" s="17" t="inlineStr">
        <is>
          <t>CHINT</t>
        </is>
      </c>
      <c r="C66" s="17" t="inlineStr">
        <is>
          <t>Inversor</t>
        </is>
      </c>
      <c r="D66" s="21" t="n">
        <v>67</v>
      </c>
      <c r="E66" s="30" t="n">
        <v>41.54</v>
      </c>
      <c r="F66" s="20" t="inlineStr">
        <is>
          <t>CHINT SCA25K-T-SA TRI 220V</t>
        </is>
      </c>
      <c r="G66" s="21" t="n">
        <v>1</v>
      </c>
      <c r="H66" s="17" t="inlineStr">
        <is>
          <t>Sim</t>
        </is>
      </c>
      <c r="I66" s="23" t="n">
        <v>94811.85000000001</v>
      </c>
      <c r="J66" s="24">
        <f>(D66*Premissas!$B$24+(2*ROUNDUP(D66/2,0))*Premissas!$B$26+INT((2*ROUNDUP(D66/2,0))/4)*Premissas!$B$27+MOD((2*ROUNDUP(D66/2,0)),4)/2*Premissas!$B$28+2*IF(D66&lt;=19,3*D66,IF(D66&lt;=50,ROUNDUP(2.5*D66,0),2*D66))*Premissas!$B$29+IF(C66="Micro",G66*(Premissas!$B$31+Premissas!$B$32+4*Premissas!$B$30),G66*(INDEX(Premissas!$B$40:$B$71,MATCH(F66,Premissas!$A$40:$A$71,0))+INDEX(Premissas!$C$40:$C$71,MATCH(F66,Premissas!$A$40:$A$71,0))*Premissas!$B$30)))</f>
        <v/>
      </c>
      <c r="K66" s="24">
        <f>IF(J66&lt;Premissas!$B$36,MAX(Premissas!$B$33,J66*Premissas!$B$34),J66*Premissas!$B$35)</f>
        <v/>
      </c>
      <c r="L66" s="24">
        <f>ROUND(J66+K66,2)</f>
        <v/>
      </c>
      <c r="M66" s="24">
        <f>D66*Premissas!$B$8+Premissas!$B$9+Premissas!$B$10+Premissas!$B$11+Premissas!$B$12+ROUND(Premissas!$B$13*E66,2)</f>
        <v/>
      </c>
      <c r="N66" s="25">
        <f>ROUNDUP((L66+M66-Premissas!$B$5*L66)/(1-Premissas!$B$6-Premissas!$B$7-Premissas!$B$5-Premissas!$B$14),2)</f>
        <v/>
      </c>
      <c r="O66" s="24">
        <f>ROUND(IF(N66&lt;=30000,N66*(1+Premissas!$B$21),N66+Premissas!$B$21*30000*SQRT(N66/30000)),2)</f>
        <v/>
      </c>
      <c r="P66" s="24">
        <f>N66-I66</f>
        <v/>
      </c>
      <c r="Q66" s="26">
        <f>P66/I66</f>
        <v/>
      </c>
      <c r="R66" s="26">
        <f>(I66-L66-Premissas!$B$5*(I66-L66)-(Premissas!$B$6+Premissas!$B$7)*I66-M66)/I66</f>
        <v/>
      </c>
      <c r="S66" s="24">
        <f>ROUND((CEILING((L66*Premissas!$B$17/Premissas!$B$18-97)/100,1)*100+97)*Premissas!$B$18,2)</f>
        <v/>
      </c>
    </row>
    <row r="67">
      <c r="A67" s="17" t="inlineStr">
        <is>
          <t>KIT 68 MOD. 620W + INV. CHINT 25KW</t>
        </is>
      </c>
      <c r="B67" s="17" t="inlineStr">
        <is>
          <t>CHINT</t>
        </is>
      </c>
      <c r="C67" s="17" t="inlineStr">
        <is>
          <t>Inversor</t>
        </is>
      </c>
      <c r="D67" s="21" t="n">
        <v>68</v>
      </c>
      <c r="E67" s="30" t="n">
        <v>42.16</v>
      </c>
      <c r="F67" s="20" t="inlineStr">
        <is>
          <t>CHINT SCA25K-T-SA TRI 220V</t>
        </is>
      </c>
      <c r="G67" s="21" t="n">
        <v>1</v>
      </c>
      <c r="H67" s="17" t="inlineStr">
        <is>
          <t>Sim</t>
        </is>
      </c>
      <c r="I67" s="23" t="n">
        <v>95861.85000000001</v>
      </c>
      <c r="J67" s="24">
        <f>(D67*Premissas!$B$24+(2*ROUNDUP(D67/2,0))*Premissas!$B$26+INT((2*ROUNDUP(D67/2,0))/4)*Premissas!$B$27+MOD((2*ROUNDUP(D67/2,0)),4)/2*Premissas!$B$28+2*IF(D67&lt;=19,3*D67,IF(D67&lt;=50,ROUNDUP(2.5*D67,0),2*D67))*Premissas!$B$29+IF(C67="Micro",G67*(Premissas!$B$31+Premissas!$B$32+4*Premissas!$B$30),G67*(INDEX(Premissas!$B$40:$B$71,MATCH(F67,Premissas!$A$40:$A$71,0))+INDEX(Premissas!$C$40:$C$71,MATCH(F67,Premissas!$A$40:$A$71,0))*Premissas!$B$30)))</f>
        <v/>
      </c>
      <c r="K67" s="24">
        <f>IF(J67&lt;Premissas!$B$36,MAX(Premissas!$B$33,J67*Premissas!$B$34),J67*Premissas!$B$35)</f>
        <v/>
      </c>
      <c r="L67" s="24">
        <f>ROUND(J67+K67,2)</f>
        <v/>
      </c>
      <c r="M67" s="24">
        <f>D67*Premissas!$B$8+Premissas!$B$9+Premissas!$B$10+Premissas!$B$11+Premissas!$B$12+ROUND(Premissas!$B$13*E67,2)</f>
        <v/>
      </c>
      <c r="N67" s="25">
        <f>ROUNDUP((L67+M67-Premissas!$B$5*L67)/(1-Premissas!$B$6-Premissas!$B$7-Premissas!$B$5-Premissas!$B$14),2)</f>
        <v/>
      </c>
      <c r="O67" s="24">
        <f>ROUND(IF(N67&lt;=30000,N67*(1+Premissas!$B$21),N67+Premissas!$B$21*30000*SQRT(N67/30000)),2)</f>
        <v/>
      </c>
      <c r="P67" s="24">
        <f>N67-I67</f>
        <v/>
      </c>
      <c r="Q67" s="26">
        <f>P67/I67</f>
        <v/>
      </c>
      <c r="R67" s="26">
        <f>(I67-L67-Premissas!$B$5*(I67-L67)-(Premissas!$B$6+Premissas!$B$7)*I67-M67)/I67</f>
        <v/>
      </c>
      <c r="S67" s="24">
        <f>ROUND((CEILING((L67*Premissas!$B$17/Premissas!$B$18-97)/100,1)*100+97)*Premissas!$B$18,2)</f>
        <v/>
      </c>
    </row>
    <row r="68">
      <c r="A68" s="17" t="inlineStr">
        <is>
          <t>KIT 69 MOD. 620W + INV. CHINT 30KW</t>
        </is>
      </c>
      <c r="B68" s="17" t="inlineStr">
        <is>
          <t>CHINT</t>
        </is>
      </c>
      <c r="C68" s="17" t="inlineStr">
        <is>
          <t>Inversor</t>
        </is>
      </c>
      <c r="D68" s="21" t="n">
        <v>69</v>
      </c>
      <c r="E68" s="30" t="n">
        <v>42.78</v>
      </c>
      <c r="F68" s="20" t="inlineStr">
        <is>
          <t>CHINT CPS SCA30KTL-T/SA TRI 220V</t>
        </is>
      </c>
      <c r="G68" s="21" t="n">
        <v>1</v>
      </c>
      <c r="H68" s="17" t="inlineStr">
        <is>
          <t>Sim</t>
        </is>
      </c>
      <c r="I68" s="23" t="n">
        <v>97856.85000000001</v>
      </c>
      <c r="J68" s="24">
        <f>(D68*Premissas!$B$24+(2*ROUNDUP(D68/2,0))*Premissas!$B$26+INT((2*ROUNDUP(D68/2,0))/4)*Premissas!$B$27+MOD((2*ROUNDUP(D68/2,0)),4)/2*Premissas!$B$28+2*IF(D68&lt;=19,3*D68,IF(D68&lt;=50,ROUNDUP(2.5*D68,0),2*D68))*Premissas!$B$29+IF(C68="Micro",G68*(Premissas!$B$31+Premissas!$B$32+4*Premissas!$B$30),G68*(INDEX(Premissas!$B$40:$B$71,MATCH(F68,Premissas!$A$40:$A$71,0))+INDEX(Premissas!$C$40:$C$71,MATCH(F68,Premissas!$A$40:$A$71,0))*Premissas!$B$30)))</f>
        <v/>
      </c>
      <c r="K68" s="24">
        <f>IF(J68&lt;Premissas!$B$36,MAX(Premissas!$B$33,J68*Premissas!$B$34),J68*Premissas!$B$35)</f>
        <v/>
      </c>
      <c r="L68" s="24">
        <f>ROUND(J68+K68,2)</f>
        <v/>
      </c>
      <c r="M68" s="24">
        <f>D68*Premissas!$B$8+Premissas!$B$9+Premissas!$B$10+Premissas!$B$11+Premissas!$B$12+ROUND(Premissas!$B$13*E68,2)</f>
        <v/>
      </c>
      <c r="N68" s="25">
        <f>ROUNDUP((L68+M68-Premissas!$B$5*L68)/(1-Premissas!$B$6-Premissas!$B$7-Premissas!$B$5-Premissas!$B$14),2)</f>
        <v/>
      </c>
      <c r="O68" s="24">
        <f>ROUND(IF(N68&lt;=30000,N68*(1+Premissas!$B$21),N68+Premissas!$B$21*30000*SQRT(N68/30000)),2)</f>
        <v/>
      </c>
      <c r="P68" s="24">
        <f>N68-I68</f>
        <v/>
      </c>
      <c r="Q68" s="26">
        <f>P68/I68</f>
        <v/>
      </c>
      <c r="R68" s="26">
        <f>(I68-L68-Premissas!$B$5*(I68-L68)-(Premissas!$B$6+Premissas!$B$7)*I68-M68)/I68</f>
        <v/>
      </c>
      <c r="S68" s="24">
        <f>ROUND((CEILING((L68*Premissas!$B$17/Premissas!$B$18-97)/100,1)*100+97)*Premissas!$B$18,2)</f>
        <v/>
      </c>
    </row>
    <row r="69">
      <c r="A69" s="17" t="inlineStr">
        <is>
          <t>KIT 70 MOD. 620W + INV. CHINT 30KW</t>
        </is>
      </c>
      <c r="B69" s="17" t="inlineStr">
        <is>
          <t>CHINT</t>
        </is>
      </c>
      <c r="C69" s="17" t="inlineStr">
        <is>
          <t>Inversor</t>
        </is>
      </c>
      <c r="D69" s="21" t="n">
        <v>70</v>
      </c>
      <c r="E69" s="30" t="n">
        <v>43.4</v>
      </c>
      <c r="F69" s="20" t="inlineStr">
        <is>
          <t>CHINT CPS SCA30KTL-T/SA TRI 220V</t>
        </is>
      </c>
      <c r="G69" s="21" t="n">
        <v>1</v>
      </c>
      <c r="H69" s="17" t="inlineStr">
        <is>
          <t>Sim</t>
        </is>
      </c>
      <c r="I69" s="23" t="n">
        <v>98906.85000000001</v>
      </c>
      <c r="J69" s="24">
        <f>(D69*Premissas!$B$24+(2*ROUNDUP(D69/2,0))*Premissas!$B$26+INT((2*ROUNDUP(D69/2,0))/4)*Premissas!$B$27+MOD((2*ROUNDUP(D69/2,0)),4)/2*Premissas!$B$28+2*IF(D69&lt;=19,3*D69,IF(D69&lt;=50,ROUNDUP(2.5*D69,0),2*D69))*Premissas!$B$29+IF(C69="Micro",G69*(Premissas!$B$31+Premissas!$B$32+4*Premissas!$B$30),G69*(INDEX(Premissas!$B$40:$B$71,MATCH(F69,Premissas!$A$40:$A$71,0))+INDEX(Premissas!$C$40:$C$71,MATCH(F69,Premissas!$A$40:$A$71,0))*Premissas!$B$30)))</f>
        <v/>
      </c>
      <c r="K69" s="24">
        <f>IF(J69&lt;Premissas!$B$36,MAX(Premissas!$B$33,J69*Premissas!$B$34),J69*Premissas!$B$35)</f>
        <v/>
      </c>
      <c r="L69" s="24">
        <f>ROUND(J69+K69,2)</f>
        <v/>
      </c>
      <c r="M69" s="24">
        <f>D69*Premissas!$B$8+Premissas!$B$9+Premissas!$B$10+Premissas!$B$11+Premissas!$B$12+ROUND(Premissas!$B$13*E69,2)</f>
        <v/>
      </c>
      <c r="N69" s="25">
        <f>ROUNDUP((L69+M69-Premissas!$B$5*L69)/(1-Premissas!$B$6-Premissas!$B$7-Premissas!$B$5-Premissas!$B$14),2)</f>
        <v/>
      </c>
      <c r="O69" s="24">
        <f>ROUND(IF(N69&lt;=30000,N69*(1+Premissas!$B$21),N69+Premissas!$B$21*30000*SQRT(N69/30000)),2)</f>
        <v/>
      </c>
      <c r="P69" s="24">
        <f>N69-I69</f>
        <v/>
      </c>
      <c r="Q69" s="26">
        <f>P69/I69</f>
        <v/>
      </c>
      <c r="R69" s="26">
        <f>(I69-L69-Premissas!$B$5*(I69-L69)-(Premissas!$B$6+Premissas!$B$7)*I69-M69)/I69</f>
        <v/>
      </c>
      <c r="S69" s="24">
        <f>ROUND((CEILING((L69*Premissas!$B$17/Premissas!$B$18-97)/100,1)*100+97)*Premissas!$B$18,2)</f>
        <v/>
      </c>
    </row>
    <row r="70">
      <c r="A70" s="17" t="inlineStr">
        <is>
          <t>KIT 71 MOD. 620W + INV. CHINT 30KW</t>
        </is>
      </c>
      <c r="B70" s="17" t="inlineStr">
        <is>
          <t>CHINT</t>
        </is>
      </c>
      <c r="C70" s="17" t="inlineStr">
        <is>
          <t>Inversor</t>
        </is>
      </c>
      <c r="D70" s="21" t="n">
        <v>71</v>
      </c>
      <c r="E70" s="30" t="n">
        <v>44.02</v>
      </c>
      <c r="F70" s="20" t="inlineStr">
        <is>
          <t>CHINT CPS SCA30KTL-T/SA TRI 220V</t>
        </is>
      </c>
      <c r="G70" s="21" t="n">
        <v>1</v>
      </c>
      <c r="H70" s="17" t="inlineStr">
        <is>
          <t>Sim</t>
        </is>
      </c>
      <c r="I70" s="23" t="n">
        <v>100271.85</v>
      </c>
      <c r="J70" s="24">
        <f>(D70*Premissas!$B$24+(2*ROUNDUP(D70/2,0))*Premissas!$B$26+INT((2*ROUNDUP(D70/2,0))/4)*Premissas!$B$27+MOD((2*ROUNDUP(D70/2,0)),4)/2*Premissas!$B$28+2*IF(D70&lt;=19,3*D70,IF(D70&lt;=50,ROUNDUP(2.5*D70,0),2*D70))*Premissas!$B$29+IF(C70="Micro",G70*(Premissas!$B$31+Premissas!$B$32+4*Premissas!$B$30),G70*(INDEX(Premissas!$B$40:$B$71,MATCH(F70,Premissas!$A$40:$A$71,0))+INDEX(Premissas!$C$40:$C$71,MATCH(F70,Premissas!$A$40:$A$71,0))*Premissas!$B$30)))</f>
        <v/>
      </c>
      <c r="K70" s="24">
        <f>IF(J70&lt;Premissas!$B$36,MAX(Premissas!$B$33,J70*Premissas!$B$34),J70*Premissas!$B$35)</f>
        <v/>
      </c>
      <c r="L70" s="24">
        <f>ROUND(J70+K70,2)</f>
        <v/>
      </c>
      <c r="M70" s="24">
        <f>D70*Premissas!$B$8+Premissas!$B$9+Premissas!$B$10+Premissas!$B$11+Premissas!$B$12+ROUND(Premissas!$B$13*E70,2)</f>
        <v/>
      </c>
      <c r="N70" s="25">
        <f>ROUNDUP((L70+M70-Premissas!$B$5*L70)/(1-Premissas!$B$6-Premissas!$B$7-Premissas!$B$5-Premissas!$B$14),2)</f>
        <v/>
      </c>
      <c r="O70" s="24">
        <f>ROUND(IF(N70&lt;=30000,N70*(1+Premissas!$B$21),N70+Premissas!$B$21*30000*SQRT(N70/30000)),2)</f>
        <v/>
      </c>
      <c r="P70" s="24">
        <f>N70-I70</f>
        <v/>
      </c>
      <c r="Q70" s="26">
        <f>P70/I70</f>
        <v/>
      </c>
      <c r="R70" s="26">
        <f>(I70-L70-Premissas!$B$5*(I70-L70)-(Premissas!$B$6+Premissas!$B$7)*I70-M70)/I70</f>
        <v/>
      </c>
      <c r="S70" s="24">
        <f>ROUND((CEILING((L70*Premissas!$B$17/Premissas!$B$18-97)/100,1)*100+97)*Premissas!$B$18,2)</f>
        <v/>
      </c>
    </row>
    <row r="71">
      <c r="A71" s="17" t="inlineStr">
        <is>
          <t>KIT 72 MOD. 620W + INV. CHINT 30KW</t>
        </is>
      </c>
      <c r="B71" s="17" t="inlineStr">
        <is>
          <t>CHINT</t>
        </is>
      </c>
      <c r="C71" s="17" t="inlineStr">
        <is>
          <t>Inversor</t>
        </is>
      </c>
      <c r="D71" s="21" t="n">
        <v>72</v>
      </c>
      <c r="E71" s="30" t="n">
        <v>44.64</v>
      </c>
      <c r="F71" s="20" t="inlineStr">
        <is>
          <t>CHINT CPS SCA30KTL-T/SA TRI 220V</t>
        </is>
      </c>
      <c r="G71" s="21" t="n">
        <v>1</v>
      </c>
      <c r="H71" s="17" t="inlineStr">
        <is>
          <t>Sim</t>
        </is>
      </c>
      <c r="I71" s="23" t="n">
        <v>101321.85</v>
      </c>
      <c r="J71" s="24">
        <f>(D71*Premissas!$B$24+(2*ROUNDUP(D71/2,0))*Premissas!$B$26+INT((2*ROUNDUP(D71/2,0))/4)*Premissas!$B$27+MOD((2*ROUNDUP(D71/2,0)),4)/2*Premissas!$B$28+2*IF(D71&lt;=19,3*D71,IF(D71&lt;=50,ROUNDUP(2.5*D71,0),2*D71))*Premissas!$B$29+IF(C71="Micro",G71*(Premissas!$B$31+Premissas!$B$32+4*Premissas!$B$30),G71*(INDEX(Premissas!$B$40:$B$71,MATCH(F71,Premissas!$A$40:$A$71,0))+INDEX(Premissas!$C$40:$C$71,MATCH(F71,Premissas!$A$40:$A$71,0))*Premissas!$B$30)))</f>
        <v/>
      </c>
      <c r="K71" s="24">
        <f>IF(J71&lt;Premissas!$B$36,MAX(Premissas!$B$33,J71*Premissas!$B$34),J71*Premissas!$B$35)</f>
        <v/>
      </c>
      <c r="L71" s="24">
        <f>ROUND(J71+K71,2)</f>
        <v/>
      </c>
      <c r="M71" s="24">
        <f>D71*Premissas!$B$8+Premissas!$B$9+Premissas!$B$10+Premissas!$B$11+Premissas!$B$12+ROUND(Premissas!$B$13*E71,2)</f>
        <v/>
      </c>
      <c r="N71" s="25">
        <f>ROUNDUP((L71+M71-Premissas!$B$5*L71)/(1-Premissas!$B$6-Premissas!$B$7-Premissas!$B$5-Premissas!$B$14),2)</f>
        <v/>
      </c>
      <c r="O71" s="24">
        <f>ROUND(IF(N71&lt;=30000,N71*(1+Premissas!$B$21),N71+Premissas!$B$21*30000*SQRT(N71/30000)),2)</f>
        <v/>
      </c>
      <c r="P71" s="24">
        <f>N71-I71</f>
        <v/>
      </c>
      <c r="Q71" s="26">
        <f>P71/I71</f>
        <v/>
      </c>
      <c r="R71" s="26">
        <f>(I71-L71-Premissas!$B$5*(I71-L71)-(Premissas!$B$6+Premissas!$B$7)*I71-M71)/I71</f>
        <v/>
      </c>
      <c r="S71" s="24">
        <f>ROUND((CEILING((L71*Premissas!$B$17/Premissas!$B$18-97)/100,1)*100+97)*Premissas!$B$18,2)</f>
        <v/>
      </c>
    </row>
    <row r="72">
      <c r="A72" s="17" t="inlineStr">
        <is>
          <t>KIT 73 MOD. 620W + INV. CHINT 30KW</t>
        </is>
      </c>
      <c r="B72" s="17" t="inlineStr">
        <is>
          <t>CHINT</t>
        </is>
      </c>
      <c r="C72" s="17" t="inlineStr">
        <is>
          <t>Inversor</t>
        </is>
      </c>
      <c r="D72" s="21" t="n">
        <v>73</v>
      </c>
      <c r="E72" s="30" t="n">
        <v>45.26</v>
      </c>
      <c r="F72" s="20" t="inlineStr">
        <is>
          <t>CHINT CPS SCA30KTL-T/SA TRI 220V</t>
        </is>
      </c>
      <c r="G72" s="21" t="n">
        <v>1</v>
      </c>
      <c r="H72" s="17" t="inlineStr">
        <is>
          <t>Sim</t>
        </is>
      </c>
      <c r="I72" s="23" t="n">
        <v>102581.85</v>
      </c>
      <c r="J72" s="24">
        <f>(D72*Premissas!$B$24+(2*ROUNDUP(D72/2,0))*Premissas!$B$26+INT((2*ROUNDUP(D72/2,0))/4)*Premissas!$B$27+MOD((2*ROUNDUP(D72/2,0)),4)/2*Premissas!$B$28+2*IF(D72&lt;=19,3*D72,IF(D72&lt;=50,ROUNDUP(2.5*D72,0),2*D72))*Premissas!$B$29+IF(C72="Micro",G72*(Premissas!$B$31+Premissas!$B$32+4*Premissas!$B$30),G72*(INDEX(Premissas!$B$40:$B$71,MATCH(F72,Premissas!$A$40:$A$71,0))+INDEX(Premissas!$C$40:$C$71,MATCH(F72,Premissas!$A$40:$A$71,0))*Premissas!$B$30)))</f>
        <v/>
      </c>
      <c r="K72" s="24">
        <f>IF(J72&lt;Premissas!$B$36,MAX(Premissas!$B$33,J72*Premissas!$B$34),J72*Premissas!$B$35)</f>
        <v/>
      </c>
      <c r="L72" s="24">
        <f>ROUND(J72+K72,2)</f>
        <v/>
      </c>
      <c r="M72" s="24">
        <f>D72*Premissas!$B$8+Premissas!$B$9+Premissas!$B$10+Premissas!$B$11+Premissas!$B$12+ROUND(Premissas!$B$13*E72,2)</f>
        <v/>
      </c>
      <c r="N72" s="25">
        <f>ROUNDUP((L72+M72-Premissas!$B$5*L72)/(1-Premissas!$B$6-Premissas!$B$7-Premissas!$B$5-Premissas!$B$14),2)</f>
        <v/>
      </c>
      <c r="O72" s="24">
        <f>ROUND(IF(N72&lt;=30000,N72*(1+Premissas!$B$21),N72+Premissas!$B$21*30000*SQRT(N72/30000)),2)</f>
        <v/>
      </c>
      <c r="P72" s="24">
        <f>N72-I72</f>
        <v/>
      </c>
      <c r="Q72" s="26">
        <f>P72/I72</f>
        <v/>
      </c>
      <c r="R72" s="26">
        <f>(I72-L72-Premissas!$B$5*(I72-L72)-(Premissas!$B$6+Premissas!$B$7)*I72-M72)/I72</f>
        <v/>
      </c>
      <c r="S72" s="24">
        <f>ROUND((CEILING((L72*Premissas!$B$17/Premissas!$B$18-97)/100,1)*100+97)*Premissas!$B$18,2)</f>
        <v/>
      </c>
    </row>
    <row r="73">
      <c r="A73" s="17" t="inlineStr">
        <is>
          <t>KIT 74 MOD. 620W + INV. CHINT 30KW</t>
        </is>
      </c>
      <c r="B73" s="17" t="inlineStr">
        <is>
          <t>CHINT</t>
        </is>
      </c>
      <c r="C73" s="17" t="inlineStr">
        <is>
          <t>Inversor</t>
        </is>
      </c>
      <c r="D73" s="21" t="n">
        <v>74</v>
      </c>
      <c r="E73" s="30" t="n">
        <v>45.88</v>
      </c>
      <c r="F73" s="20" t="inlineStr">
        <is>
          <t>CHINT CPS SCA30KTL-T/SA TRI 220V</t>
        </is>
      </c>
      <c r="G73" s="21" t="n">
        <v>1</v>
      </c>
      <c r="H73" s="17" t="inlineStr">
        <is>
          <t>Sim</t>
        </is>
      </c>
      <c r="I73" s="23" t="n">
        <v>103631.85</v>
      </c>
      <c r="J73" s="24">
        <f>(D73*Premissas!$B$24+(2*ROUNDUP(D73/2,0))*Premissas!$B$26+INT((2*ROUNDUP(D73/2,0))/4)*Premissas!$B$27+MOD((2*ROUNDUP(D73/2,0)),4)/2*Premissas!$B$28+2*IF(D73&lt;=19,3*D73,IF(D73&lt;=50,ROUNDUP(2.5*D73,0),2*D73))*Premissas!$B$29+IF(C73="Micro",G73*(Premissas!$B$31+Premissas!$B$32+4*Premissas!$B$30),G73*(INDEX(Premissas!$B$40:$B$71,MATCH(F73,Premissas!$A$40:$A$71,0))+INDEX(Premissas!$C$40:$C$71,MATCH(F73,Premissas!$A$40:$A$71,0))*Premissas!$B$30)))</f>
        <v/>
      </c>
      <c r="K73" s="24">
        <f>IF(J73&lt;Premissas!$B$36,MAX(Premissas!$B$33,J73*Premissas!$B$34),J73*Premissas!$B$35)</f>
        <v/>
      </c>
      <c r="L73" s="24">
        <f>ROUND(J73+K73,2)</f>
        <v/>
      </c>
      <c r="M73" s="24">
        <f>D73*Premissas!$B$8+Premissas!$B$9+Premissas!$B$10+Premissas!$B$11+Premissas!$B$12+ROUND(Premissas!$B$13*E73,2)</f>
        <v/>
      </c>
      <c r="N73" s="25">
        <f>ROUNDUP((L73+M73-Premissas!$B$5*L73)/(1-Premissas!$B$6-Premissas!$B$7-Premissas!$B$5-Premissas!$B$14),2)</f>
        <v/>
      </c>
      <c r="O73" s="24">
        <f>ROUND(IF(N73&lt;=30000,N73*(1+Premissas!$B$21),N73+Premissas!$B$21*30000*SQRT(N73/30000)),2)</f>
        <v/>
      </c>
      <c r="P73" s="24">
        <f>N73-I73</f>
        <v/>
      </c>
      <c r="Q73" s="26">
        <f>P73/I73</f>
        <v/>
      </c>
      <c r="R73" s="26">
        <f>(I73-L73-Premissas!$B$5*(I73-L73)-(Premissas!$B$6+Premissas!$B$7)*I73-M73)/I73</f>
        <v/>
      </c>
      <c r="S73" s="24">
        <f>ROUND((CEILING((L73*Premissas!$B$17/Premissas!$B$18-97)/100,1)*100+97)*Premissas!$B$18,2)</f>
        <v/>
      </c>
    </row>
    <row r="74">
      <c r="A74" s="17" t="inlineStr">
        <is>
          <t>KIT 75 MOD. 620W + INV. CHINT 30KW</t>
        </is>
      </c>
      <c r="B74" s="17" t="inlineStr">
        <is>
          <t>CHINT</t>
        </is>
      </c>
      <c r="C74" s="17" t="inlineStr">
        <is>
          <t>Inversor</t>
        </is>
      </c>
      <c r="D74" s="21" t="n">
        <v>75</v>
      </c>
      <c r="E74" s="30" t="n">
        <v>46.5</v>
      </c>
      <c r="F74" s="20" t="inlineStr">
        <is>
          <t>CHINT CPS SCA30KTL-T/SA TRI 220V</t>
        </is>
      </c>
      <c r="G74" s="21" t="n">
        <v>1</v>
      </c>
      <c r="H74" s="17" t="inlineStr">
        <is>
          <t>Sim</t>
        </is>
      </c>
      <c r="I74" s="23" t="n">
        <v>104996.85</v>
      </c>
      <c r="J74" s="24">
        <f>(D74*Premissas!$B$24+(2*ROUNDUP(D74/2,0))*Premissas!$B$26+INT((2*ROUNDUP(D74/2,0))/4)*Premissas!$B$27+MOD((2*ROUNDUP(D74/2,0)),4)/2*Premissas!$B$28+2*IF(D74&lt;=19,3*D74,IF(D74&lt;=50,ROUNDUP(2.5*D74,0),2*D74))*Premissas!$B$29+IF(C74="Micro",G74*(Premissas!$B$31+Premissas!$B$32+4*Premissas!$B$30),G74*(INDEX(Premissas!$B$40:$B$71,MATCH(F74,Premissas!$A$40:$A$71,0))+INDEX(Premissas!$C$40:$C$71,MATCH(F74,Premissas!$A$40:$A$71,0))*Premissas!$B$30)))</f>
        <v/>
      </c>
      <c r="K74" s="24">
        <f>IF(J74&lt;Premissas!$B$36,MAX(Premissas!$B$33,J74*Premissas!$B$34),J74*Premissas!$B$35)</f>
        <v/>
      </c>
      <c r="L74" s="24">
        <f>ROUND(J74+K74,2)</f>
        <v/>
      </c>
      <c r="M74" s="24">
        <f>D74*Premissas!$B$8+Premissas!$B$9+Premissas!$B$10+Premissas!$B$11+Premissas!$B$12+ROUND(Premissas!$B$13*E74,2)</f>
        <v/>
      </c>
      <c r="N74" s="25">
        <f>ROUNDUP((L74+M74-Premissas!$B$5*L74)/(1-Premissas!$B$6-Premissas!$B$7-Premissas!$B$5-Premissas!$B$14),2)</f>
        <v/>
      </c>
      <c r="O74" s="24">
        <f>ROUND(IF(N74&lt;=30000,N74*(1+Premissas!$B$21),N74+Premissas!$B$21*30000*SQRT(N74/30000)),2)</f>
        <v/>
      </c>
      <c r="P74" s="24">
        <f>N74-I74</f>
        <v/>
      </c>
      <c r="Q74" s="26">
        <f>P74/I74</f>
        <v/>
      </c>
      <c r="R74" s="26">
        <f>(I74-L74-Premissas!$B$5*(I74-L74)-(Premissas!$B$6+Premissas!$B$7)*I74-M74)/I74</f>
        <v/>
      </c>
      <c r="S74" s="24">
        <f>ROUND((CEILING((L74*Premissas!$B$17/Premissas!$B$18-97)/100,1)*100+97)*Premissas!$B$18,2)</f>
        <v/>
      </c>
    </row>
    <row r="75">
      <c r="A75" s="17" t="inlineStr">
        <is>
          <t>KIT 76 MOD. 620W + INV. CHINT 30KW</t>
        </is>
      </c>
      <c r="B75" s="17" t="inlineStr">
        <is>
          <t>CHINT</t>
        </is>
      </c>
      <c r="C75" s="17" t="inlineStr">
        <is>
          <t>Inversor</t>
        </is>
      </c>
      <c r="D75" s="21" t="n">
        <v>76</v>
      </c>
      <c r="E75" s="30" t="n">
        <v>47.12</v>
      </c>
      <c r="F75" s="20" t="inlineStr">
        <is>
          <t>CHINT CPS SCA30KTL-T/SA TRI 220V</t>
        </is>
      </c>
      <c r="G75" s="21" t="n">
        <v>1</v>
      </c>
      <c r="H75" s="17" t="inlineStr">
        <is>
          <t>Sim</t>
        </is>
      </c>
      <c r="I75" s="23" t="n">
        <v>105941.85</v>
      </c>
      <c r="J75" s="24">
        <f>(D75*Premissas!$B$24+(2*ROUNDUP(D75/2,0))*Premissas!$B$26+INT((2*ROUNDUP(D75/2,0))/4)*Premissas!$B$27+MOD((2*ROUNDUP(D75/2,0)),4)/2*Premissas!$B$28+2*IF(D75&lt;=19,3*D75,IF(D75&lt;=50,ROUNDUP(2.5*D75,0),2*D75))*Premissas!$B$29+IF(C75="Micro",G75*(Premissas!$B$31+Premissas!$B$32+4*Premissas!$B$30),G75*(INDEX(Premissas!$B$40:$B$71,MATCH(F75,Premissas!$A$40:$A$71,0))+INDEX(Premissas!$C$40:$C$71,MATCH(F75,Premissas!$A$40:$A$71,0))*Premissas!$B$30)))</f>
        <v/>
      </c>
      <c r="K75" s="24">
        <f>IF(J75&lt;Premissas!$B$36,MAX(Premissas!$B$33,J75*Premissas!$B$34),J75*Premissas!$B$35)</f>
        <v/>
      </c>
      <c r="L75" s="24">
        <f>ROUND(J75+K75,2)</f>
        <v/>
      </c>
      <c r="M75" s="24">
        <f>D75*Premissas!$B$8+Premissas!$B$9+Premissas!$B$10+Premissas!$B$11+Premissas!$B$12+ROUND(Premissas!$B$13*E75,2)</f>
        <v/>
      </c>
      <c r="N75" s="25">
        <f>ROUNDUP((L75+M75-Premissas!$B$5*L75)/(1-Premissas!$B$6-Premissas!$B$7-Premissas!$B$5-Premissas!$B$14),2)</f>
        <v/>
      </c>
      <c r="O75" s="24">
        <f>ROUND(IF(N75&lt;=30000,N75*(1+Premissas!$B$21),N75+Premissas!$B$21*30000*SQRT(N75/30000)),2)</f>
        <v/>
      </c>
      <c r="P75" s="24">
        <f>N75-I75</f>
        <v/>
      </c>
      <c r="Q75" s="26">
        <f>P75/I75</f>
        <v/>
      </c>
      <c r="R75" s="26">
        <f>(I75-L75-Premissas!$B$5*(I75-L75)-(Premissas!$B$6+Premissas!$B$7)*I75-M75)/I75</f>
        <v/>
      </c>
      <c r="S75" s="24">
        <f>ROUND((CEILING((L75*Premissas!$B$17/Premissas!$B$18-97)/100,1)*100+97)*Premissas!$B$18,2)</f>
        <v/>
      </c>
    </row>
    <row r="76">
      <c r="A76" s="17" t="inlineStr">
        <is>
          <t>KIT 77 MOD. 620W + INV. CHINT 30KW</t>
        </is>
      </c>
      <c r="B76" s="17" t="inlineStr">
        <is>
          <t>CHINT</t>
        </is>
      </c>
      <c r="C76" s="17" t="inlineStr">
        <is>
          <t>Inversor</t>
        </is>
      </c>
      <c r="D76" s="21" t="n">
        <v>77</v>
      </c>
      <c r="E76" s="30" t="n">
        <v>47.74</v>
      </c>
      <c r="F76" s="20" t="inlineStr">
        <is>
          <t>CHINT CPS SCA30KTL-T/SA TRI 220V</t>
        </is>
      </c>
      <c r="G76" s="21" t="n">
        <v>1</v>
      </c>
      <c r="H76" s="17" t="inlineStr">
        <is>
          <t>Sim</t>
        </is>
      </c>
      <c r="I76" s="23" t="n">
        <v>107306.85</v>
      </c>
      <c r="J76" s="24">
        <f>(D76*Premissas!$B$24+(2*ROUNDUP(D76/2,0))*Premissas!$B$26+INT((2*ROUNDUP(D76/2,0))/4)*Premissas!$B$27+MOD((2*ROUNDUP(D76/2,0)),4)/2*Premissas!$B$28+2*IF(D76&lt;=19,3*D76,IF(D76&lt;=50,ROUNDUP(2.5*D76,0),2*D76))*Premissas!$B$29+IF(C76="Micro",G76*(Premissas!$B$31+Premissas!$B$32+4*Premissas!$B$30),G76*(INDEX(Premissas!$B$40:$B$71,MATCH(F76,Premissas!$A$40:$A$71,0))+INDEX(Premissas!$C$40:$C$71,MATCH(F76,Premissas!$A$40:$A$71,0))*Premissas!$B$30)))</f>
        <v/>
      </c>
      <c r="K76" s="24">
        <f>IF(J76&lt;Premissas!$B$36,MAX(Premissas!$B$33,J76*Premissas!$B$34),J76*Premissas!$B$35)</f>
        <v/>
      </c>
      <c r="L76" s="24">
        <f>ROUND(J76+K76,2)</f>
        <v/>
      </c>
      <c r="M76" s="24">
        <f>D76*Premissas!$B$8+Premissas!$B$9+Premissas!$B$10+Premissas!$B$11+Premissas!$B$12+ROUND(Premissas!$B$13*E76,2)</f>
        <v/>
      </c>
      <c r="N76" s="25">
        <f>ROUNDUP((L76+M76-Premissas!$B$5*L76)/(1-Premissas!$B$6-Premissas!$B$7-Premissas!$B$5-Premissas!$B$14),2)</f>
        <v/>
      </c>
      <c r="O76" s="24">
        <f>ROUND(IF(N76&lt;=30000,N76*(1+Premissas!$B$21),N76+Premissas!$B$21*30000*SQRT(N76/30000)),2)</f>
        <v/>
      </c>
      <c r="P76" s="24">
        <f>N76-I76</f>
        <v/>
      </c>
      <c r="Q76" s="26">
        <f>P76/I76</f>
        <v/>
      </c>
      <c r="R76" s="26">
        <f>(I76-L76-Premissas!$B$5*(I76-L76)-(Premissas!$B$6+Premissas!$B$7)*I76-M76)/I76</f>
        <v/>
      </c>
      <c r="S76" s="24">
        <f>ROUND((CEILING((L76*Premissas!$B$17/Premissas!$B$18-97)/100,1)*100+97)*Premissas!$B$18,2)</f>
        <v/>
      </c>
    </row>
    <row r="77">
      <c r="A77" s="17" t="inlineStr">
        <is>
          <t>KIT 78 MOD. 620W + INV. CHINT 30KW</t>
        </is>
      </c>
      <c r="B77" s="17" t="inlineStr">
        <is>
          <t>CHINT</t>
        </is>
      </c>
      <c r="C77" s="17" t="inlineStr">
        <is>
          <t>Inversor</t>
        </is>
      </c>
      <c r="D77" s="21" t="n">
        <v>78</v>
      </c>
      <c r="E77" s="30" t="n">
        <v>48.36</v>
      </c>
      <c r="F77" s="20" t="inlineStr">
        <is>
          <t>CHINT CPS SCA30KTL-T/SA TRI 220V</t>
        </is>
      </c>
      <c r="G77" s="21" t="n">
        <v>1</v>
      </c>
      <c r="H77" s="17" t="inlineStr">
        <is>
          <t>Sim</t>
        </is>
      </c>
      <c r="I77" s="23" t="n">
        <v>108356.85</v>
      </c>
      <c r="J77" s="24">
        <f>(D77*Premissas!$B$24+(2*ROUNDUP(D77/2,0))*Premissas!$B$26+INT((2*ROUNDUP(D77/2,0))/4)*Premissas!$B$27+MOD((2*ROUNDUP(D77/2,0)),4)/2*Premissas!$B$28+2*IF(D77&lt;=19,3*D77,IF(D77&lt;=50,ROUNDUP(2.5*D77,0),2*D77))*Premissas!$B$29+IF(C77="Micro",G77*(Premissas!$B$31+Premissas!$B$32+4*Premissas!$B$30),G77*(INDEX(Premissas!$B$40:$B$71,MATCH(F77,Premissas!$A$40:$A$71,0))+INDEX(Premissas!$C$40:$C$71,MATCH(F77,Premissas!$A$40:$A$71,0))*Premissas!$B$30)))</f>
        <v/>
      </c>
      <c r="K77" s="24">
        <f>IF(J77&lt;Premissas!$B$36,MAX(Premissas!$B$33,J77*Premissas!$B$34),J77*Premissas!$B$35)</f>
        <v/>
      </c>
      <c r="L77" s="24">
        <f>ROUND(J77+K77,2)</f>
        <v/>
      </c>
      <c r="M77" s="24">
        <f>D77*Premissas!$B$8+Premissas!$B$9+Premissas!$B$10+Premissas!$B$11+Premissas!$B$12+ROUND(Premissas!$B$13*E77,2)</f>
        <v/>
      </c>
      <c r="N77" s="25">
        <f>ROUNDUP((L77+M77-Premissas!$B$5*L77)/(1-Premissas!$B$6-Premissas!$B$7-Premissas!$B$5-Premissas!$B$14),2)</f>
        <v/>
      </c>
      <c r="O77" s="24">
        <f>ROUND(IF(N77&lt;=30000,N77*(1+Premissas!$B$21),N77+Premissas!$B$21*30000*SQRT(N77/30000)),2)</f>
        <v/>
      </c>
      <c r="P77" s="24">
        <f>N77-I77</f>
        <v/>
      </c>
      <c r="Q77" s="26">
        <f>P77/I77</f>
        <v/>
      </c>
      <c r="R77" s="26">
        <f>(I77-L77-Premissas!$B$5*(I77-L77)-(Premissas!$B$6+Premissas!$B$7)*I77-M77)/I77</f>
        <v/>
      </c>
      <c r="S77" s="24">
        <f>ROUND((CEILING((L77*Premissas!$B$17/Premissas!$B$18-97)/100,1)*100+97)*Premissas!$B$18,2)</f>
        <v/>
      </c>
    </row>
    <row r="78">
      <c r="A78" s="17" t="inlineStr">
        <is>
          <t>KIT 79 MOD. 620W + INV. CHINT 30KW</t>
        </is>
      </c>
      <c r="B78" s="17" t="inlineStr">
        <is>
          <t>CHINT</t>
        </is>
      </c>
      <c r="C78" s="17" t="inlineStr">
        <is>
          <t>Inversor</t>
        </is>
      </c>
      <c r="D78" s="21" t="n">
        <v>79</v>
      </c>
      <c r="E78" s="30" t="n">
        <v>48.98</v>
      </c>
      <c r="F78" s="20" t="inlineStr">
        <is>
          <t>CHINT CPS SCA30KTL-T/SA TRI 220V</t>
        </is>
      </c>
      <c r="G78" s="21" t="n">
        <v>1</v>
      </c>
      <c r="H78" s="17" t="inlineStr">
        <is>
          <t>Sim</t>
        </is>
      </c>
      <c r="I78" s="23" t="n">
        <v>109616.85</v>
      </c>
      <c r="J78" s="24">
        <f>(D78*Premissas!$B$24+(2*ROUNDUP(D78/2,0))*Premissas!$B$26+INT((2*ROUNDUP(D78/2,0))/4)*Premissas!$B$27+MOD((2*ROUNDUP(D78/2,0)),4)/2*Premissas!$B$28+2*IF(D78&lt;=19,3*D78,IF(D78&lt;=50,ROUNDUP(2.5*D78,0),2*D78))*Premissas!$B$29+IF(C78="Micro",G78*(Premissas!$B$31+Premissas!$B$32+4*Premissas!$B$30),G78*(INDEX(Premissas!$B$40:$B$71,MATCH(F78,Premissas!$A$40:$A$71,0))+INDEX(Premissas!$C$40:$C$71,MATCH(F78,Premissas!$A$40:$A$71,0))*Premissas!$B$30)))</f>
        <v/>
      </c>
      <c r="K78" s="24">
        <f>IF(J78&lt;Premissas!$B$36,MAX(Premissas!$B$33,J78*Premissas!$B$34),J78*Premissas!$B$35)</f>
        <v/>
      </c>
      <c r="L78" s="24">
        <f>ROUND(J78+K78,2)</f>
        <v/>
      </c>
      <c r="M78" s="24">
        <f>D78*Premissas!$B$8+Premissas!$B$9+Premissas!$B$10+Premissas!$B$11+Premissas!$B$12+ROUND(Premissas!$B$13*E78,2)</f>
        <v/>
      </c>
      <c r="N78" s="25">
        <f>ROUNDUP((L78+M78-Premissas!$B$5*L78)/(1-Premissas!$B$6-Premissas!$B$7-Premissas!$B$5-Premissas!$B$14),2)</f>
        <v/>
      </c>
      <c r="O78" s="24">
        <f>ROUND(IF(N78&lt;=30000,N78*(1+Premissas!$B$21),N78+Premissas!$B$21*30000*SQRT(N78/30000)),2)</f>
        <v/>
      </c>
      <c r="P78" s="24">
        <f>N78-I78</f>
        <v/>
      </c>
      <c r="Q78" s="26">
        <f>P78/I78</f>
        <v/>
      </c>
      <c r="R78" s="26">
        <f>(I78-L78-Premissas!$B$5*(I78-L78)-(Premissas!$B$6+Premissas!$B$7)*I78-M78)/I78</f>
        <v/>
      </c>
      <c r="S78" s="24">
        <f>ROUND((CEILING((L78*Premissas!$B$17/Premissas!$B$18-97)/100,1)*100+97)*Premissas!$B$18,2)</f>
        <v/>
      </c>
    </row>
    <row r="79">
      <c r="A79" s="17" t="inlineStr">
        <is>
          <t>KIT 80 MOD. 620W + INV. CHINT 30KW</t>
        </is>
      </c>
      <c r="B79" s="17" t="inlineStr">
        <is>
          <t>CHINT</t>
        </is>
      </c>
      <c r="C79" s="17" t="inlineStr">
        <is>
          <t>Inversor</t>
        </is>
      </c>
      <c r="D79" s="21" t="n">
        <v>80</v>
      </c>
      <c r="E79" s="30" t="n">
        <v>49.6</v>
      </c>
      <c r="F79" s="20" t="inlineStr">
        <is>
          <t>CHINT CPS SCA30KTL-T/SA TRI 220V</t>
        </is>
      </c>
      <c r="G79" s="21" t="n">
        <v>1</v>
      </c>
      <c r="H79" s="17" t="inlineStr">
        <is>
          <t>Sim</t>
        </is>
      </c>
      <c r="I79" s="23" t="n">
        <v>110666.85</v>
      </c>
      <c r="J79" s="24">
        <f>(D79*Premissas!$B$24+(2*ROUNDUP(D79/2,0))*Premissas!$B$26+INT((2*ROUNDUP(D79/2,0))/4)*Premissas!$B$27+MOD((2*ROUNDUP(D79/2,0)),4)/2*Premissas!$B$28+2*IF(D79&lt;=19,3*D79,IF(D79&lt;=50,ROUNDUP(2.5*D79,0),2*D79))*Premissas!$B$29+IF(C79="Micro",G79*(Premissas!$B$31+Premissas!$B$32+4*Premissas!$B$30),G79*(INDEX(Premissas!$B$40:$B$71,MATCH(F79,Premissas!$A$40:$A$71,0))+INDEX(Premissas!$C$40:$C$71,MATCH(F79,Premissas!$A$40:$A$71,0))*Premissas!$B$30)))</f>
        <v/>
      </c>
      <c r="K79" s="24">
        <f>IF(J79&lt;Premissas!$B$36,MAX(Premissas!$B$33,J79*Premissas!$B$34),J79*Premissas!$B$35)</f>
        <v/>
      </c>
      <c r="L79" s="24">
        <f>ROUND(J79+K79,2)</f>
        <v/>
      </c>
      <c r="M79" s="24">
        <f>D79*Premissas!$B$8+Premissas!$B$9+Premissas!$B$10+Premissas!$B$11+Premissas!$B$12+ROUND(Premissas!$B$13*E79,2)</f>
        <v/>
      </c>
      <c r="N79" s="25">
        <f>ROUNDUP((L79+M79-Premissas!$B$5*L79)/(1-Premissas!$B$6-Premissas!$B$7-Premissas!$B$5-Premissas!$B$14),2)</f>
        <v/>
      </c>
      <c r="O79" s="24">
        <f>ROUND(IF(N79&lt;=30000,N79*(1+Premissas!$B$21),N79+Premissas!$B$21*30000*SQRT(N79/30000)),2)</f>
        <v/>
      </c>
      <c r="P79" s="24">
        <f>N79-I79</f>
        <v/>
      </c>
      <c r="Q79" s="26">
        <f>P79/I79</f>
        <v/>
      </c>
      <c r="R79" s="26">
        <f>(I79-L79-Premissas!$B$5*(I79-L79)-(Premissas!$B$6+Premissas!$B$7)*I79-M79)/I79</f>
        <v/>
      </c>
      <c r="S79" s="24">
        <f>ROUND((CEILING((L79*Premissas!$B$17/Premissas!$B$18-97)/100,1)*100+97)*Premissas!$B$18,2)</f>
        <v/>
      </c>
    </row>
    <row r="80">
      <c r="A80" s="17" t="inlineStr">
        <is>
          <t>KIT 81 MOD. 620W + INV. CHINT 30KW</t>
        </is>
      </c>
      <c r="B80" s="17" t="inlineStr">
        <is>
          <t>CHINT</t>
        </is>
      </c>
      <c r="C80" s="17" t="inlineStr">
        <is>
          <t>Inversor</t>
        </is>
      </c>
      <c r="D80" s="21" t="n">
        <v>81</v>
      </c>
      <c r="E80" s="30" t="n">
        <v>50.22</v>
      </c>
      <c r="F80" s="20" t="inlineStr">
        <is>
          <t>CHINT CPS SCA30KTL-T/SA TRI 220V</t>
        </is>
      </c>
      <c r="G80" s="21" t="n">
        <v>1</v>
      </c>
      <c r="H80" s="17" t="inlineStr">
        <is>
          <t>Sim</t>
        </is>
      </c>
      <c r="I80" s="23" t="n">
        <v>112031.85</v>
      </c>
      <c r="J80" s="24">
        <f>(D80*Premissas!$B$24+(2*ROUNDUP(D80/2,0))*Premissas!$B$26+INT((2*ROUNDUP(D80/2,0))/4)*Premissas!$B$27+MOD((2*ROUNDUP(D80/2,0)),4)/2*Premissas!$B$28+2*IF(D80&lt;=19,3*D80,IF(D80&lt;=50,ROUNDUP(2.5*D80,0),2*D80))*Premissas!$B$29+IF(C80="Micro",G80*(Premissas!$B$31+Premissas!$B$32+4*Premissas!$B$30),G80*(INDEX(Premissas!$B$40:$B$71,MATCH(F80,Premissas!$A$40:$A$71,0))+INDEX(Premissas!$C$40:$C$71,MATCH(F80,Premissas!$A$40:$A$71,0))*Premissas!$B$30)))</f>
        <v/>
      </c>
      <c r="K80" s="24">
        <f>IF(J80&lt;Premissas!$B$36,MAX(Premissas!$B$33,J80*Premissas!$B$34),J80*Premissas!$B$35)</f>
        <v/>
      </c>
      <c r="L80" s="24">
        <f>ROUND(J80+K80,2)</f>
        <v/>
      </c>
      <c r="M80" s="24">
        <f>D80*Premissas!$B$8+Premissas!$B$9+Premissas!$B$10+Premissas!$B$11+Premissas!$B$12+ROUND(Premissas!$B$13*E80,2)</f>
        <v/>
      </c>
      <c r="N80" s="25">
        <f>ROUNDUP((L80+M80-Premissas!$B$5*L80)/(1-Premissas!$B$6-Premissas!$B$7-Premissas!$B$5-Premissas!$B$14),2)</f>
        <v/>
      </c>
      <c r="O80" s="24">
        <f>ROUND(IF(N80&lt;=30000,N80*(1+Premissas!$B$21),N80+Premissas!$B$21*30000*SQRT(N80/30000)),2)</f>
        <v/>
      </c>
      <c r="P80" s="24">
        <f>N80-I80</f>
        <v/>
      </c>
      <c r="Q80" s="26">
        <f>P80/I80</f>
        <v/>
      </c>
      <c r="R80" s="26">
        <f>(I80-L80-Premissas!$B$5*(I80-L80)-(Premissas!$B$6+Premissas!$B$7)*I80-M80)/I80</f>
        <v/>
      </c>
      <c r="S80" s="24">
        <f>ROUND((CEILING((L80*Premissas!$B$17/Premissas!$B$18-97)/100,1)*100+97)*Premissas!$B$18,2)</f>
        <v/>
      </c>
    </row>
    <row r="81">
      <c r="A81" s="17" t="inlineStr">
        <is>
          <t>KIT 82 MOD. 620W + INV. CHINT 30KW</t>
        </is>
      </c>
      <c r="B81" s="17" t="inlineStr">
        <is>
          <t>CHINT</t>
        </is>
      </c>
      <c r="C81" s="17" t="inlineStr">
        <is>
          <t>Inversor</t>
        </is>
      </c>
      <c r="D81" s="21" t="n">
        <v>82</v>
      </c>
      <c r="E81" s="30" t="n">
        <v>50.84</v>
      </c>
      <c r="F81" s="20" t="inlineStr">
        <is>
          <t>CHINT CPS SCA30KTL-T/SA TRI 220V</t>
        </is>
      </c>
      <c r="G81" s="21" t="n">
        <v>1</v>
      </c>
      <c r="H81" s="17" t="inlineStr">
        <is>
          <t>Sim</t>
        </is>
      </c>
      <c r="I81" s="23" t="n">
        <v>113081.85</v>
      </c>
      <c r="J81" s="24">
        <f>(D81*Premissas!$B$24+(2*ROUNDUP(D81/2,0))*Premissas!$B$26+INT((2*ROUNDUP(D81/2,0))/4)*Premissas!$B$27+MOD((2*ROUNDUP(D81/2,0)),4)/2*Premissas!$B$28+2*IF(D81&lt;=19,3*D81,IF(D81&lt;=50,ROUNDUP(2.5*D81,0),2*D81))*Premissas!$B$29+IF(C81="Micro",G81*(Premissas!$B$31+Premissas!$B$32+4*Premissas!$B$30),G81*(INDEX(Premissas!$B$40:$B$71,MATCH(F81,Premissas!$A$40:$A$71,0))+INDEX(Premissas!$C$40:$C$71,MATCH(F81,Premissas!$A$40:$A$71,0))*Premissas!$B$30)))</f>
        <v/>
      </c>
      <c r="K81" s="24">
        <f>IF(J81&lt;Premissas!$B$36,MAX(Premissas!$B$33,J81*Premissas!$B$34),J81*Premissas!$B$35)</f>
        <v/>
      </c>
      <c r="L81" s="24">
        <f>ROUND(J81+K81,2)</f>
        <v/>
      </c>
      <c r="M81" s="24">
        <f>D81*Premissas!$B$8+Premissas!$B$9+Premissas!$B$10+Premissas!$B$11+Premissas!$B$12+ROUND(Premissas!$B$13*E81,2)</f>
        <v/>
      </c>
      <c r="N81" s="25">
        <f>ROUNDUP((L81+M81-Premissas!$B$5*L81)/(1-Premissas!$B$6-Premissas!$B$7-Premissas!$B$5-Premissas!$B$14),2)</f>
        <v/>
      </c>
      <c r="O81" s="24">
        <f>ROUND(IF(N81&lt;=30000,N81*(1+Premissas!$B$21),N81+Premissas!$B$21*30000*SQRT(N81/30000)),2)</f>
        <v/>
      </c>
      <c r="P81" s="24">
        <f>N81-I81</f>
        <v/>
      </c>
      <c r="Q81" s="26">
        <f>P81/I81</f>
        <v/>
      </c>
      <c r="R81" s="26">
        <f>(I81-L81-Premissas!$B$5*(I81-L81)-(Premissas!$B$6+Premissas!$B$7)*I81-M81)/I81</f>
        <v/>
      </c>
      <c r="S81" s="24">
        <f>ROUND((CEILING((L81*Premissas!$B$17/Premissas!$B$18-97)/100,1)*100+97)*Premissas!$B$18,2)</f>
        <v/>
      </c>
    </row>
    <row r="82">
      <c r="A82" s="17" t="inlineStr">
        <is>
          <t>KIT 96 MOD. 620W + INV. CHINT 75KW</t>
        </is>
      </c>
      <c r="B82" s="17" t="inlineStr">
        <is>
          <t>CHINT</t>
        </is>
      </c>
      <c r="C82" s="17" t="inlineStr">
        <is>
          <t>Inversor</t>
        </is>
      </c>
      <c r="D82" s="21" t="n">
        <v>96</v>
      </c>
      <c r="E82" s="30" t="n">
        <v>59.52</v>
      </c>
      <c r="F82" s="20" t="inlineStr">
        <is>
          <t>CHINT SCA75K-T-SA TRI 220V</t>
        </is>
      </c>
      <c r="G82" s="21" t="n">
        <v>1</v>
      </c>
      <c r="H82" s="17" t="inlineStr">
        <is>
          <t>Sim</t>
        </is>
      </c>
      <c r="I82" s="23" t="n">
        <v>148046.85</v>
      </c>
      <c r="J82" s="24">
        <f>(D82*Premissas!$B$24+(2*ROUNDUP(D82/2,0))*Premissas!$B$26+INT((2*ROUNDUP(D82/2,0))/4)*Premissas!$B$27+MOD((2*ROUNDUP(D82/2,0)),4)/2*Premissas!$B$28+2*IF(D82&lt;=19,3*D82,IF(D82&lt;=50,ROUNDUP(2.5*D82,0),2*D82))*Premissas!$B$29+IF(C82="Micro",G82*(Premissas!$B$31+Premissas!$B$32+4*Premissas!$B$30),G82*(INDEX(Premissas!$B$40:$B$71,MATCH(F82,Premissas!$A$40:$A$71,0))+INDEX(Premissas!$C$40:$C$71,MATCH(F82,Premissas!$A$40:$A$71,0))*Premissas!$B$30)))</f>
        <v/>
      </c>
      <c r="K82" s="24">
        <f>IF(J82&lt;Premissas!$B$36,MAX(Premissas!$B$33,J82*Premissas!$B$34),J82*Premissas!$B$35)</f>
        <v/>
      </c>
      <c r="L82" s="24">
        <f>ROUND(J82+K82,2)</f>
        <v/>
      </c>
      <c r="M82" s="24">
        <f>D82*Premissas!$B$8+Premissas!$B$9+Premissas!$B$10+Premissas!$B$11+Premissas!$B$12+ROUND(Premissas!$B$13*E82,2)</f>
        <v/>
      </c>
      <c r="N82" s="25">
        <f>ROUNDUP((L82+M82-Premissas!$B$5*L82)/(1-Premissas!$B$6-Premissas!$B$7-Premissas!$B$5-Premissas!$B$14),2)</f>
        <v/>
      </c>
      <c r="O82" s="24">
        <f>ROUND(IF(N82&lt;=30000,N82*(1+Premissas!$B$21),N82+Premissas!$B$21*30000*SQRT(N82/30000)),2)</f>
        <v/>
      </c>
      <c r="P82" s="24">
        <f>N82-I82</f>
        <v/>
      </c>
      <c r="Q82" s="26">
        <f>P82/I82</f>
        <v/>
      </c>
      <c r="R82" s="26">
        <f>(I82-L82-Premissas!$B$5*(I82-L82)-(Premissas!$B$6+Premissas!$B$7)*I82-M82)/I82</f>
        <v/>
      </c>
      <c r="S82" s="24">
        <f>ROUND((CEILING((L82*Premissas!$B$17/Premissas!$B$18-97)/100,1)*100+97)*Premissas!$B$18,2)</f>
        <v/>
      </c>
    </row>
    <row r="83">
      <c r="A83" s="17" t="inlineStr">
        <is>
          <t>KIT 97 MOD. 620W + INV. CHINT 75KW</t>
        </is>
      </c>
      <c r="B83" s="17" t="inlineStr">
        <is>
          <t>CHINT</t>
        </is>
      </c>
      <c r="C83" s="17" t="inlineStr">
        <is>
          <t>Inversor</t>
        </is>
      </c>
      <c r="D83" s="21" t="n">
        <v>97</v>
      </c>
      <c r="E83" s="30" t="n">
        <v>60.14</v>
      </c>
      <c r="F83" s="20" t="inlineStr">
        <is>
          <t>CHINT SCA75K-T-SA TRI 220V</t>
        </is>
      </c>
      <c r="G83" s="21" t="n">
        <v>1</v>
      </c>
      <c r="H83" s="17" t="inlineStr">
        <is>
          <t>Sim</t>
        </is>
      </c>
      <c r="I83" s="23" t="n">
        <v>149411.85</v>
      </c>
      <c r="J83" s="24">
        <f>(D83*Premissas!$B$24+(2*ROUNDUP(D83/2,0))*Premissas!$B$26+INT((2*ROUNDUP(D83/2,0))/4)*Premissas!$B$27+MOD((2*ROUNDUP(D83/2,0)),4)/2*Premissas!$B$28+2*IF(D83&lt;=19,3*D83,IF(D83&lt;=50,ROUNDUP(2.5*D83,0),2*D83))*Premissas!$B$29+IF(C83="Micro",G83*(Premissas!$B$31+Premissas!$B$32+4*Premissas!$B$30),G83*(INDEX(Premissas!$B$40:$B$71,MATCH(F83,Premissas!$A$40:$A$71,0))+INDEX(Premissas!$C$40:$C$71,MATCH(F83,Premissas!$A$40:$A$71,0))*Premissas!$B$30)))</f>
        <v/>
      </c>
      <c r="K83" s="24">
        <f>IF(J83&lt;Premissas!$B$36,MAX(Premissas!$B$33,J83*Premissas!$B$34),J83*Premissas!$B$35)</f>
        <v/>
      </c>
      <c r="L83" s="24">
        <f>ROUND(J83+K83,2)</f>
        <v/>
      </c>
      <c r="M83" s="24">
        <f>D83*Premissas!$B$8+Premissas!$B$9+Premissas!$B$10+Premissas!$B$11+Premissas!$B$12+ROUND(Premissas!$B$13*E83,2)</f>
        <v/>
      </c>
      <c r="N83" s="25">
        <f>ROUNDUP((L83+M83-Premissas!$B$5*L83)/(1-Premissas!$B$6-Premissas!$B$7-Premissas!$B$5-Premissas!$B$14),2)</f>
        <v/>
      </c>
      <c r="O83" s="24">
        <f>ROUND(IF(N83&lt;=30000,N83*(1+Premissas!$B$21),N83+Premissas!$B$21*30000*SQRT(N83/30000)),2)</f>
        <v/>
      </c>
      <c r="P83" s="24">
        <f>N83-I83</f>
        <v/>
      </c>
      <c r="Q83" s="26">
        <f>P83/I83</f>
        <v/>
      </c>
      <c r="R83" s="26">
        <f>(I83-L83-Premissas!$B$5*(I83-L83)-(Premissas!$B$6+Premissas!$B$7)*I83-M83)/I83</f>
        <v/>
      </c>
      <c r="S83" s="24">
        <f>ROUND((CEILING((L83*Premissas!$B$17/Premissas!$B$18-97)/100,1)*100+97)*Premissas!$B$18,2)</f>
        <v/>
      </c>
    </row>
    <row r="84">
      <c r="A84" s="17" t="inlineStr">
        <is>
          <t>KIT 98 MOD. 620W + INV. CHINT 75KW</t>
        </is>
      </c>
      <c r="B84" s="17" t="inlineStr">
        <is>
          <t>CHINT</t>
        </is>
      </c>
      <c r="C84" s="17" t="inlineStr">
        <is>
          <t>Inversor</t>
        </is>
      </c>
      <c r="D84" s="21" t="n">
        <v>98</v>
      </c>
      <c r="E84" s="30" t="n">
        <v>60.76</v>
      </c>
      <c r="F84" s="20" t="inlineStr">
        <is>
          <t>CHINT SCA75K-T-SA TRI 220V</t>
        </is>
      </c>
      <c r="G84" s="21" t="n">
        <v>1</v>
      </c>
      <c r="H84" s="17" t="inlineStr">
        <is>
          <t>Sim</t>
        </is>
      </c>
      <c r="I84" s="23" t="n">
        <v>150461.85</v>
      </c>
      <c r="J84" s="24">
        <f>(D84*Premissas!$B$24+(2*ROUNDUP(D84/2,0))*Premissas!$B$26+INT((2*ROUNDUP(D84/2,0))/4)*Premissas!$B$27+MOD((2*ROUNDUP(D84/2,0)),4)/2*Premissas!$B$28+2*IF(D84&lt;=19,3*D84,IF(D84&lt;=50,ROUNDUP(2.5*D84,0),2*D84))*Premissas!$B$29+IF(C84="Micro",G84*(Premissas!$B$31+Premissas!$B$32+4*Premissas!$B$30),G84*(INDEX(Premissas!$B$40:$B$71,MATCH(F84,Premissas!$A$40:$A$71,0))+INDEX(Premissas!$C$40:$C$71,MATCH(F84,Premissas!$A$40:$A$71,0))*Premissas!$B$30)))</f>
        <v/>
      </c>
      <c r="K84" s="24">
        <f>IF(J84&lt;Premissas!$B$36,MAX(Premissas!$B$33,J84*Premissas!$B$34),J84*Premissas!$B$35)</f>
        <v/>
      </c>
      <c r="L84" s="24">
        <f>ROUND(J84+K84,2)</f>
        <v/>
      </c>
      <c r="M84" s="24">
        <f>D84*Premissas!$B$8+Premissas!$B$9+Premissas!$B$10+Premissas!$B$11+Premissas!$B$12+ROUND(Premissas!$B$13*E84,2)</f>
        <v/>
      </c>
      <c r="N84" s="25">
        <f>ROUNDUP((L84+M84-Premissas!$B$5*L84)/(1-Premissas!$B$6-Premissas!$B$7-Premissas!$B$5-Premissas!$B$14),2)</f>
        <v/>
      </c>
      <c r="O84" s="24">
        <f>ROUND(IF(N84&lt;=30000,N84*(1+Premissas!$B$21),N84+Premissas!$B$21*30000*SQRT(N84/30000)),2)</f>
        <v/>
      </c>
      <c r="P84" s="24">
        <f>N84-I84</f>
        <v/>
      </c>
      <c r="Q84" s="26">
        <f>P84/I84</f>
        <v/>
      </c>
      <c r="R84" s="26">
        <f>(I84-L84-Premissas!$B$5*(I84-L84)-(Premissas!$B$6+Premissas!$B$7)*I84-M84)/I84</f>
        <v/>
      </c>
      <c r="S84" s="24">
        <f>ROUND((CEILING((L84*Premissas!$B$17/Premissas!$B$18-97)/100,1)*100+97)*Premissas!$B$18,2)</f>
        <v/>
      </c>
    </row>
    <row r="85">
      <c r="A85" s="17" t="inlineStr">
        <is>
          <t>KIT 99 MOD. 620W + INV. CHINT 75KW</t>
        </is>
      </c>
      <c r="B85" s="17" t="inlineStr">
        <is>
          <t>CHINT</t>
        </is>
      </c>
      <c r="C85" s="17" t="inlineStr">
        <is>
          <t>Inversor</t>
        </is>
      </c>
      <c r="D85" s="21" t="n">
        <v>99</v>
      </c>
      <c r="E85" s="30" t="n">
        <v>61.38</v>
      </c>
      <c r="F85" s="20" t="inlineStr">
        <is>
          <t>CHINT SCA75K-T-SA TRI 220V</t>
        </is>
      </c>
      <c r="G85" s="21" t="n">
        <v>1</v>
      </c>
      <c r="H85" s="17" t="inlineStr">
        <is>
          <t>Sim</t>
        </is>
      </c>
      <c r="I85" s="23" t="n">
        <v>151721.85</v>
      </c>
      <c r="J85" s="24">
        <f>(D85*Premissas!$B$24+(2*ROUNDUP(D85/2,0))*Premissas!$B$26+INT((2*ROUNDUP(D85/2,0))/4)*Premissas!$B$27+MOD((2*ROUNDUP(D85/2,0)),4)/2*Premissas!$B$28+2*IF(D85&lt;=19,3*D85,IF(D85&lt;=50,ROUNDUP(2.5*D85,0),2*D85))*Premissas!$B$29+IF(C85="Micro",G85*(Premissas!$B$31+Premissas!$B$32+4*Premissas!$B$30),G85*(INDEX(Premissas!$B$40:$B$71,MATCH(F85,Premissas!$A$40:$A$71,0))+INDEX(Premissas!$C$40:$C$71,MATCH(F85,Premissas!$A$40:$A$71,0))*Premissas!$B$30)))</f>
        <v/>
      </c>
      <c r="K85" s="24">
        <f>IF(J85&lt;Premissas!$B$36,MAX(Premissas!$B$33,J85*Premissas!$B$34),J85*Premissas!$B$35)</f>
        <v/>
      </c>
      <c r="L85" s="24">
        <f>ROUND(J85+K85,2)</f>
        <v/>
      </c>
      <c r="M85" s="24">
        <f>D85*Premissas!$B$8+Premissas!$B$9+Premissas!$B$10+Premissas!$B$11+Premissas!$B$12+ROUND(Premissas!$B$13*E85,2)</f>
        <v/>
      </c>
      <c r="N85" s="25">
        <f>ROUNDUP((L85+M85-Premissas!$B$5*L85)/(1-Premissas!$B$6-Premissas!$B$7-Premissas!$B$5-Premissas!$B$14),2)</f>
        <v/>
      </c>
      <c r="O85" s="24">
        <f>ROUND(IF(N85&lt;=30000,N85*(1+Premissas!$B$21),N85+Premissas!$B$21*30000*SQRT(N85/30000)),2)</f>
        <v/>
      </c>
      <c r="P85" s="24">
        <f>N85-I85</f>
        <v/>
      </c>
      <c r="Q85" s="26">
        <f>P85/I85</f>
        <v/>
      </c>
      <c r="R85" s="26">
        <f>(I85-L85-Premissas!$B$5*(I85-L85)-(Premissas!$B$6+Premissas!$B$7)*I85-M85)/I85</f>
        <v/>
      </c>
      <c r="S85" s="24">
        <f>ROUND((CEILING((L85*Premissas!$B$17/Premissas!$B$18-97)/100,1)*100+97)*Premissas!$B$18,2)</f>
        <v/>
      </c>
    </row>
    <row r="86">
      <c r="A86" s="17" t="inlineStr">
        <is>
          <t>KIT 100 MOD. 620W + INV. CHINT 75KW</t>
        </is>
      </c>
      <c r="B86" s="17" t="inlineStr">
        <is>
          <t>CHINT</t>
        </is>
      </c>
      <c r="C86" s="17" t="inlineStr">
        <is>
          <t>Inversor</t>
        </is>
      </c>
      <c r="D86" s="21" t="n">
        <v>100</v>
      </c>
      <c r="E86" s="30" t="n">
        <v>62</v>
      </c>
      <c r="F86" s="20" t="inlineStr">
        <is>
          <t>CHINT SCA75K-T-SA TRI 220V</t>
        </is>
      </c>
      <c r="G86" s="21" t="n">
        <v>1</v>
      </c>
      <c r="H86" s="17" t="inlineStr">
        <is>
          <t>Sim</t>
        </is>
      </c>
      <c r="I86" s="23" t="n">
        <v>152771.85</v>
      </c>
      <c r="J86" s="24">
        <f>(D86*Premissas!$B$24+(2*ROUNDUP(D86/2,0))*Premissas!$B$26+INT((2*ROUNDUP(D86/2,0))/4)*Premissas!$B$27+MOD((2*ROUNDUP(D86/2,0)),4)/2*Premissas!$B$28+2*IF(D86&lt;=19,3*D86,IF(D86&lt;=50,ROUNDUP(2.5*D86,0),2*D86))*Premissas!$B$29+IF(C86="Micro",G86*(Premissas!$B$31+Premissas!$B$32+4*Premissas!$B$30),G86*(INDEX(Premissas!$B$40:$B$71,MATCH(F86,Premissas!$A$40:$A$71,0))+INDEX(Premissas!$C$40:$C$71,MATCH(F86,Premissas!$A$40:$A$71,0))*Premissas!$B$30)))</f>
        <v/>
      </c>
      <c r="K86" s="24">
        <f>IF(J86&lt;Premissas!$B$36,MAX(Premissas!$B$33,J86*Premissas!$B$34),J86*Premissas!$B$35)</f>
        <v/>
      </c>
      <c r="L86" s="24">
        <f>ROUND(J86+K86,2)</f>
        <v/>
      </c>
      <c r="M86" s="24">
        <f>D86*Premissas!$B$8+Premissas!$B$9+Premissas!$B$10+Premissas!$B$11+Premissas!$B$12+ROUND(Premissas!$B$13*E86,2)</f>
        <v/>
      </c>
      <c r="N86" s="25">
        <f>ROUNDUP((L86+M86-Premissas!$B$5*L86)/(1-Premissas!$B$6-Premissas!$B$7-Premissas!$B$5-Premissas!$B$14),2)</f>
        <v/>
      </c>
      <c r="O86" s="24">
        <f>ROUND(IF(N86&lt;=30000,N86*(1+Premissas!$B$21),N86+Premissas!$B$21*30000*SQRT(N86/30000)),2)</f>
        <v/>
      </c>
      <c r="P86" s="24">
        <f>N86-I86</f>
        <v/>
      </c>
      <c r="Q86" s="26">
        <f>P86/I86</f>
        <v/>
      </c>
      <c r="R86" s="26">
        <f>(I86-L86-Premissas!$B$5*(I86-L86)-(Premissas!$B$6+Premissas!$B$7)*I86-M86)/I86</f>
        <v/>
      </c>
      <c r="S86" s="24">
        <f>ROUND((CEILING((L86*Premissas!$B$17/Premissas!$B$18-97)/100,1)*100+97)*Premissas!$B$18,2)</f>
        <v/>
      </c>
    </row>
    <row r="87">
      <c r="A87" s="17" t="inlineStr">
        <is>
          <t>KIT 101 MOD. 620W + INV. CHINT 75KW</t>
        </is>
      </c>
      <c r="B87" s="17" t="inlineStr">
        <is>
          <t>CHINT</t>
        </is>
      </c>
      <c r="C87" s="17" t="inlineStr">
        <is>
          <t>Inversor</t>
        </is>
      </c>
      <c r="D87" s="21" t="n">
        <v>101</v>
      </c>
      <c r="E87" s="30" t="n">
        <v>62.62</v>
      </c>
      <c r="F87" s="20" t="inlineStr">
        <is>
          <t>CHINT SCA75K-T-SA TRI 220V</t>
        </is>
      </c>
      <c r="G87" s="21" t="n">
        <v>1</v>
      </c>
      <c r="H87" s="17" t="inlineStr">
        <is>
          <t>Sim</t>
        </is>
      </c>
      <c r="I87" s="23" t="n">
        <v>154136.85</v>
      </c>
      <c r="J87" s="24">
        <f>(D87*Premissas!$B$24+(2*ROUNDUP(D87/2,0))*Premissas!$B$26+INT((2*ROUNDUP(D87/2,0))/4)*Premissas!$B$27+MOD((2*ROUNDUP(D87/2,0)),4)/2*Premissas!$B$28+2*IF(D87&lt;=19,3*D87,IF(D87&lt;=50,ROUNDUP(2.5*D87,0),2*D87))*Premissas!$B$29+IF(C87="Micro",G87*(Premissas!$B$31+Premissas!$B$32+4*Premissas!$B$30),G87*(INDEX(Premissas!$B$40:$B$71,MATCH(F87,Premissas!$A$40:$A$71,0))+INDEX(Premissas!$C$40:$C$71,MATCH(F87,Premissas!$A$40:$A$71,0))*Premissas!$B$30)))</f>
        <v/>
      </c>
      <c r="K87" s="24">
        <f>IF(J87&lt;Premissas!$B$36,MAX(Premissas!$B$33,J87*Premissas!$B$34),J87*Premissas!$B$35)</f>
        <v/>
      </c>
      <c r="L87" s="24">
        <f>ROUND(J87+K87,2)</f>
        <v/>
      </c>
      <c r="M87" s="24">
        <f>D87*Premissas!$B$8+Premissas!$B$9+Premissas!$B$10+Premissas!$B$11+Premissas!$B$12+ROUND(Premissas!$B$13*E87,2)</f>
        <v/>
      </c>
      <c r="N87" s="25">
        <f>ROUNDUP((L87+M87-Premissas!$B$5*L87)/(1-Premissas!$B$6-Premissas!$B$7-Premissas!$B$5-Premissas!$B$14),2)</f>
        <v/>
      </c>
      <c r="O87" s="24">
        <f>ROUND(IF(N87&lt;=30000,N87*(1+Premissas!$B$21),N87+Premissas!$B$21*30000*SQRT(N87/30000)),2)</f>
        <v/>
      </c>
      <c r="P87" s="24">
        <f>N87-I87</f>
        <v/>
      </c>
      <c r="Q87" s="26">
        <f>P87/I87</f>
        <v/>
      </c>
      <c r="R87" s="26">
        <f>(I87-L87-Premissas!$B$5*(I87-L87)-(Premissas!$B$6+Premissas!$B$7)*I87-M87)/I87</f>
        <v/>
      </c>
      <c r="S87" s="24">
        <f>ROUND((CEILING((L87*Premissas!$B$17/Premissas!$B$18-97)/100,1)*100+97)*Premissas!$B$18,2)</f>
        <v/>
      </c>
    </row>
    <row r="88">
      <c r="A88" s="17" t="inlineStr">
        <is>
          <t>KIT 102 MOD. 620W + INV. CHINT 75KW</t>
        </is>
      </c>
      <c r="B88" s="17" t="inlineStr">
        <is>
          <t>CHINT</t>
        </is>
      </c>
      <c r="C88" s="17" t="inlineStr">
        <is>
          <t>Inversor</t>
        </is>
      </c>
      <c r="D88" s="21" t="n">
        <v>102</v>
      </c>
      <c r="E88" s="30" t="n">
        <v>63.24</v>
      </c>
      <c r="F88" s="20" t="inlineStr">
        <is>
          <t>CHINT SCA75K-T-SA TRI 220V</t>
        </is>
      </c>
      <c r="G88" s="21" t="n">
        <v>1</v>
      </c>
      <c r="H88" s="17" t="inlineStr">
        <is>
          <t>Sim</t>
        </is>
      </c>
      <c r="I88" s="23" t="n">
        <v>155081.85</v>
      </c>
      <c r="J88" s="24">
        <f>(D88*Premissas!$B$24+(2*ROUNDUP(D88/2,0))*Premissas!$B$26+INT((2*ROUNDUP(D88/2,0))/4)*Premissas!$B$27+MOD((2*ROUNDUP(D88/2,0)),4)/2*Premissas!$B$28+2*IF(D88&lt;=19,3*D88,IF(D88&lt;=50,ROUNDUP(2.5*D88,0),2*D88))*Premissas!$B$29+IF(C88="Micro",G88*(Premissas!$B$31+Premissas!$B$32+4*Premissas!$B$30),G88*(INDEX(Premissas!$B$40:$B$71,MATCH(F88,Premissas!$A$40:$A$71,0))+INDEX(Premissas!$C$40:$C$71,MATCH(F88,Premissas!$A$40:$A$71,0))*Premissas!$B$30)))</f>
        <v/>
      </c>
      <c r="K88" s="24">
        <f>IF(J88&lt;Premissas!$B$36,MAX(Premissas!$B$33,J88*Premissas!$B$34),J88*Premissas!$B$35)</f>
        <v/>
      </c>
      <c r="L88" s="24">
        <f>ROUND(J88+K88,2)</f>
        <v/>
      </c>
      <c r="M88" s="24">
        <f>D88*Premissas!$B$8+Premissas!$B$9+Premissas!$B$10+Premissas!$B$11+Premissas!$B$12+ROUND(Premissas!$B$13*E88,2)</f>
        <v/>
      </c>
      <c r="N88" s="25">
        <f>ROUNDUP((L88+M88-Premissas!$B$5*L88)/(1-Premissas!$B$6-Premissas!$B$7-Premissas!$B$5-Premissas!$B$14),2)</f>
        <v/>
      </c>
      <c r="O88" s="24">
        <f>ROUND(IF(N88&lt;=30000,N88*(1+Premissas!$B$21),N88+Premissas!$B$21*30000*SQRT(N88/30000)),2)</f>
        <v/>
      </c>
      <c r="P88" s="24">
        <f>N88-I88</f>
        <v/>
      </c>
      <c r="Q88" s="26">
        <f>P88/I88</f>
        <v/>
      </c>
      <c r="R88" s="26">
        <f>(I88-L88-Premissas!$B$5*(I88-L88)-(Premissas!$B$6+Premissas!$B$7)*I88-M88)/I88</f>
        <v/>
      </c>
      <c r="S88" s="24">
        <f>ROUND((CEILING((L88*Premissas!$B$17/Premissas!$B$18-97)/100,1)*100+97)*Premissas!$B$18,2)</f>
        <v/>
      </c>
    </row>
    <row r="89">
      <c r="A89" s="17" t="inlineStr">
        <is>
          <t>KIT 103 MOD. 620W + INV. CHINT 75KW</t>
        </is>
      </c>
      <c r="B89" s="17" t="inlineStr">
        <is>
          <t>CHINT</t>
        </is>
      </c>
      <c r="C89" s="17" t="inlineStr">
        <is>
          <t>Inversor</t>
        </is>
      </c>
      <c r="D89" s="21" t="n">
        <v>103</v>
      </c>
      <c r="E89" s="30" t="n">
        <v>63.86</v>
      </c>
      <c r="F89" s="20" t="inlineStr">
        <is>
          <t>CHINT SCA75K-T-SA TRI 220V</t>
        </is>
      </c>
      <c r="G89" s="21" t="n">
        <v>1</v>
      </c>
      <c r="H89" s="17" t="inlineStr">
        <is>
          <t>Sim</t>
        </is>
      </c>
      <c r="I89" s="23" t="n">
        <v>156446.85</v>
      </c>
      <c r="J89" s="24">
        <f>(D89*Premissas!$B$24+(2*ROUNDUP(D89/2,0))*Premissas!$B$26+INT((2*ROUNDUP(D89/2,0))/4)*Premissas!$B$27+MOD((2*ROUNDUP(D89/2,0)),4)/2*Premissas!$B$28+2*IF(D89&lt;=19,3*D89,IF(D89&lt;=50,ROUNDUP(2.5*D89,0),2*D89))*Premissas!$B$29+IF(C89="Micro",G89*(Premissas!$B$31+Premissas!$B$32+4*Premissas!$B$30),G89*(INDEX(Premissas!$B$40:$B$71,MATCH(F89,Premissas!$A$40:$A$71,0))+INDEX(Premissas!$C$40:$C$71,MATCH(F89,Premissas!$A$40:$A$71,0))*Premissas!$B$30)))</f>
        <v/>
      </c>
      <c r="K89" s="24">
        <f>IF(J89&lt;Premissas!$B$36,MAX(Premissas!$B$33,J89*Premissas!$B$34),J89*Premissas!$B$35)</f>
        <v/>
      </c>
      <c r="L89" s="24">
        <f>ROUND(J89+K89,2)</f>
        <v/>
      </c>
      <c r="M89" s="24">
        <f>D89*Premissas!$B$8+Premissas!$B$9+Premissas!$B$10+Premissas!$B$11+Premissas!$B$12+ROUND(Premissas!$B$13*E89,2)</f>
        <v/>
      </c>
      <c r="N89" s="25">
        <f>ROUNDUP((L89+M89-Premissas!$B$5*L89)/(1-Premissas!$B$6-Premissas!$B$7-Premissas!$B$5-Premissas!$B$14),2)</f>
        <v/>
      </c>
      <c r="O89" s="24">
        <f>ROUND(IF(N89&lt;=30000,N89*(1+Premissas!$B$21),N89+Premissas!$B$21*30000*SQRT(N89/30000)),2)</f>
        <v/>
      </c>
      <c r="P89" s="24">
        <f>N89-I89</f>
        <v/>
      </c>
      <c r="Q89" s="26">
        <f>P89/I89</f>
        <v/>
      </c>
      <c r="R89" s="26">
        <f>(I89-L89-Premissas!$B$5*(I89-L89)-(Premissas!$B$6+Premissas!$B$7)*I89-M89)/I89</f>
        <v/>
      </c>
      <c r="S89" s="24">
        <f>ROUND((CEILING((L89*Premissas!$B$17/Premissas!$B$18-97)/100,1)*100+97)*Premissas!$B$18,2)</f>
        <v/>
      </c>
    </row>
    <row r="90">
      <c r="A90" s="17" t="inlineStr">
        <is>
          <t>KIT 104 MOD. 620W + INV. CHINT 75KW</t>
        </is>
      </c>
      <c r="B90" s="17" t="inlineStr">
        <is>
          <t>CHINT</t>
        </is>
      </c>
      <c r="C90" s="17" t="inlineStr">
        <is>
          <t>Inversor</t>
        </is>
      </c>
      <c r="D90" s="21" t="n">
        <v>104</v>
      </c>
      <c r="E90" s="30" t="n">
        <v>64.48</v>
      </c>
      <c r="F90" s="20" t="inlineStr">
        <is>
          <t>CHINT SCA75K-T-SA TRI 220V</t>
        </is>
      </c>
      <c r="G90" s="21" t="n">
        <v>1</v>
      </c>
      <c r="H90" s="17" t="inlineStr">
        <is>
          <t>Sim</t>
        </is>
      </c>
      <c r="I90" s="23" t="n">
        <v>157496.85</v>
      </c>
      <c r="J90" s="24">
        <f>(D90*Premissas!$B$24+(2*ROUNDUP(D90/2,0))*Premissas!$B$26+INT((2*ROUNDUP(D90/2,0))/4)*Premissas!$B$27+MOD((2*ROUNDUP(D90/2,0)),4)/2*Premissas!$B$28+2*IF(D90&lt;=19,3*D90,IF(D90&lt;=50,ROUNDUP(2.5*D90,0),2*D90))*Premissas!$B$29+IF(C90="Micro",G90*(Premissas!$B$31+Premissas!$B$32+4*Premissas!$B$30),G90*(INDEX(Premissas!$B$40:$B$71,MATCH(F90,Premissas!$A$40:$A$71,0))+INDEX(Premissas!$C$40:$C$71,MATCH(F90,Premissas!$A$40:$A$71,0))*Premissas!$B$30)))</f>
        <v/>
      </c>
      <c r="K90" s="24">
        <f>IF(J90&lt;Premissas!$B$36,MAX(Premissas!$B$33,J90*Premissas!$B$34),J90*Premissas!$B$35)</f>
        <v/>
      </c>
      <c r="L90" s="24">
        <f>ROUND(J90+K90,2)</f>
        <v/>
      </c>
      <c r="M90" s="24">
        <f>D90*Premissas!$B$8+Premissas!$B$9+Premissas!$B$10+Premissas!$B$11+Premissas!$B$12+ROUND(Premissas!$B$13*E90,2)</f>
        <v/>
      </c>
      <c r="N90" s="25">
        <f>ROUNDUP((L90+M90-Premissas!$B$5*L90)/(1-Premissas!$B$6-Premissas!$B$7-Premissas!$B$5-Premissas!$B$14),2)</f>
        <v/>
      </c>
      <c r="O90" s="24">
        <f>ROUND(IF(N90&lt;=30000,N90*(1+Premissas!$B$21),N90+Premissas!$B$21*30000*SQRT(N90/30000)),2)</f>
        <v/>
      </c>
      <c r="P90" s="24">
        <f>N90-I90</f>
        <v/>
      </c>
      <c r="Q90" s="26">
        <f>P90/I90</f>
        <v/>
      </c>
      <c r="R90" s="26">
        <f>(I90-L90-Premissas!$B$5*(I90-L90)-(Premissas!$B$6+Premissas!$B$7)*I90-M90)/I90</f>
        <v/>
      </c>
      <c r="S90" s="24">
        <f>ROUND((CEILING((L90*Premissas!$B$17/Premissas!$B$18-97)/100,1)*100+97)*Premissas!$B$18,2)</f>
        <v/>
      </c>
    </row>
    <row r="91">
      <c r="A91" s="17" t="inlineStr">
        <is>
          <t>KIT 105 MOD. 620W + INV. CHINT 75KW</t>
        </is>
      </c>
      <c r="B91" s="17" t="inlineStr">
        <is>
          <t>CHINT</t>
        </is>
      </c>
      <c r="C91" s="17" t="inlineStr">
        <is>
          <t>Inversor</t>
        </is>
      </c>
      <c r="D91" s="21" t="n">
        <v>105</v>
      </c>
      <c r="E91" s="30" t="n">
        <v>65.09999999999999</v>
      </c>
      <c r="F91" s="20" t="inlineStr">
        <is>
          <t>CHINT SCA75K-T-SA TRI 220V</t>
        </is>
      </c>
      <c r="G91" s="21" t="n">
        <v>1</v>
      </c>
      <c r="H91" s="17" t="inlineStr">
        <is>
          <t>Sim</t>
        </is>
      </c>
      <c r="I91" s="23" t="n">
        <v>158756.85</v>
      </c>
      <c r="J91" s="24">
        <f>(D91*Premissas!$B$24+(2*ROUNDUP(D91/2,0))*Premissas!$B$26+INT((2*ROUNDUP(D91/2,0))/4)*Premissas!$B$27+MOD((2*ROUNDUP(D91/2,0)),4)/2*Premissas!$B$28+2*IF(D91&lt;=19,3*D91,IF(D91&lt;=50,ROUNDUP(2.5*D91,0),2*D91))*Premissas!$B$29+IF(C91="Micro",G91*(Premissas!$B$31+Premissas!$B$32+4*Premissas!$B$30),G91*(INDEX(Premissas!$B$40:$B$71,MATCH(F91,Premissas!$A$40:$A$71,0))+INDEX(Premissas!$C$40:$C$71,MATCH(F91,Premissas!$A$40:$A$71,0))*Premissas!$B$30)))</f>
        <v/>
      </c>
      <c r="K91" s="24">
        <f>IF(J91&lt;Premissas!$B$36,MAX(Premissas!$B$33,J91*Premissas!$B$34),J91*Premissas!$B$35)</f>
        <v/>
      </c>
      <c r="L91" s="24">
        <f>ROUND(J91+K91,2)</f>
        <v/>
      </c>
      <c r="M91" s="24">
        <f>D91*Premissas!$B$8+Premissas!$B$9+Premissas!$B$10+Premissas!$B$11+Premissas!$B$12+ROUND(Premissas!$B$13*E91,2)</f>
        <v/>
      </c>
      <c r="N91" s="25">
        <f>ROUNDUP((L91+M91-Premissas!$B$5*L91)/(1-Premissas!$B$6-Premissas!$B$7-Premissas!$B$5-Premissas!$B$14),2)</f>
        <v/>
      </c>
      <c r="O91" s="24">
        <f>ROUND(IF(N91&lt;=30000,N91*(1+Premissas!$B$21),N91+Premissas!$B$21*30000*SQRT(N91/30000)),2)</f>
        <v/>
      </c>
      <c r="P91" s="24">
        <f>N91-I91</f>
        <v/>
      </c>
      <c r="Q91" s="26">
        <f>P91/I91</f>
        <v/>
      </c>
      <c r="R91" s="26">
        <f>(I91-L91-Premissas!$B$5*(I91-L91)-(Premissas!$B$6+Premissas!$B$7)*I91-M91)/I91</f>
        <v/>
      </c>
      <c r="S91" s="24">
        <f>ROUND((CEILING((L91*Premissas!$B$17/Premissas!$B$18-97)/100,1)*100+97)*Premissas!$B$18,2)</f>
        <v/>
      </c>
    </row>
    <row r="92">
      <c r="A92" s="17" t="inlineStr">
        <is>
          <t>KIT 106 MOD. 620W + INV. CHINT 75KW</t>
        </is>
      </c>
      <c r="B92" s="17" t="inlineStr">
        <is>
          <t>CHINT</t>
        </is>
      </c>
      <c r="C92" s="17" t="inlineStr">
        <is>
          <t>Inversor</t>
        </is>
      </c>
      <c r="D92" s="21" t="n">
        <v>106</v>
      </c>
      <c r="E92" s="30" t="n">
        <v>65.72</v>
      </c>
      <c r="F92" s="20" t="inlineStr">
        <is>
          <t>CHINT SCA75K-T-SA TRI 220V</t>
        </is>
      </c>
      <c r="G92" s="21" t="n">
        <v>1</v>
      </c>
      <c r="H92" s="17" t="inlineStr">
        <is>
          <t>Sim</t>
        </is>
      </c>
      <c r="I92" s="23" t="n">
        <v>159806.85</v>
      </c>
      <c r="J92" s="24">
        <f>(D92*Premissas!$B$24+(2*ROUNDUP(D92/2,0))*Premissas!$B$26+INT((2*ROUNDUP(D92/2,0))/4)*Premissas!$B$27+MOD((2*ROUNDUP(D92/2,0)),4)/2*Premissas!$B$28+2*IF(D92&lt;=19,3*D92,IF(D92&lt;=50,ROUNDUP(2.5*D92,0),2*D92))*Premissas!$B$29+IF(C92="Micro",G92*(Premissas!$B$31+Premissas!$B$32+4*Premissas!$B$30),G92*(INDEX(Premissas!$B$40:$B$71,MATCH(F92,Premissas!$A$40:$A$71,0))+INDEX(Premissas!$C$40:$C$71,MATCH(F92,Premissas!$A$40:$A$71,0))*Premissas!$B$30)))</f>
        <v/>
      </c>
      <c r="K92" s="24">
        <f>IF(J92&lt;Premissas!$B$36,MAX(Premissas!$B$33,J92*Premissas!$B$34),J92*Premissas!$B$35)</f>
        <v/>
      </c>
      <c r="L92" s="24">
        <f>ROUND(J92+K92,2)</f>
        <v/>
      </c>
      <c r="M92" s="24">
        <f>D92*Premissas!$B$8+Premissas!$B$9+Premissas!$B$10+Premissas!$B$11+Premissas!$B$12+ROUND(Premissas!$B$13*E92,2)</f>
        <v/>
      </c>
      <c r="N92" s="25">
        <f>ROUNDUP((L92+M92-Premissas!$B$5*L92)/(1-Premissas!$B$6-Premissas!$B$7-Premissas!$B$5-Premissas!$B$14),2)</f>
        <v/>
      </c>
      <c r="O92" s="24">
        <f>ROUND(IF(N92&lt;=30000,N92*(1+Premissas!$B$21),N92+Premissas!$B$21*30000*SQRT(N92/30000)),2)</f>
        <v/>
      </c>
      <c r="P92" s="24">
        <f>N92-I92</f>
        <v/>
      </c>
      <c r="Q92" s="26">
        <f>P92/I92</f>
        <v/>
      </c>
      <c r="R92" s="26">
        <f>(I92-L92-Premissas!$B$5*(I92-L92)-(Premissas!$B$6+Premissas!$B$7)*I92-M92)/I92</f>
        <v/>
      </c>
      <c r="S92" s="24">
        <f>ROUND((CEILING((L92*Premissas!$B$17/Premissas!$B$18-97)/100,1)*100+97)*Premissas!$B$18,2)</f>
        <v/>
      </c>
    </row>
    <row r="93">
      <c r="A93" s="17" t="inlineStr">
        <is>
          <t>KIT 107 MOD. 620W + INV. CHINT 75KW</t>
        </is>
      </c>
      <c r="B93" s="17" t="inlineStr">
        <is>
          <t>CHINT</t>
        </is>
      </c>
      <c r="C93" s="17" t="inlineStr">
        <is>
          <t>Inversor</t>
        </is>
      </c>
      <c r="D93" s="21" t="n">
        <v>107</v>
      </c>
      <c r="E93" s="30" t="n">
        <v>66.34</v>
      </c>
      <c r="F93" s="20" t="inlineStr">
        <is>
          <t>CHINT SCA75K-T-SA TRI 220V</t>
        </is>
      </c>
      <c r="G93" s="21" t="n">
        <v>1</v>
      </c>
      <c r="H93" s="17" t="inlineStr">
        <is>
          <t>Sim</t>
        </is>
      </c>
      <c r="I93" s="23" t="n">
        <v>161171.85</v>
      </c>
      <c r="J93" s="24">
        <f>(D93*Premissas!$B$24+(2*ROUNDUP(D93/2,0))*Premissas!$B$26+INT((2*ROUNDUP(D93/2,0))/4)*Premissas!$B$27+MOD((2*ROUNDUP(D93/2,0)),4)/2*Premissas!$B$28+2*IF(D93&lt;=19,3*D93,IF(D93&lt;=50,ROUNDUP(2.5*D93,0),2*D93))*Premissas!$B$29+IF(C93="Micro",G93*(Premissas!$B$31+Premissas!$B$32+4*Premissas!$B$30),G93*(INDEX(Premissas!$B$40:$B$71,MATCH(F93,Premissas!$A$40:$A$71,0))+INDEX(Premissas!$C$40:$C$71,MATCH(F93,Premissas!$A$40:$A$71,0))*Premissas!$B$30)))</f>
        <v/>
      </c>
      <c r="K93" s="24">
        <f>IF(J93&lt;Premissas!$B$36,MAX(Premissas!$B$33,J93*Premissas!$B$34),J93*Premissas!$B$35)</f>
        <v/>
      </c>
      <c r="L93" s="24">
        <f>ROUND(J93+K93,2)</f>
        <v/>
      </c>
      <c r="M93" s="24">
        <f>D93*Premissas!$B$8+Premissas!$B$9+Premissas!$B$10+Premissas!$B$11+Premissas!$B$12+ROUND(Premissas!$B$13*E93,2)</f>
        <v/>
      </c>
      <c r="N93" s="25">
        <f>ROUNDUP((L93+M93-Premissas!$B$5*L93)/(1-Premissas!$B$6-Premissas!$B$7-Premissas!$B$5-Premissas!$B$14),2)</f>
        <v/>
      </c>
      <c r="O93" s="24">
        <f>ROUND(IF(N93&lt;=30000,N93*(1+Premissas!$B$21),N93+Premissas!$B$21*30000*SQRT(N93/30000)),2)</f>
        <v/>
      </c>
      <c r="P93" s="24">
        <f>N93-I93</f>
        <v/>
      </c>
      <c r="Q93" s="26">
        <f>P93/I93</f>
        <v/>
      </c>
      <c r="R93" s="26">
        <f>(I93-L93-Premissas!$B$5*(I93-L93)-(Premissas!$B$6+Premissas!$B$7)*I93-M93)/I93</f>
        <v/>
      </c>
      <c r="S93" s="24">
        <f>ROUND((CEILING((L93*Premissas!$B$17/Premissas!$B$18-97)/100,1)*100+97)*Premissas!$B$18,2)</f>
        <v/>
      </c>
    </row>
    <row r="94">
      <c r="A94" s="17" t="inlineStr">
        <is>
          <t>KIT 108 MOD. 620W + INV. CHINT 75KW</t>
        </is>
      </c>
      <c r="B94" s="17" t="inlineStr">
        <is>
          <t>CHINT</t>
        </is>
      </c>
      <c r="C94" s="17" t="inlineStr">
        <is>
          <t>Inversor</t>
        </is>
      </c>
      <c r="D94" s="21" t="n">
        <v>108</v>
      </c>
      <c r="E94" s="30" t="n">
        <v>66.95999999999999</v>
      </c>
      <c r="F94" s="20" t="inlineStr">
        <is>
          <t>CHINT SCA75K-T-SA TRI 220V</t>
        </is>
      </c>
      <c r="G94" s="21" t="n">
        <v>1</v>
      </c>
      <c r="H94" s="17" t="inlineStr">
        <is>
          <t>Sim</t>
        </is>
      </c>
      <c r="I94" s="23" t="n">
        <v>162221.85</v>
      </c>
      <c r="J94" s="24">
        <f>(D94*Premissas!$B$24+(2*ROUNDUP(D94/2,0))*Premissas!$B$26+INT((2*ROUNDUP(D94/2,0))/4)*Premissas!$B$27+MOD((2*ROUNDUP(D94/2,0)),4)/2*Premissas!$B$28+2*IF(D94&lt;=19,3*D94,IF(D94&lt;=50,ROUNDUP(2.5*D94,0),2*D94))*Premissas!$B$29+IF(C94="Micro",G94*(Premissas!$B$31+Premissas!$B$32+4*Premissas!$B$30),G94*(INDEX(Premissas!$B$40:$B$71,MATCH(F94,Premissas!$A$40:$A$71,0))+INDEX(Premissas!$C$40:$C$71,MATCH(F94,Premissas!$A$40:$A$71,0))*Premissas!$B$30)))</f>
        <v/>
      </c>
      <c r="K94" s="24">
        <f>IF(J94&lt;Premissas!$B$36,MAX(Premissas!$B$33,J94*Premissas!$B$34),J94*Premissas!$B$35)</f>
        <v/>
      </c>
      <c r="L94" s="24">
        <f>ROUND(J94+K94,2)</f>
        <v/>
      </c>
      <c r="M94" s="24">
        <f>D94*Premissas!$B$8+Premissas!$B$9+Premissas!$B$10+Premissas!$B$11+Premissas!$B$12+ROUND(Premissas!$B$13*E94,2)</f>
        <v/>
      </c>
      <c r="N94" s="25">
        <f>ROUNDUP((L94+M94-Premissas!$B$5*L94)/(1-Premissas!$B$6-Premissas!$B$7-Premissas!$B$5-Premissas!$B$14),2)</f>
        <v/>
      </c>
      <c r="O94" s="24">
        <f>ROUND(IF(N94&lt;=30000,N94*(1+Premissas!$B$21),N94+Premissas!$B$21*30000*SQRT(N94/30000)),2)</f>
        <v/>
      </c>
      <c r="P94" s="24">
        <f>N94-I94</f>
        <v/>
      </c>
      <c r="Q94" s="26">
        <f>P94/I94</f>
        <v/>
      </c>
      <c r="R94" s="26">
        <f>(I94-L94-Premissas!$B$5*(I94-L94)-(Premissas!$B$6+Premissas!$B$7)*I94-M94)/I94</f>
        <v/>
      </c>
      <c r="S94" s="24">
        <f>ROUND((CEILING((L94*Premissas!$B$17/Premissas!$B$18-97)/100,1)*100+97)*Premissas!$B$18,2)</f>
        <v/>
      </c>
    </row>
    <row r="95">
      <c r="A95" s="17" t="inlineStr">
        <is>
          <t>KIT 109 MOD. 620W + INV. CHINT 75KW</t>
        </is>
      </c>
      <c r="B95" s="17" t="inlineStr">
        <is>
          <t>CHINT</t>
        </is>
      </c>
      <c r="C95" s="17" t="inlineStr">
        <is>
          <t>Inversor</t>
        </is>
      </c>
      <c r="D95" s="21" t="n">
        <v>109</v>
      </c>
      <c r="E95" s="30" t="n">
        <v>67.58</v>
      </c>
      <c r="F95" s="20" t="inlineStr">
        <is>
          <t>CHINT SCA75K-T-SA TRI 220V</t>
        </is>
      </c>
      <c r="G95" s="21" t="n">
        <v>1</v>
      </c>
      <c r="H95" s="17" t="inlineStr">
        <is>
          <t>Sim</t>
        </is>
      </c>
      <c r="I95" s="23" t="n">
        <v>163481.85</v>
      </c>
      <c r="J95" s="24">
        <f>(D95*Premissas!$B$24+(2*ROUNDUP(D95/2,0))*Premissas!$B$26+INT((2*ROUNDUP(D95/2,0))/4)*Premissas!$B$27+MOD((2*ROUNDUP(D95/2,0)),4)/2*Premissas!$B$28+2*IF(D95&lt;=19,3*D95,IF(D95&lt;=50,ROUNDUP(2.5*D95,0),2*D95))*Premissas!$B$29+IF(C95="Micro",G95*(Premissas!$B$31+Premissas!$B$32+4*Premissas!$B$30),G95*(INDEX(Premissas!$B$40:$B$71,MATCH(F95,Premissas!$A$40:$A$71,0))+INDEX(Premissas!$C$40:$C$71,MATCH(F95,Premissas!$A$40:$A$71,0))*Premissas!$B$30)))</f>
        <v/>
      </c>
      <c r="K95" s="24">
        <f>IF(J95&lt;Premissas!$B$36,MAX(Premissas!$B$33,J95*Premissas!$B$34),J95*Premissas!$B$35)</f>
        <v/>
      </c>
      <c r="L95" s="24">
        <f>ROUND(J95+K95,2)</f>
        <v/>
      </c>
      <c r="M95" s="24">
        <f>D95*Premissas!$B$8+Premissas!$B$9+Premissas!$B$10+Premissas!$B$11+Premissas!$B$12+ROUND(Premissas!$B$13*E95,2)</f>
        <v/>
      </c>
      <c r="N95" s="25">
        <f>ROUNDUP((L95+M95-Premissas!$B$5*L95)/(1-Premissas!$B$6-Premissas!$B$7-Premissas!$B$5-Premissas!$B$14),2)</f>
        <v/>
      </c>
      <c r="O95" s="24">
        <f>ROUND(IF(N95&lt;=30000,N95*(1+Premissas!$B$21),N95+Premissas!$B$21*30000*SQRT(N95/30000)),2)</f>
        <v/>
      </c>
      <c r="P95" s="24">
        <f>N95-I95</f>
        <v/>
      </c>
      <c r="Q95" s="26">
        <f>P95/I95</f>
        <v/>
      </c>
      <c r="R95" s="26">
        <f>(I95-L95-Premissas!$B$5*(I95-L95)-(Premissas!$B$6+Premissas!$B$7)*I95-M95)/I95</f>
        <v/>
      </c>
      <c r="S95" s="24">
        <f>ROUND((CEILING((L95*Premissas!$B$17/Premissas!$B$18-97)/100,1)*100+97)*Premissas!$B$18,2)</f>
        <v/>
      </c>
    </row>
    <row r="96">
      <c r="A96" s="17" t="inlineStr">
        <is>
          <t>KIT 110 MOD. 620W + INV. CHINT 75KW</t>
        </is>
      </c>
      <c r="B96" s="17" t="inlineStr">
        <is>
          <t>CHINT</t>
        </is>
      </c>
      <c r="C96" s="17" t="inlineStr">
        <is>
          <t>Inversor</t>
        </is>
      </c>
      <c r="D96" s="21" t="n">
        <v>110</v>
      </c>
      <c r="E96" s="30" t="n">
        <v>68.2</v>
      </c>
      <c r="F96" s="20" t="inlineStr">
        <is>
          <t>CHINT SCA75K-T-SA TRI 220V</t>
        </is>
      </c>
      <c r="G96" s="21" t="n">
        <v>1</v>
      </c>
      <c r="H96" s="17" t="inlineStr">
        <is>
          <t>Sim</t>
        </is>
      </c>
      <c r="I96" s="23" t="n">
        <v>164531.85</v>
      </c>
      <c r="J96" s="24">
        <f>(D96*Premissas!$B$24+(2*ROUNDUP(D96/2,0))*Premissas!$B$26+INT((2*ROUNDUP(D96/2,0))/4)*Premissas!$B$27+MOD((2*ROUNDUP(D96/2,0)),4)/2*Premissas!$B$28+2*IF(D96&lt;=19,3*D96,IF(D96&lt;=50,ROUNDUP(2.5*D96,0),2*D96))*Premissas!$B$29+IF(C96="Micro",G96*(Premissas!$B$31+Premissas!$B$32+4*Premissas!$B$30),G96*(INDEX(Premissas!$B$40:$B$71,MATCH(F96,Premissas!$A$40:$A$71,0))+INDEX(Premissas!$C$40:$C$71,MATCH(F96,Premissas!$A$40:$A$71,0))*Premissas!$B$30)))</f>
        <v/>
      </c>
      <c r="K96" s="24">
        <f>IF(J96&lt;Premissas!$B$36,MAX(Premissas!$B$33,J96*Premissas!$B$34),J96*Premissas!$B$35)</f>
        <v/>
      </c>
      <c r="L96" s="24">
        <f>ROUND(J96+K96,2)</f>
        <v/>
      </c>
      <c r="M96" s="24">
        <f>D96*Premissas!$B$8+Premissas!$B$9+Premissas!$B$10+Premissas!$B$11+Premissas!$B$12+ROUND(Premissas!$B$13*E96,2)</f>
        <v/>
      </c>
      <c r="N96" s="25">
        <f>ROUNDUP((L96+M96-Premissas!$B$5*L96)/(1-Premissas!$B$6-Premissas!$B$7-Premissas!$B$5-Premissas!$B$14),2)</f>
        <v/>
      </c>
      <c r="O96" s="24">
        <f>ROUND(IF(N96&lt;=30000,N96*(1+Premissas!$B$21),N96+Premissas!$B$21*30000*SQRT(N96/30000)),2)</f>
        <v/>
      </c>
      <c r="P96" s="24">
        <f>N96-I96</f>
        <v/>
      </c>
      <c r="Q96" s="26">
        <f>P96/I96</f>
        <v/>
      </c>
      <c r="R96" s="26">
        <f>(I96-L96-Premissas!$B$5*(I96-L96)-(Premissas!$B$6+Premissas!$B$7)*I96-M96)/I96</f>
        <v/>
      </c>
      <c r="S96" s="24">
        <f>ROUND((CEILING((L96*Premissas!$B$17/Premissas!$B$18-97)/100,1)*100+97)*Premissas!$B$18,2)</f>
        <v/>
      </c>
    </row>
    <row r="97">
      <c r="A97" s="17" t="inlineStr">
        <is>
          <t>KIT 111 MOD. 620W + INV. CHINT 75KW</t>
        </is>
      </c>
      <c r="B97" s="17" t="inlineStr">
        <is>
          <t>CHINT</t>
        </is>
      </c>
      <c r="C97" s="17" t="inlineStr">
        <is>
          <t>Inversor</t>
        </is>
      </c>
      <c r="D97" s="21" t="n">
        <v>111</v>
      </c>
      <c r="E97" s="30" t="n">
        <v>68.81999999999999</v>
      </c>
      <c r="F97" s="20" t="inlineStr">
        <is>
          <t>CHINT SCA75K-T-SA TRI 220V</t>
        </is>
      </c>
      <c r="G97" s="21" t="n">
        <v>1</v>
      </c>
      <c r="H97" s="17" t="inlineStr">
        <is>
          <t>Sim</t>
        </is>
      </c>
      <c r="I97" s="23" t="n">
        <v>165896.85</v>
      </c>
      <c r="J97" s="24">
        <f>(D97*Premissas!$B$24+(2*ROUNDUP(D97/2,0))*Premissas!$B$26+INT((2*ROUNDUP(D97/2,0))/4)*Premissas!$B$27+MOD((2*ROUNDUP(D97/2,0)),4)/2*Premissas!$B$28+2*IF(D97&lt;=19,3*D97,IF(D97&lt;=50,ROUNDUP(2.5*D97,0),2*D97))*Premissas!$B$29+IF(C97="Micro",G97*(Premissas!$B$31+Premissas!$B$32+4*Premissas!$B$30),G97*(INDEX(Premissas!$B$40:$B$71,MATCH(F97,Premissas!$A$40:$A$71,0))+INDEX(Premissas!$C$40:$C$71,MATCH(F97,Premissas!$A$40:$A$71,0))*Premissas!$B$30)))</f>
        <v/>
      </c>
      <c r="K97" s="24">
        <f>IF(J97&lt;Premissas!$B$36,MAX(Premissas!$B$33,J97*Premissas!$B$34),J97*Premissas!$B$35)</f>
        <v/>
      </c>
      <c r="L97" s="24">
        <f>ROUND(J97+K97,2)</f>
        <v/>
      </c>
      <c r="M97" s="24">
        <f>D97*Premissas!$B$8+Premissas!$B$9+Premissas!$B$10+Premissas!$B$11+Premissas!$B$12+ROUND(Premissas!$B$13*E97,2)</f>
        <v/>
      </c>
      <c r="N97" s="25">
        <f>ROUNDUP((L97+M97-Premissas!$B$5*L97)/(1-Premissas!$B$6-Premissas!$B$7-Premissas!$B$5-Premissas!$B$14),2)</f>
        <v/>
      </c>
      <c r="O97" s="24">
        <f>ROUND(IF(N97&lt;=30000,N97*(1+Premissas!$B$21),N97+Premissas!$B$21*30000*SQRT(N97/30000)),2)</f>
        <v/>
      </c>
      <c r="P97" s="24">
        <f>N97-I97</f>
        <v/>
      </c>
      <c r="Q97" s="26">
        <f>P97/I97</f>
        <v/>
      </c>
      <c r="R97" s="26">
        <f>(I97-L97-Premissas!$B$5*(I97-L97)-(Premissas!$B$6+Premissas!$B$7)*I97-M97)/I97</f>
        <v/>
      </c>
      <c r="S97" s="24">
        <f>ROUND((CEILING((L97*Premissas!$B$17/Premissas!$B$18-97)/100,1)*100+97)*Premissas!$B$18,2)</f>
        <v/>
      </c>
    </row>
    <row r="98">
      <c r="A98" s="17" t="inlineStr">
        <is>
          <t>KIT 112 MOD. 620W + INV. CHINT 75KW</t>
        </is>
      </c>
      <c r="B98" s="17" t="inlineStr">
        <is>
          <t>CHINT</t>
        </is>
      </c>
      <c r="C98" s="17" t="inlineStr">
        <is>
          <t>Inversor</t>
        </is>
      </c>
      <c r="D98" s="21" t="n">
        <v>112</v>
      </c>
      <c r="E98" s="30" t="n">
        <v>69.44</v>
      </c>
      <c r="F98" s="20" t="inlineStr">
        <is>
          <t>CHINT SCA75K-T-SA TRI 220V</t>
        </is>
      </c>
      <c r="G98" s="21" t="n">
        <v>1</v>
      </c>
      <c r="H98" s="17" t="inlineStr">
        <is>
          <t>Sim</t>
        </is>
      </c>
      <c r="I98" s="23" t="n">
        <v>166841.85</v>
      </c>
      <c r="J98" s="24">
        <f>(D98*Premissas!$B$24+(2*ROUNDUP(D98/2,0))*Premissas!$B$26+INT((2*ROUNDUP(D98/2,0))/4)*Premissas!$B$27+MOD((2*ROUNDUP(D98/2,0)),4)/2*Premissas!$B$28+2*IF(D98&lt;=19,3*D98,IF(D98&lt;=50,ROUNDUP(2.5*D98,0),2*D98))*Premissas!$B$29+IF(C98="Micro",G98*(Premissas!$B$31+Premissas!$B$32+4*Premissas!$B$30),G98*(INDEX(Premissas!$B$40:$B$71,MATCH(F98,Premissas!$A$40:$A$71,0))+INDEX(Premissas!$C$40:$C$71,MATCH(F98,Premissas!$A$40:$A$71,0))*Premissas!$B$30)))</f>
        <v/>
      </c>
      <c r="K98" s="24">
        <f>IF(J98&lt;Premissas!$B$36,MAX(Premissas!$B$33,J98*Premissas!$B$34),J98*Premissas!$B$35)</f>
        <v/>
      </c>
      <c r="L98" s="24">
        <f>ROUND(J98+K98,2)</f>
        <v/>
      </c>
      <c r="M98" s="24">
        <f>D98*Premissas!$B$8+Premissas!$B$9+Premissas!$B$10+Premissas!$B$11+Premissas!$B$12+ROUND(Premissas!$B$13*E98,2)</f>
        <v/>
      </c>
      <c r="N98" s="25">
        <f>ROUNDUP((L98+M98-Premissas!$B$5*L98)/(1-Premissas!$B$6-Premissas!$B$7-Premissas!$B$5-Premissas!$B$14),2)</f>
        <v/>
      </c>
      <c r="O98" s="24">
        <f>ROUND(IF(N98&lt;=30000,N98*(1+Premissas!$B$21),N98+Premissas!$B$21*30000*SQRT(N98/30000)),2)</f>
        <v/>
      </c>
      <c r="P98" s="24">
        <f>N98-I98</f>
        <v/>
      </c>
      <c r="Q98" s="26">
        <f>P98/I98</f>
        <v/>
      </c>
      <c r="R98" s="26">
        <f>(I98-L98-Premissas!$B$5*(I98-L98)-(Premissas!$B$6+Premissas!$B$7)*I98-M98)/I98</f>
        <v/>
      </c>
      <c r="S98" s="24">
        <f>ROUND((CEILING((L98*Premissas!$B$17/Premissas!$B$18-97)/100,1)*100+97)*Premissas!$B$18,2)</f>
        <v/>
      </c>
    </row>
    <row r="99">
      <c r="A99" s="17" t="inlineStr">
        <is>
          <t>KIT 113 MOD. 620W + INV. CHINT 75KW</t>
        </is>
      </c>
      <c r="B99" s="17" t="inlineStr">
        <is>
          <t>CHINT</t>
        </is>
      </c>
      <c r="C99" s="17" t="inlineStr">
        <is>
          <t>Inversor</t>
        </is>
      </c>
      <c r="D99" s="21" t="n">
        <v>113</v>
      </c>
      <c r="E99" s="30" t="n">
        <v>70.06</v>
      </c>
      <c r="F99" s="20" t="inlineStr">
        <is>
          <t>CHINT SCA75K-T-SA TRI 220V</t>
        </is>
      </c>
      <c r="G99" s="21" t="n">
        <v>1</v>
      </c>
      <c r="H99" s="17" t="inlineStr">
        <is>
          <t>Sim</t>
        </is>
      </c>
      <c r="I99" s="23" t="n">
        <v>168206.85</v>
      </c>
      <c r="J99" s="24">
        <f>(D99*Premissas!$B$24+(2*ROUNDUP(D99/2,0))*Premissas!$B$26+INT((2*ROUNDUP(D99/2,0))/4)*Premissas!$B$27+MOD((2*ROUNDUP(D99/2,0)),4)/2*Premissas!$B$28+2*IF(D99&lt;=19,3*D99,IF(D99&lt;=50,ROUNDUP(2.5*D99,0),2*D99))*Premissas!$B$29+IF(C99="Micro",G99*(Premissas!$B$31+Premissas!$B$32+4*Premissas!$B$30),G99*(INDEX(Premissas!$B$40:$B$71,MATCH(F99,Premissas!$A$40:$A$71,0))+INDEX(Premissas!$C$40:$C$71,MATCH(F99,Premissas!$A$40:$A$71,0))*Premissas!$B$30)))</f>
        <v/>
      </c>
      <c r="K99" s="24">
        <f>IF(J99&lt;Premissas!$B$36,MAX(Premissas!$B$33,J99*Premissas!$B$34),J99*Premissas!$B$35)</f>
        <v/>
      </c>
      <c r="L99" s="24">
        <f>ROUND(J99+K99,2)</f>
        <v/>
      </c>
      <c r="M99" s="24">
        <f>D99*Premissas!$B$8+Premissas!$B$9+Premissas!$B$10+Premissas!$B$11+Premissas!$B$12+ROUND(Premissas!$B$13*E99,2)</f>
        <v/>
      </c>
      <c r="N99" s="25">
        <f>ROUNDUP((L99+M99-Premissas!$B$5*L99)/(1-Premissas!$B$6-Premissas!$B$7-Premissas!$B$5-Premissas!$B$14),2)</f>
        <v/>
      </c>
      <c r="O99" s="24">
        <f>ROUND(IF(N99&lt;=30000,N99*(1+Premissas!$B$21),N99+Premissas!$B$21*30000*SQRT(N99/30000)),2)</f>
        <v/>
      </c>
      <c r="P99" s="24">
        <f>N99-I99</f>
        <v/>
      </c>
      <c r="Q99" s="26">
        <f>P99/I99</f>
        <v/>
      </c>
      <c r="R99" s="26">
        <f>(I99-L99-Premissas!$B$5*(I99-L99)-(Premissas!$B$6+Premissas!$B$7)*I99-M99)/I99</f>
        <v/>
      </c>
      <c r="S99" s="24">
        <f>ROUND((CEILING((L99*Premissas!$B$17/Premissas!$B$18-97)/100,1)*100+97)*Premissas!$B$18,2)</f>
        <v/>
      </c>
    </row>
    <row r="100">
      <c r="A100" s="17" t="inlineStr">
        <is>
          <t>KIT 114 MOD. 620W + INV. CHINT 75KW</t>
        </is>
      </c>
      <c r="B100" s="17" t="inlineStr">
        <is>
          <t>CHINT</t>
        </is>
      </c>
      <c r="C100" s="17" t="inlineStr">
        <is>
          <t>Inversor</t>
        </is>
      </c>
      <c r="D100" s="21" t="n">
        <v>114</v>
      </c>
      <c r="E100" s="30" t="n">
        <v>70.68000000000001</v>
      </c>
      <c r="F100" s="20" t="inlineStr">
        <is>
          <t>CHINT SCA75K-T-SA TRI 220V</t>
        </is>
      </c>
      <c r="G100" s="21" t="n">
        <v>1</v>
      </c>
      <c r="H100" s="17" t="inlineStr">
        <is>
          <t>Sim</t>
        </is>
      </c>
      <c r="I100" s="23" t="n">
        <v>169256.85</v>
      </c>
      <c r="J100" s="24">
        <f>(D100*Premissas!$B$24+(2*ROUNDUP(D100/2,0))*Premissas!$B$26+INT((2*ROUNDUP(D100/2,0))/4)*Premissas!$B$27+MOD((2*ROUNDUP(D100/2,0)),4)/2*Premissas!$B$28+2*IF(D100&lt;=19,3*D100,IF(D100&lt;=50,ROUNDUP(2.5*D100,0),2*D100))*Premissas!$B$29+IF(C100="Micro",G100*(Premissas!$B$31+Premissas!$B$32+4*Premissas!$B$30),G100*(INDEX(Premissas!$B$40:$B$71,MATCH(F100,Premissas!$A$40:$A$71,0))+INDEX(Premissas!$C$40:$C$71,MATCH(F100,Premissas!$A$40:$A$71,0))*Premissas!$B$30)))</f>
        <v/>
      </c>
      <c r="K100" s="24">
        <f>IF(J100&lt;Premissas!$B$36,MAX(Premissas!$B$33,J100*Premissas!$B$34),J100*Premissas!$B$35)</f>
        <v/>
      </c>
      <c r="L100" s="24">
        <f>ROUND(J100+K100,2)</f>
        <v/>
      </c>
      <c r="M100" s="24">
        <f>D100*Premissas!$B$8+Premissas!$B$9+Premissas!$B$10+Premissas!$B$11+Premissas!$B$12+ROUND(Premissas!$B$13*E100,2)</f>
        <v/>
      </c>
      <c r="N100" s="25">
        <f>ROUNDUP((L100+M100-Premissas!$B$5*L100)/(1-Premissas!$B$6-Premissas!$B$7-Premissas!$B$5-Premissas!$B$14),2)</f>
        <v/>
      </c>
      <c r="O100" s="24">
        <f>ROUND(IF(N100&lt;=30000,N100*(1+Premissas!$B$21),N100+Premissas!$B$21*30000*SQRT(N100/30000)),2)</f>
        <v/>
      </c>
      <c r="P100" s="24">
        <f>N100-I100</f>
        <v/>
      </c>
      <c r="Q100" s="26">
        <f>P100/I100</f>
        <v/>
      </c>
      <c r="R100" s="26">
        <f>(I100-L100-Premissas!$B$5*(I100-L100)-(Premissas!$B$6+Premissas!$B$7)*I100-M100)/I100</f>
        <v/>
      </c>
      <c r="S100" s="24">
        <f>ROUND((CEILING((L100*Premissas!$B$17/Premissas!$B$18-97)/100,1)*100+97)*Premissas!$B$18,2)</f>
        <v/>
      </c>
    </row>
    <row r="101">
      <c r="A101" s="17" t="inlineStr">
        <is>
          <t>KIT 115 MOD. 620W + INV. CHINT 75KW</t>
        </is>
      </c>
      <c r="B101" s="17" t="inlineStr">
        <is>
          <t>CHINT</t>
        </is>
      </c>
      <c r="C101" s="17" t="inlineStr">
        <is>
          <t>Inversor</t>
        </is>
      </c>
      <c r="D101" s="21" t="n">
        <v>115</v>
      </c>
      <c r="E101" s="30" t="n">
        <v>71.3</v>
      </c>
      <c r="F101" s="20" t="inlineStr">
        <is>
          <t>CHINT SCA75K-T-SA TRI 220V</t>
        </is>
      </c>
      <c r="G101" s="21" t="n">
        <v>1</v>
      </c>
      <c r="H101" s="17" t="inlineStr">
        <is>
          <t>Sim</t>
        </is>
      </c>
      <c r="I101" s="23" t="n">
        <v>170516.85</v>
      </c>
      <c r="J101" s="24">
        <f>(D101*Premissas!$B$24+(2*ROUNDUP(D101/2,0))*Premissas!$B$26+INT((2*ROUNDUP(D101/2,0))/4)*Premissas!$B$27+MOD((2*ROUNDUP(D101/2,0)),4)/2*Premissas!$B$28+2*IF(D101&lt;=19,3*D101,IF(D101&lt;=50,ROUNDUP(2.5*D101,0),2*D101))*Premissas!$B$29+IF(C101="Micro",G101*(Premissas!$B$31+Premissas!$B$32+4*Premissas!$B$30),G101*(INDEX(Premissas!$B$40:$B$71,MATCH(F101,Premissas!$A$40:$A$71,0))+INDEX(Premissas!$C$40:$C$71,MATCH(F101,Premissas!$A$40:$A$71,0))*Premissas!$B$30)))</f>
        <v/>
      </c>
      <c r="K101" s="24">
        <f>IF(J101&lt;Premissas!$B$36,MAX(Premissas!$B$33,J101*Premissas!$B$34),J101*Premissas!$B$35)</f>
        <v/>
      </c>
      <c r="L101" s="24">
        <f>ROUND(J101+K101,2)</f>
        <v/>
      </c>
      <c r="M101" s="24">
        <f>D101*Premissas!$B$8+Premissas!$B$9+Premissas!$B$10+Premissas!$B$11+Premissas!$B$12+ROUND(Premissas!$B$13*E101,2)</f>
        <v/>
      </c>
      <c r="N101" s="25">
        <f>ROUNDUP((L101+M101-Premissas!$B$5*L101)/(1-Premissas!$B$6-Premissas!$B$7-Premissas!$B$5-Premissas!$B$14),2)</f>
        <v/>
      </c>
      <c r="O101" s="24">
        <f>ROUND(IF(N101&lt;=30000,N101*(1+Premissas!$B$21),N101+Premissas!$B$21*30000*SQRT(N101/30000)),2)</f>
        <v/>
      </c>
      <c r="P101" s="24">
        <f>N101-I101</f>
        <v/>
      </c>
      <c r="Q101" s="26">
        <f>P101/I101</f>
        <v/>
      </c>
      <c r="R101" s="26">
        <f>(I101-L101-Premissas!$B$5*(I101-L101)-(Premissas!$B$6+Premissas!$B$7)*I101-M101)/I101</f>
        <v/>
      </c>
      <c r="S101" s="24">
        <f>ROUND((CEILING((L101*Premissas!$B$17/Premissas!$B$18-97)/100,1)*100+97)*Premissas!$B$18,2)</f>
        <v/>
      </c>
    </row>
    <row r="102">
      <c r="A102" s="17" t="inlineStr">
        <is>
          <t>KIT 116 MOD. 620W + INV. CHINT 75KW</t>
        </is>
      </c>
      <c r="B102" s="17" t="inlineStr">
        <is>
          <t>CHINT</t>
        </is>
      </c>
      <c r="C102" s="17" t="inlineStr">
        <is>
          <t>Inversor</t>
        </is>
      </c>
      <c r="D102" s="21" t="n">
        <v>116</v>
      </c>
      <c r="E102" s="30" t="n">
        <v>71.92</v>
      </c>
      <c r="F102" s="20" t="inlineStr">
        <is>
          <t>CHINT SCA75K-T-SA TRI 220V</t>
        </is>
      </c>
      <c r="G102" s="21" t="n">
        <v>1</v>
      </c>
      <c r="H102" s="17" t="inlineStr">
        <is>
          <t>Sim</t>
        </is>
      </c>
      <c r="I102" s="23" t="n">
        <v>171566.85</v>
      </c>
      <c r="J102" s="24">
        <f>(D102*Premissas!$B$24+(2*ROUNDUP(D102/2,0))*Premissas!$B$26+INT((2*ROUNDUP(D102/2,0))/4)*Premissas!$B$27+MOD((2*ROUNDUP(D102/2,0)),4)/2*Premissas!$B$28+2*IF(D102&lt;=19,3*D102,IF(D102&lt;=50,ROUNDUP(2.5*D102,0),2*D102))*Premissas!$B$29+IF(C102="Micro",G102*(Premissas!$B$31+Premissas!$B$32+4*Premissas!$B$30),G102*(INDEX(Premissas!$B$40:$B$71,MATCH(F102,Premissas!$A$40:$A$71,0))+INDEX(Premissas!$C$40:$C$71,MATCH(F102,Premissas!$A$40:$A$71,0))*Premissas!$B$30)))</f>
        <v/>
      </c>
      <c r="K102" s="24">
        <f>IF(J102&lt;Premissas!$B$36,MAX(Premissas!$B$33,J102*Premissas!$B$34),J102*Premissas!$B$35)</f>
        <v/>
      </c>
      <c r="L102" s="24">
        <f>ROUND(J102+K102,2)</f>
        <v/>
      </c>
      <c r="M102" s="24">
        <f>D102*Premissas!$B$8+Premissas!$B$9+Premissas!$B$10+Premissas!$B$11+Premissas!$B$12+ROUND(Premissas!$B$13*E102,2)</f>
        <v/>
      </c>
      <c r="N102" s="25">
        <f>ROUNDUP((L102+M102-Premissas!$B$5*L102)/(1-Premissas!$B$6-Premissas!$B$7-Premissas!$B$5-Premissas!$B$14),2)</f>
        <v/>
      </c>
      <c r="O102" s="24">
        <f>ROUND(IF(N102&lt;=30000,N102*(1+Premissas!$B$21),N102+Premissas!$B$21*30000*SQRT(N102/30000)),2)</f>
        <v/>
      </c>
      <c r="P102" s="24">
        <f>N102-I102</f>
        <v/>
      </c>
      <c r="Q102" s="26">
        <f>P102/I102</f>
        <v/>
      </c>
      <c r="R102" s="26">
        <f>(I102-L102-Premissas!$B$5*(I102-L102)-(Premissas!$B$6+Premissas!$B$7)*I102-M102)/I102</f>
        <v/>
      </c>
      <c r="S102" s="24">
        <f>ROUND((CEILING((L102*Premissas!$B$17/Premissas!$B$18-97)/100,1)*100+97)*Premissas!$B$18,2)</f>
        <v/>
      </c>
    </row>
    <row r="103">
      <c r="A103" s="17" t="inlineStr">
        <is>
          <t>KIT 117 MOD. 620W + INV. CHINT 75KW</t>
        </is>
      </c>
      <c r="B103" s="17" t="inlineStr">
        <is>
          <t>CHINT</t>
        </is>
      </c>
      <c r="C103" s="17" t="inlineStr">
        <is>
          <t>Inversor</t>
        </is>
      </c>
      <c r="D103" s="21" t="n">
        <v>117</v>
      </c>
      <c r="E103" s="30" t="n">
        <v>72.54000000000001</v>
      </c>
      <c r="F103" s="20" t="inlineStr">
        <is>
          <t>CHINT SCA75K-T-SA TRI 220V</t>
        </is>
      </c>
      <c r="G103" s="21" t="n">
        <v>1</v>
      </c>
      <c r="H103" s="17" t="inlineStr">
        <is>
          <t>Sim</t>
        </is>
      </c>
      <c r="I103" s="23" t="n">
        <v>172931.85</v>
      </c>
      <c r="J103" s="24">
        <f>(D103*Premissas!$B$24+(2*ROUNDUP(D103/2,0))*Premissas!$B$26+INT((2*ROUNDUP(D103/2,0))/4)*Premissas!$B$27+MOD((2*ROUNDUP(D103/2,0)),4)/2*Premissas!$B$28+2*IF(D103&lt;=19,3*D103,IF(D103&lt;=50,ROUNDUP(2.5*D103,0),2*D103))*Premissas!$B$29+IF(C103="Micro",G103*(Premissas!$B$31+Premissas!$B$32+4*Premissas!$B$30),G103*(INDEX(Premissas!$B$40:$B$71,MATCH(F103,Premissas!$A$40:$A$71,0))+INDEX(Premissas!$C$40:$C$71,MATCH(F103,Premissas!$A$40:$A$71,0))*Premissas!$B$30)))</f>
        <v/>
      </c>
      <c r="K103" s="24">
        <f>IF(J103&lt;Premissas!$B$36,MAX(Premissas!$B$33,J103*Premissas!$B$34),J103*Premissas!$B$35)</f>
        <v/>
      </c>
      <c r="L103" s="24">
        <f>ROUND(J103+K103,2)</f>
        <v/>
      </c>
      <c r="M103" s="24">
        <f>D103*Premissas!$B$8+Premissas!$B$9+Premissas!$B$10+Premissas!$B$11+Premissas!$B$12+ROUND(Premissas!$B$13*E103,2)</f>
        <v/>
      </c>
      <c r="N103" s="25">
        <f>ROUNDUP((L103+M103-Premissas!$B$5*L103)/(1-Premissas!$B$6-Premissas!$B$7-Premissas!$B$5-Premissas!$B$14),2)</f>
        <v/>
      </c>
      <c r="O103" s="24">
        <f>ROUND(IF(N103&lt;=30000,N103*(1+Premissas!$B$21),N103+Premissas!$B$21*30000*SQRT(N103/30000)),2)</f>
        <v/>
      </c>
      <c r="P103" s="24">
        <f>N103-I103</f>
        <v/>
      </c>
      <c r="Q103" s="26">
        <f>P103/I103</f>
        <v/>
      </c>
      <c r="R103" s="26">
        <f>(I103-L103-Premissas!$B$5*(I103-L103)-(Premissas!$B$6+Premissas!$B$7)*I103-M103)/I103</f>
        <v/>
      </c>
      <c r="S103" s="24">
        <f>ROUND((CEILING((L103*Premissas!$B$17/Premissas!$B$18-97)/100,1)*100+97)*Premissas!$B$18,2)</f>
        <v/>
      </c>
    </row>
    <row r="104">
      <c r="A104" s="17" t="inlineStr">
        <is>
          <t>KIT 118 MOD. 620W + INV. CHINT 75KW</t>
        </is>
      </c>
      <c r="B104" s="17" t="inlineStr">
        <is>
          <t>CHINT</t>
        </is>
      </c>
      <c r="C104" s="17" t="inlineStr">
        <is>
          <t>Inversor</t>
        </is>
      </c>
      <c r="D104" s="21" t="n">
        <v>118</v>
      </c>
      <c r="E104" s="30" t="n">
        <v>73.16</v>
      </c>
      <c r="F104" s="20" t="inlineStr">
        <is>
          <t>CHINT SCA75K-T-SA TRI 220V</t>
        </is>
      </c>
      <c r="G104" s="21" t="n">
        <v>1</v>
      </c>
      <c r="H104" s="17" t="inlineStr">
        <is>
          <t>Sim</t>
        </is>
      </c>
      <c r="I104" s="23" t="n">
        <v>173981.85</v>
      </c>
      <c r="J104" s="24">
        <f>(D104*Premissas!$B$24+(2*ROUNDUP(D104/2,0))*Premissas!$B$26+INT((2*ROUNDUP(D104/2,0))/4)*Premissas!$B$27+MOD((2*ROUNDUP(D104/2,0)),4)/2*Premissas!$B$28+2*IF(D104&lt;=19,3*D104,IF(D104&lt;=50,ROUNDUP(2.5*D104,0),2*D104))*Premissas!$B$29+IF(C104="Micro",G104*(Premissas!$B$31+Premissas!$B$32+4*Premissas!$B$30),G104*(INDEX(Premissas!$B$40:$B$71,MATCH(F104,Premissas!$A$40:$A$71,0))+INDEX(Premissas!$C$40:$C$71,MATCH(F104,Premissas!$A$40:$A$71,0))*Premissas!$B$30)))</f>
        <v/>
      </c>
      <c r="K104" s="24">
        <f>IF(J104&lt;Premissas!$B$36,MAX(Premissas!$B$33,J104*Premissas!$B$34),J104*Premissas!$B$35)</f>
        <v/>
      </c>
      <c r="L104" s="24">
        <f>ROUND(J104+K104,2)</f>
        <v/>
      </c>
      <c r="M104" s="24">
        <f>D104*Premissas!$B$8+Premissas!$B$9+Premissas!$B$10+Premissas!$B$11+Premissas!$B$12+ROUND(Premissas!$B$13*E104,2)</f>
        <v/>
      </c>
      <c r="N104" s="25">
        <f>ROUNDUP((L104+M104-Premissas!$B$5*L104)/(1-Premissas!$B$6-Premissas!$B$7-Premissas!$B$5-Premissas!$B$14),2)</f>
        <v/>
      </c>
      <c r="O104" s="24">
        <f>ROUND(IF(N104&lt;=30000,N104*(1+Premissas!$B$21),N104+Premissas!$B$21*30000*SQRT(N104/30000)),2)</f>
        <v/>
      </c>
      <c r="P104" s="24">
        <f>N104-I104</f>
        <v/>
      </c>
      <c r="Q104" s="26">
        <f>P104/I104</f>
        <v/>
      </c>
      <c r="R104" s="26">
        <f>(I104-L104-Premissas!$B$5*(I104-L104)-(Premissas!$B$6+Premissas!$B$7)*I104-M104)/I104</f>
        <v/>
      </c>
      <c r="S104" s="24">
        <f>ROUND((CEILING((L104*Premissas!$B$17/Premissas!$B$18-97)/100,1)*100+97)*Premissas!$B$18,2)</f>
        <v/>
      </c>
    </row>
    <row r="105">
      <c r="A105" s="17" t="inlineStr">
        <is>
          <t>KIT 119 MOD. 620W + INV. CHINT 75KW</t>
        </is>
      </c>
      <c r="B105" s="17" t="inlineStr">
        <is>
          <t>CHINT</t>
        </is>
      </c>
      <c r="C105" s="17" t="inlineStr">
        <is>
          <t>Inversor</t>
        </is>
      </c>
      <c r="D105" s="21" t="n">
        <v>119</v>
      </c>
      <c r="E105" s="30" t="n">
        <v>73.78</v>
      </c>
      <c r="F105" s="20" t="inlineStr">
        <is>
          <t>CHINT SCA75K-T-SA TRI 220V</t>
        </is>
      </c>
      <c r="G105" s="21" t="n">
        <v>1</v>
      </c>
      <c r="H105" s="17" t="inlineStr">
        <is>
          <t>Sim</t>
        </is>
      </c>
      <c r="I105" s="23" t="n">
        <v>175241.85</v>
      </c>
      <c r="J105" s="24">
        <f>(D105*Premissas!$B$24+(2*ROUNDUP(D105/2,0))*Premissas!$B$26+INT((2*ROUNDUP(D105/2,0))/4)*Premissas!$B$27+MOD((2*ROUNDUP(D105/2,0)),4)/2*Premissas!$B$28+2*IF(D105&lt;=19,3*D105,IF(D105&lt;=50,ROUNDUP(2.5*D105,0),2*D105))*Premissas!$B$29+IF(C105="Micro",G105*(Premissas!$B$31+Premissas!$B$32+4*Premissas!$B$30),G105*(INDEX(Premissas!$B$40:$B$71,MATCH(F105,Premissas!$A$40:$A$71,0))+INDEX(Premissas!$C$40:$C$71,MATCH(F105,Premissas!$A$40:$A$71,0))*Premissas!$B$30)))</f>
        <v/>
      </c>
      <c r="K105" s="24">
        <f>IF(J105&lt;Premissas!$B$36,MAX(Premissas!$B$33,J105*Premissas!$B$34),J105*Premissas!$B$35)</f>
        <v/>
      </c>
      <c r="L105" s="24">
        <f>ROUND(J105+K105,2)</f>
        <v/>
      </c>
      <c r="M105" s="24">
        <f>D105*Premissas!$B$8+Premissas!$B$9+Premissas!$B$10+Premissas!$B$11+Premissas!$B$12+ROUND(Premissas!$B$13*E105,2)</f>
        <v/>
      </c>
      <c r="N105" s="25">
        <f>ROUNDUP((L105+M105-Premissas!$B$5*L105)/(1-Premissas!$B$6-Premissas!$B$7-Premissas!$B$5-Premissas!$B$14),2)</f>
        <v/>
      </c>
      <c r="O105" s="24">
        <f>ROUND(IF(N105&lt;=30000,N105*(1+Premissas!$B$21),N105+Premissas!$B$21*30000*SQRT(N105/30000)),2)</f>
        <v/>
      </c>
      <c r="P105" s="24">
        <f>N105-I105</f>
        <v/>
      </c>
      <c r="Q105" s="26">
        <f>P105/I105</f>
        <v/>
      </c>
      <c r="R105" s="26">
        <f>(I105-L105-Premissas!$B$5*(I105-L105)-(Premissas!$B$6+Premissas!$B$7)*I105-M105)/I105</f>
        <v/>
      </c>
      <c r="S105" s="24">
        <f>ROUND((CEILING((L105*Premissas!$B$17/Premissas!$B$18-97)/100,1)*100+97)*Premissas!$B$18,2)</f>
        <v/>
      </c>
    </row>
    <row r="106">
      <c r="A106" s="17" t="inlineStr">
        <is>
          <t>KIT 120 MOD. 620W + INV. CHINT 75KW</t>
        </is>
      </c>
      <c r="B106" s="17" t="inlineStr">
        <is>
          <t>CHINT</t>
        </is>
      </c>
      <c r="C106" s="17" t="inlineStr">
        <is>
          <t>Inversor</t>
        </is>
      </c>
      <c r="D106" s="21" t="n">
        <v>120</v>
      </c>
      <c r="E106" s="30" t="n">
        <v>74.40000000000001</v>
      </c>
      <c r="F106" s="20" t="inlineStr">
        <is>
          <t>CHINT SCA75K-T-SA TRI 220V</t>
        </is>
      </c>
      <c r="G106" s="21" t="n">
        <v>1</v>
      </c>
      <c r="H106" s="17" t="inlineStr">
        <is>
          <t>Sim</t>
        </is>
      </c>
      <c r="I106" s="23" t="n">
        <v>176291.85</v>
      </c>
      <c r="J106" s="24">
        <f>(D106*Premissas!$B$24+(2*ROUNDUP(D106/2,0))*Premissas!$B$26+INT((2*ROUNDUP(D106/2,0))/4)*Premissas!$B$27+MOD((2*ROUNDUP(D106/2,0)),4)/2*Premissas!$B$28+2*IF(D106&lt;=19,3*D106,IF(D106&lt;=50,ROUNDUP(2.5*D106,0),2*D106))*Premissas!$B$29+IF(C106="Micro",G106*(Premissas!$B$31+Premissas!$B$32+4*Premissas!$B$30),G106*(INDEX(Premissas!$B$40:$B$71,MATCH(F106,Premissas!$A$40:$A$71,0))+INDEX(Premissas!$C$40:$C$71,MATCH(F106,Premissas!$A$40:$A$71,0))*Premissas!$B$30)))</f>
        <v/>
      </c>
      <c r="K106" s="24">
        <f>IF(J106&lt;Premissas!$B$36,MAX(Premissas!$B$33,J106*Premissas!$B$34),J106*Premissas!$B$35)</f>
        <v/>
      </c>
      <c r="L106" s="24">
        <f>ROUND(J106+K106,2)</f>
        <v/>
      </c>
      <c r="M106" s="24">
        <f>D106*Premissas!$B$8+Premissas!$B$9+Premissas!$B$10+Premissas!$B$11+Premissas!$B$12+ROUND(Premissas!$B$13*E106,2)</f>
        <v/>
      </c>
      <c r="N106" s="25">
        <f>ROUNDUP((L106+M106-Premissas!$B$5*L106)/(1-Premissas!$B$6-Premissas!$B$7-Premissas!$B$5-Premissas!$B$14),2)</f>
        <v/>
      </c>
      <c r="O106" s="24">
        <f>ROUND(IF(N106&lt;=30000,N106*(1+Premissas!$B$21),N106+Premissas!$B$21*30000*SQRT(N106/30000)),2)</f>
        <v/>
      </c>
      <c r="P106" s="24">
        <f>N106-I106</f>
        <v/>
      </c>
      <c r="Q106" s="26">
        <f>P106/I106</f>
        <v/>
      </c>
      <c r="R106" s="26">
        <f>(I106-L106-Premissas!$B$5*(I106-L106)-(Premissas!$B$6+Premissas!$B$7)*I106-M106)/I106</f>
        <v/>
      </c>
      <c r="S106" s="24">
        <f>ROUND((CEILING((L106*Premissas!$B$17/Premissas!$B$18-97)/100,1)*100+97)*Premissas!$B$18,2)</f>
        <v/>
      </c>
    </row>
    <row r="107">
      <c r="A107" s="17" t="inlineStr">
        <is>
          <t>KIT 121 MOD. 620W + INV. CHINT 75KW</t>
        </is>
      </c>
      <c r="B107" s="17" t="inlineStr">
        <is>
          <t>CHINT</t>
        </is>
      </c>
      <c r="C107" s="17" t="inlineStr">
        <is>
          <t>Inversor</t>
        </is>
      </c>
      <c r="D107" s="21" t="n">
        <v>121</v>
      </c>
      <c r="E107" s="30" t="n">
        <v>75.02</v>
      </c>
      <c r="F107" s="20" t="inlineStr">
        <is>
          <t>CHINT SCA75K-T-SA TRI 220V</t>
        </is>
      </c>
      <c r="G107" s="21" t="n">
        <v>1</v>
      </c>
      <c r="H107" s="17" t="inlineStr">
        <is>
          <t>Sim</t>
        </is>
      </c>
      <c r="I107" s="23" t="n">
        <v>177656.85</v>
      </c>
      <c r="J107" s="24">
        <f>(D107*Premissas!$B$24+(2*ROUNDUP(D107/2,0))*Premissas!$B$26+INT((2*ROUNDUP(D107/2,0))/4)*Premissas!$B$27+MOD((2*ROUNDUP(D107/2,0)),4)/2*Premissas!$B$28+2*IF(D107&lt;=19,3*D107,IF(D107&lt;=50,ROUNDUP(2.5*D107,0),2*D107))*Premissas!$B$29+IF(C107="Micro",G107*(Premissas!$B$31+Premissas!$B$32+4*Premissas!$B$30),G107*(INDEX(Premissas!$B$40:$B$71,MATCH(F107,Premissas!$A$40:$A$71,0))+INDEX(Premissas!$C$40:$C$71,MATCH(F107,Premissas!$A$40:$A$71,0))*Premissas!$B$30)))</f>
        <v/>
      </c>
      <c r="K107" s="24">
        <f>IF(J107&lt;Premissas!$B$36,MAX(Premissas!$B$33,J107*Premissas!$B$34),J107*Premissas!$B$35)</f>
        <v/>
      </c>
      <c r="L107" s="24">
        <f>ROUND(J107+K107,2)</f>
        <v/>
      </c>
      <c r="M107" s="24">
        <f>D107*Premissas!$B$8+Premissas!$B$9+Premissas!$B$10+Premissas!$B$11+Premissas!$B$12+ROUND(Premissas!$B$13*E107,2)</f>
        <v/>
      </c>
      <c r="N107" s="25">
        <f>ROUNDUP((L107+M107-Premissas!$B$5*L107)/(1-Premissas!$B$6-Premissas!$B$7-Premissas!$B$5-Premissas!$B$14),2)</f>
        <v/>
      </c>
      <c r="O107" s="24">
        <f>ROUND(IF(N107&lt;=30000,N107*(1+Premissas!$B$21),N107+Premissas!$B$21*30000*SQRT(N107/30000)),2)</f>
        <v/>
      </c>
      <c r="P107" s="24">
        <f>N107-I107</f>
        <v/>
      </c>
      <c r="Q107" s="26">
        <f>P107/I107</f>
        <v/>
      </c>
      <c r="R107" s="26">
        <f>(I107-L107-Premissas!$B$5*(I107-L107)-(Premissas!$B$6+Premissas!$B$7)*I107-M107)/I107</f>
        <v/>
      </c>
      <c r="S107" s="24">
        <f>ROUND((CEILING((L107*Premissas!$B$17/Premissas!$B$18-97)/100,1)*100+97)*Premissas!$B$18,2)</f>
        <v/>
      </c>
    </row>
    <row r="108">
      <c r="A108" s="17" t="inlineStr">
        <is>
          <t>KIT 122 MOD. 620W + INV. CHINT 75KW</t>
        </is>
      </c>
      <c r="B108" s="17" t="inlineStr">
        <is>
          <t>CHINT</t>
        </is>
      </c>
      <c r="C108" s="17" t="inlineStr">
        <is>
          <t>Inversor</t>
        </is>
      </c>
      <c r="D108" s="21" t="n">
        <v>122</v>
      </c>
      <c r="E108" s="30" t="n">
        <v>75.64</v>
      </c>
      <c r="F108" s="20" t="inlineStr">
        <is>
          <t>CHINT SCA75K-T-SA TRI 220V</t>
        </is>
      </c>
      <c r="G108" s="21" t="n">
        <v>1</v>
      </c>
      <c r="H108" s="17" t="inlineStr">
        <is>
          <t>Sim</t>
        </is>
      </c>
      <c r="I108" s="23" t="n">
        <v>178601.85</v>
      </c>
      <c r="J108" s="24">
        <f>(D108*Premissas!$B$24+(2*ROUNDUP(D108/2,0))*Premissas!$B$26+INT((2*ROUNDUP(D108/2,0))/4)*Premissas!$B$27+MOD((2*ROUNDUP(D108/2,0)),4)/2*Premissas!$B$28+2*IF(D108&lt;=19,3*D108,IF(D108&lt;=50,ROUNDUP(2.5*D108,0),2*D108))*Premissas!$B$29+IF(C108="Micro",G108*(Premissas!$B$31+Premissas!$B$32+4*Premissas!$B$30),G108*(INDEX(Premissas!$B$40:$B$71,MATCH(F108,Premissas!$A$40:$A$71,0))+INDEX(Premissas!$C$40:$C$71,MATCH(F108,Premissas!$A$40:$A$71,0))*Premissas!$B$30)))</f>
        <v/>
      </c>
      <c r="K108" s="24">
        <f>IF(J108&lt;Premissas!$B$36,MAX(Premissas!$B$33,J108*Premissas!$B$34),J108*Premissas!$B$35)</f>
        <v/>
      </c>
      <c r="L108" s="24">
        <f>ROUND(J108+K108,2)</f>
        <v/>
      </c>
      <c r="M108" s="24">
        <f>D108*Premissas!$B$8+Premissas!$B$9+Premissas!$B$10+Premissas!$B$11+Premissas!$B$12+ROUND(Premissas!$B$13*E108,2)</f>
        <v/>
      </c>
      <c r="N108" s="25">
        <f>ROUNDUP((L108+M108-Premissas!$B$5*L108)/(1-Premissas!$B$6-Premissas!$B$7-Premissas!$B$5-Premissas!$B$14),2)</f>
        <v/>
      </c>
      <c r="O108" s="24">
        <f>ROUND(IF(N108&lt;=30000,N108*(1+Premissas!$B$21),N108+Premissas!$B$21*30000*SQRT(N108/30000)),2)</f>
        <v/>
      </c>
      <c r="P108" s="24">
        <f>N108-I108</f>
        <v/>
      </c>
      <c r="Q108" s="26">
        <f>P108/I108</f>
        <v/>
      </c>
      <c r="R108" s="26">
        <f>(I108-L108-Premissas!$B$5*(I108-L108)-(Premissas!$B$6+Premissas!$B$7)*I108-M108)/I108</f>
        <v/>
      </c>
      <c r="S108" s="24">
        <f>ROUND((CEILING((L108*Premissas!$B$17/Premissas!$B$18-97)/100,1)*100+97)*Premissas!$B$18,2)</f>
        <v/>
      </c>
    </row>
    <row r="109">
      <c r="A109" s="17" t="inlineStr">
        <is>
          <t>KIT 123 MOD. 620W + INV. CHINT 75KW</t>
        </is>
      </c>
      <c r="B109" s="17" t="inlineStr">
        <is>
          <t>CHINT</t>
        </is>
      </c>
      <c r="C109" s="17" t="inlineStr">
        <is>
          <t>Inversor</t>
        </is>
      </c>
      <c r="D109" s="21" t="n">
        <v>123</v>
      </c>
      <c r="E109" s="30" t="n">
        <v>76.26000000000001</v>
      </c>
      <c r="F109" s="20" t="inlineStr">
        <is>
          <t>CHINT SCA75K-T-SA TRI 220V</t>
        </is>
      </c>
      <c r="G109" s="21" t="n">
        <v>1</v>
      </c>
      <c r="H109" s="17" t="inlineStr">
        <is>
          <t>Sim</t>
        </is>
      </c>
      <c r="I109" s="23" t="n">
        <v>179966.85</v>
      </c>
      <c r="J109" s="24">
        <f>(D109*Premissas!$B$24+(2*ROUNDUP(D109/2,0))*Premissas!$B$26+INT((2*ROUNDUP(D109/2,0))/4)*Premissas!$B$27+MOD((2*ROUNDUP(D109/2,0)),4)/2*Premissas!$B$28+2*IF(D109&lt;=19,3*D109,IF(D109&lt;=50,ROUNDUP(2.5*D109,0),2*D109))*Premissas!$B$29+IF(C109="Micro",G109*(Premissas!$B$31+Premissas!$B$32+4*Premissas!$B$30),G109*(INDEX(Premissas!$B$40:$B$71,MATCH(F109,Premissas!$A$40:$A$71,0))+INDEX(Premissas!$C$40:$C$71,MATCH(F109,Premissas!$A$40:$A$71,0))*Premissas!$B$30)))</f>
        <v/>
      </c>
      <c r="K109" s="24">
        <f>IF(J109&lt;Premissas!$B$36,MAX(Premissas!$B$33,J109*Premissas!$B$34),J109*Premissas!$B$35)</f>
        <v/>
      </c>
      <c r="L109" s="24">
        <f>ROUND(J109+K109,2)</f>
        <v/>
      </c>
      <c r="M109" s="24">
        <f>D109*Premissas!$B$8+Premissas!$B$9+Premissas!$B$10+Premissas!$B$11+Premissas!$B$12+ROUND(Premissas!$B$13*E109,2)</f>
        <v/>
      </c>
      <c r="N109" s="25">
        <f>ROUNDUP((L109+M109-Premissas!$B$5*L109)/(1-Premissas!$B$6-Premissas!$B$7-Premissas!$B$5-Premissas!$B$14),2)</f>
        <v/>
      </c>
      <c r="O109" s="24">
        <f>ROUND(IF(N109&lt;=30000,N109*(1+Premissas!$B$21),N109+Premissas!$B$21*30000*SQRT(N109/30000)),2)</f>
        <v/>
      </c>
      <c r="P109" s="24">
        <f>N109-I109</f>
        <v/>
      </c>
      <c r="Q109" s="26">
        <f>P109/I109</f>
        <v/>
      </c>
      <c r="R109" s="26">
        <f>(I109-L109-Premissas!$B$5*(I109-L109)-(Premissas!$B$6+Premissas!$B$7)*I109-M109)/I109</f>
        <v/>
      </c>
      <c r="S109" s="24">
        <f>ROUND((CEILING((L109*Premissas!$B$17/Premissas!$B$18-97)/100,1)*100+97)*Premissas!$B$18,2)</f>
        <v/>
      </c>
    </row>
    <row r="110">
      <c r="A110" s="17" t="inlineStr">
        <is>
          <t>KIT 124 MOD. 620W + INV. CHINT 75KW</t>
        </is>
      </c>
      <c r="B110" s="17" t="inlineStr">
        <is>
          <t>CHINT</t>
        </is>
      </c>
      <c r="C110" s="17" t="inlineStr">
        <is>
          <t>Inversor</t>
        </is>
      </c>
      <c r="D110" s="21" t="n">
        <v>124</v>
      </c>
      <c r="E110" s="30" t="n">
        <v>76.88</v>
      </c>
      <c r="F110" s="20" t="inlineStr">
        <is>
          <t>CHINT SCA75K-T-SA TRI 220V</t>
        </is>
      </c>
      <c r="G110" s="21" t="n">
        <v>1</v>
      </c>
      <c r="H110" s="17" t="inlineStr">
        <is>
          <t>Sim</t>
        </is>
      </c>
      <c r="I110" s="23" t="n">
        <v>181016.85</v>
      </c>
      <c r="J110" s="24">
        <f>(D110*Premissas!$B$24+(2*ROUNDUP(D110/2,0))*Premissas!$B$26+INT((2*ROUNDUP(D110/2,0))/4)*Premissas!$B$27+MOD((2*ROUNDUP(D110/2,0)),4)/2*Premissas!$B$28+2*IF(D110&lt;=19,3*D110,IF(D110&lt;=50,ROUNDUP(2.5*D110,0),2*D110))*Premissas!$B$29+IF(C110="Micro",G110*(Premissas!$B$31+Premissas!$B$32+4*Premissas!$B$30),G110*(INDEX(Premissas!$B$40:$B$71,MATCH(F110,Premissas!$A$40:$A$71,0))+INDEX(Premissas!$C$40:$C$71,MATCH(F110,Premissas!$A$40:$A$71,0))*Premissas!$B$30)))</f>
        <v/>
      </c>
      <c r="K110" s="24">
        <f>IF(J110&lt;Premissas!$B$36,MAX(Premissas!$B$33,J110*Premissas!$B$34),J110*Premissas!$B$35)</f>
        <v/>
      </c>
      <c r="L110" s="24">
        <f>ROUND(J110+K110,2)</f>
        <v/>
      </c>
      <c r="M110" s="24">
        <f>D110*Premissas!$B$8+Premissas!$B$9+Premissas!$B$10+Premissas!$B$11+Premissas!$B$12+ROUND(Premissas!$B$13*E110,2)</f>
        <v/>
      </c>
      <c r="N110" s="25">
        <f>ROUNDUP((L110+M110-Premissas!$B$5*L110)/(1-Premissas!$B$6-Premissas!$B$7-Premissas!$B$5-Premissas!$B$14),2)</f>
        <v/>
      </c>
      <c r="O110" s="24">
        <f>ROUND(IF(N110&lt;=30000,N110*(1+Premissas!$B$21),N110+Premissas!$B$21*30000*SQRT(N110/30000)),2)</f>
        <v/>
      </c>
      <c r="P110" s="24">
        <f>N110-I110</f>
        <v/>
      </c>
      <c r="Q110" s="26">
        <f>P110/I110</f>
        <v/>
      </c>
      <c r="R110" s="26">
        <f>(I110-L110-Premissas!$B$5*(I110-L110)-(Premissas!$B$6+Premissas!$B$7)*I110-M110)/I110</f>
        <v/>
      </c>
      <c r="S110" s="24">
        <f>ROUND((CEILING((L110*Premissas!$B$17/Premissas!$B$18-97)/100,1)*100+97)*Premissas!$B$18,2)</f>
        <v/>
      </c>
    </row>
    <row r="111">
      <c r="A111" s="17" t="inlineStr">
        <is>
          <t>KIT 125 MOD. 620W + INV. CHINT 75KW</t>
        </is>
      </c>
      <c r="B111" s="17" t="inlineStr">
        <is>
          <t>CHINT</t>
        </is>
      </c>
      <c r="C111" s="17" t="inlineStr">
        <is>
          <t>Inversor</t>
        </is>
      </c>
      <c r="D111" s="21" t="n">
        <v>125</v>
      </c>
      <c r="E111" s="30" t="n">
        <v>77.5</v>
      </c>
      <c r="F111" s="20" t="inlineStr">
        <is>
          <t>CHINT SCA75K-T-SA TRI 220V</t>
        </is>
      </c>
      <c r="G111" s="21" t="n">
        <v>1</v>
      </c>
      <c r="H111" s="17" t="inlineStr">
        <is>
          <t>Sim</t>
        </is>
      </c>
      <c r="I111" s="23" t="n">
        <v>182276.85</v>
      </c>
      <c r="J111" s="24">
        <f>(D111*Premissas!$B$24+(2*ROUNDUP(D111/2,0))*Premissas!$B$26+INT((2*ROUNDUP(D111/2,0))/4)*Premissas!$B$27+MOD((2*ROUNDUP(D111/2,0)),4)/2*Premissas!$B$28+2*IF(D111&lt;=19,3*D111,IF(D111&lt;=50,ROUNDUP(2.5*D111,0),2*D111))*Premissas!$B$29+IF(C111="Micro",G111*(Premissas!$B$31+Premissas!$B$32+4*Premissas!$B$30),G111*(INDEX(Premissas!$B$40:$B$71,MATCH(F111,Premissas!$A$40:$A$71,0))+INDEX(Premissas!$C$40:$C$71,MATCH(F111,Premissas!$A$40:$A$71,0))*Premissas!$B$30)))</f>
        <v/>
      </c>
      <c r="K111" s="24">
        <f>IF(J111&lt;Premissas!$B$36,MAX(Premissas!$B$33,J111*Premissas!$B$34),J111*Premissas!$B$35)</f>
        <v/>
      </c>
      <c r="L111" s="24">
        <f>ROUND(J111+K111,2)</f>
        <v/>
      </c>
      <c r="M111" s="24">
        <f>D111*Premissas!$B$8+Premissas!$B$9+Premissas!$B$10+Premissas!$B$11+Premissas!$B$12+ROUND(Premissas!$B$13*E111,2)</f>
        <v/>
      </c>
      <c r="N111" s="25">
        <f>ROUNDUP((L111+M111-Premissas!$B$5*L111)/(1-Premissas!$B$6-Premissas!$B$7-Premissas!$B$5-Premissas!$B$14),2)</f>
        <v/>
      </c>
      <c r="O111" s="24">
        <f>ROUND(IF(N111&lt;=30000,N111*(1+Premissas!$B$21),N111+Premissas!$B$21*30000*SQRT(N111/30000)),2)</f>
        <v/>
      </c>
      <c r="P111" s="24">
        <f>N111-I111</f>
        <v/>
      </c>
      <c r="Q111" s="26">
        <f>P111/I111</f>
        <v/>
      </c>
      <c r="R111" s="26">
        <f>(I111-L111-Premissas!$B$5*(I111-L111)-(Premissas!$B$6+Premissas!$B$7)*I111-M111)/I111</f>
        <v/>
      </c>
      <c r="S111" s="24">
        <f>ROUND((CEILING((L111*Premissas!$B$17/Premissas!$B$18-97)/100,1)*100+97)*Premissas!$B$18,2)</f>
        <v/>
      </c>
    </row>
    <row r="112">
      <c r="A112" s="17" t="inlineStr">
        <is>
          <t>KIT 126 MOD. 620W + INV. CHINT 75KW</t>
        </is>
      </c>
      <c r="B112" s="17" t="inlineStr">
        <is>
          <t>CHINT</t>
        </is>
      </c>
      <c r="C112" s="17" t="inlineStr">
        <is>
          <t>Inversor</t>
        </is>
      </c>
      <c r="D112" s="21" t="n">
        <v>126</v>
      </c>
      <c r="E112" s="30" t="n">
        <v>78.12</v>
      </c>
      <c r="F112" s="20" t="inlineStr">
        <is>
          <t>CHINT SCA75K-T-SA TRI 220V</t>
        </is>
      </c>
      <c r="G112" s="21" t="n">
        <v>1</v>
      </c>
      <c r="H112" s="17" t="inlineStr">
        <is>
          <t>Sim</t>
        </is>
      </c>
      <c r="I112" s="23" t="n">
        <v>183326.85</v>
      </c>
      <c r="J112" s="24">
        <f>(D112*Premissas!$B$24+(2*ROUNDUP(D112/2,0))*Premissas!$B$26+INT((2*ROUNDUP(D112/2,0))/4)*Premissas!$B$27+MOD((2*ROUNDUP(D112/2,0)),4)/2*Premissas!$B$28+2*IF(D112&lt;=19,3*D112,IF(D112&lt;=50,ROUNDUP(2.5*D112,0),2*D112))*Premissas!$B$29+IF(C112="Micro",G112*(Premissas!$B$31+Premissas!$B$32+4*Premissas!$B$30),G112*(INDEX(Premissas!$B$40:$B$71,MATCH(F112,Premissas!$A$40:$A$71,0))+INDEX(Premissas!$C$40:$C$71,MATCH(F112,Premissas!$A$40:$A$71,0))*Premissas!$B$30)))</f>
        <v/>
      </c>
      <c r="K112" s="24">
        <f>IF(J112&lt;Premissas!$B$36,MAX(Premissas!$B$33,J112*Premissas!$B$34),J112*Premissas!$B$35)</f>
        <v/>
      </c>
      <c r="L112" s="24">
        <f>ROUND(J112+K112,2)</f>
        <v/>
      </c>
      <c r="M112" s="24">
        <f>D112*Premissas!$B$8+Premissas!$B$9+Premissas!$B$10+Premissas!$B$11+Premissas!$B$12+ROUND(Premissas!$B$13*E112,2)</f>
        <v/>
      </c>
      <c r="N112" s="25">
        <f>ROUNDUP((L112+M112-Premissas!$B$5*L112)/(1-Premissas!$B$6-Premissas!$B$7-Premissas!$B$5-Premissas!$B$14),2)</f>
        <v/>
      </c>
      <c r="O112" s="24">
        <f>ROUND(IF(N112&lt;=30000,N112*(1+Premissas!$B$21),N112+Premissas!$B$21*30000*SQRT(N112/30000)),2)</f>
        <v/>
      </c>
      <c r="P112" s="24">
        <f>N112-I112</f>
        <v/>
      </c>
      <c r="Q112" s="26">
        <f>P112/I112</f>
        <v/>
      </c>
      <c r="R112" s="26">
        <f>(I112-L112-Premissas!$B$5*(I112-L112)-(Premissas!$B$6+Premissas!$B$7)*I112-M112)/I112</f>
        <v/>
      </c>
      <c r="S112" s="24">
        <f>ROUND((CEILING((L112*Premissas!$B$17/Premissas!$B$18-97)/100,1)*100+97)*Premissas!$B$18,2)</f>
        <v/>
      </c>
    </row>
    <row r="113">
      <c r="A113" s="17" t="inlineStr">
        <is>
          <t>KIT 127 MOD. 620W + INV. CHINT 75KW</t>
        </is>
      </c>
      <c r="B113" s="17" t="inlineStr">
        <is>
          <t>CHINT</t>
        </is>
      </c>
      <c r="C113" s="17" t="inlineStr">
        <is>
          <t>Inversor</t>
        </is>
      </c>
      <c r="D113" s="21" t="n">
        <v>127</v>
      </c>
      <c r="E113" s="30" t="n">
        <v>78.73999999999999</v>
      </c>
      <c r="F113" s="20" t="inlineStr">
        <is>
          <t>CHINT SCA75K-T-SA TRI 220V</t>
        </is>
      </c>
      <c r="G113" s="21" t="n">
        <v>1</v>
      </c>
      <c r="H113" s="17" t="inlineStr">
        <is>
          <t>Sim</t>
        </is>
      </c>
      <c r="I113" s="23" t="n">
        <v>184691.85</v>
      </c>
      <c r="J113" s="24">
        <f>(D113*Premissas!$B$24+(2*ROUNDUP(D113/2,0))*Premissas!$B$26+INT((2*ROUNDUP(D113/2,0))/4)*Premissas!$B$27+MOD((2*ROUNDUP(D113/2,0)),4)/2*Premissas!$B$28+2*IF(D113&lt;=19,3*D113,IF(D113&lt;=50,ROUNDUP(2.5*D113,0),2*D113))*Premissas!$B$29+IF(C113="Micro",G113*(Premissas!$B$31+Premissas!$B$32+4*Premissas!$B$30),G113*(INDEX(Premissas!$B$40:$B$71,MATCH(F113,Premissas!$A$40:$A$71,0))+INDEX(Premissas!$C$40:$C$71,MATCH(F113,Premissas!$A$40:$A$71,0))*Premissas!$B$30)))</f>
        <v/>
      </c>
      <c r="K113" s="24">
        <f>IF(J113&lt;Premissas!$B$36,MAX(Premissas!$B$33,J113*Premissas!$B$34),J113*Premissas!$B$35)</f>
        <v/>
      </c>
      <c r="L113" s="24">
        <f>ROUND(J113+K113,2)</f>
        <v/>
      </c>
      <c r="M113" s="24">
        <f>D113*Premissas!$B$8+Premissas!$B$9+Premissas!$B$10+Premissas!$B$11+Premissas!$B$12+ROUND(Premissas!$B$13*E113,2)</f>
        <v/>
      </c>
      <c r="N113" s="25">
        <f>ROUNDUP((L113+M113-Premissas!$B$5*L113)/(1-Premissas!$B$6-Premissas!$B$7-Premissas!$B$5-Premissas!$B$14),2)</f>
        <v/>
      </c>
      <c r="O113" s="24">
        <f>ROUND(IF(N113&lt;=30000,N113*(1+Premissas!$B$21),N113+Premissas!$B$21*30000*SQRT(N113/30000)),2)</f>
        <v/>
      </c>
      <c r="P113" s="24">
        <f>N113-I113</f>
        <v/>
      </c>
      <c r="Q113" s="26">
        <f>P113/I113</f>
        <v/>
      </c>
      <c r="R113" s="26">
        <f>(I113-L113-Premissas!$B$5*(I113-L113)-(Premissas!$B$6+Premissas!$B$7)*I113-M113)/I113</f>
        <v/>
      </c>
      <c r="S113" s="24">
        <f>ROUND((CEILING((L113*Premissas!$B$17/Premissas!$B$18-97)/100,1)*100+97)*Premissas!$B$18,2)</f>
        <v/>
      </c>
    </row>
    <row r="114">
      <c r="A114" s="17" t="inlineStr">
        <is>
          <t>KIT 128 MOD. 620W + INV. CHINT 75KW</t>
        </is>
      </c>
      <c r="B114" s="17" t="inlineStr">
        <is>
          <t>CHINT</t>
        </is>
      </c>
      <c r="C114" s="17" t="inlineStr">
        <is>
          <t>Inversor</t>
        </is>
      </c>
      <c r="D114" s="21" t="n">
        <v>128</v>
      </c>
      <c r="E114" s="30" t="n">
        <v>79.36</v>
      </c>
      <c r="F114" s="20" t="inlineStr">
        <is>
          <t>CHINT SCA75K-T-SA TRI 220V</t>
        </is>
      </c>
      <c r="G114" s="21" t="n">
        <v>1</v>
      </c>
      <c r="H114" s="17" t="inlineStr">
        <is>
          <t>Sim</t>
        </is>
      </c>
      <c r="I114" s="23" t="n">
        <v>185741.85</v>
      </c>
      <c r="J114" s="24">
        <f>(D114*Premissas!$B$24+(2*ROUNDUP(D114/2,0))*Premissas!$B$26+INT((2*ROUNDUP(D114/2,0))/4)*Premissas!$B$27+MOD((2*ROUNDUP(D114/2,0)),4)/2*Premissas!$B$28+2*IF(D114&lt;=19,3*D114,IF(D114&lt;=50,ROUNDUP(2.5*D114,0),2*D114))*Premissas!$B$29+IF(C114="Micro",G114*(Premissas!$B$31+Premissas!$B$32+4*Premissas!$B$30),G114*(INDEX(Premissas!$B$40:$B$71,MATCH(F114,Premissas!$A$40:$A$71,0))+INDEX(Premissas!$C$40:$C$71,MATCH(F114,Premissas!$A$40:$A$71,0))*Premissas!$B$30)))</f>
        <v/>
      </c>
      <c r="K114" s="24">
        <f>IF(J114&lt;Premissas!$B$36,MAX(Premissas!$B$33,J114*Premissas!$B$34),J114*Premissas!$B$35)</f>
        <v/>
      </c>
      <c r="L114" s="24">
        <f>ROUND(J114+K114,2)</f>
        <v/>
      </c>
      <c r="M114" s="24">
        <f>D114*Premissas!$B$8+Premissas!$B$9+Premissas!$B$10+Premissas!$B$11+Premissas!$B$12+ROUND(Premissas!$B$13*E114,2)</f>
        <v/>
      </c>
      <c r="N114" s="25">
        <f>ROUNDUP((L114+M114-Premissas!$B$5*L114)/(1-Premissas!$B$6-Premissas!$B$7-Premissas!$B$5-Premissas!$B$14),2)</f>
        <v/>
      </c>
      <c r="O114" s="24">
        <f>ROUND(IF(N114&lt;=30000,N114*(1+Premissas!$B$21),N114+Premissas!$B$21*30000*SQRT(N114/30000)),2)</f>
        <v/>
      </c>
      <c r="P114" s="24">
        <f>N114-I114</f>
        <v/>
      </c>
      <c r="Q114" s="26">
        <f>P114/I114</f>
        <v/>
      </c>
      <c r="R114" s="26">
        <f>(I114-L114-Premissas!$B$5*(I114-L114)-(Premissas!$B$6+Premissas!$B$7)*I114-M114)/I114</f>
        <v/>
      </c>
      <c r="S114" s="24">
        <f>ROUND((CEILING((L114*Premissas!$B$17/Premissas!$B$18-97)/100,1)*100+97)*Premissas!$B$18,2)</f>
        <v/>
      </c>
    </row>
    <row r="115">
      <c r="A115" s="17" t="inlineStr">
        <is>
          <t>KIT 129 MOD. 620W + INV. CHINT 75KW</t>
        </is>
      </c>
      <c r="B115" s="17" t="inlineStr">
        <is>
          <t>CHINT</t>
        </is>
      </c>
      <c r="C115" s="17" t="inlineStr">
        <is>
          <t>Inversor</t>
        </is>
      </c>
      <c r="D115" s="21" t="n">
        <v>129</v>
      </c>
      <c r="E115" s="30" t="n">
        <v>79.98</v>
      </c>
      <c r="F115" s="20" t="inlineStr">
        <is>
          <t>CHINT SCA75K-T-SA TRI 220V</t>
        </is>
      </c>
      <c r="G115" s="21" t="n">
        <v>1</v>
      </c>
      <c r="H115" s="17" t="inlineStr">
        <is>
          <t>Sim</t>
        </is>
      </c>
      <c r="I115" s="23" t="n">
        <v>187001.85</v>
      </c>
      <c r="J115" s="24">
        <f>(D115*Premissas!$B$24+(2*ROUNDUP(D115/2,0))*Premissas!$B$26+INT((2*ROUNDUP(D115/2,0))/4)*Premissas!$B$27+MOD((2*ROUNDUP(D115/2,0)),4)/2*Premissas!$B$28+2*IF(D115&lt;=19,3*D115,IF(D115&lt;=50,ROUNDUP(2.5*D115,0),2*D115))*Premissas!$B$29+IF(C115="Micro",G115*(Premissas!$B$31+Premissas!$B$32+4*Premissas!$B$30),G115*(INDEX(Premissas!$B$40:$B$71,MATCH(F115,Premissas!$A$40:$A$71,0))+INDEX(Premissas!$C$40:$C$71,MATCH(F115,Premissas!$A$40:$A$71,0))*Premissas!$B$30)))</f>
        <v/>
      </c>
      <c r="K115" s="24">
        <f>IF(J115&lt;Premissas!$B$36,MAX(Premissas!$B$33,J115*Premissas!$B$34),J115*Premissas!$B$35)</f>
        <v/>
      </c>
      <c r="L115" s="24">
        <f>ROUND(J115+K115,2)</f>
        <v/>
      </c>
      <c r="M115" s="24">
        <f>D115*Premissas!$B$8+Premissas!$B$9+Premissas!$B$10+Premissas!$B$11+Premissas!$B$12+ROUND(Premissas!$B$13*E115,2)</f>
        <v/>
      </c>
      <c r="N115" s="25">
        <f>ROUNDUP((L115+M115-Premissas!$B$5*L115)/(1-Premissas!$B$6-Premissas!$B$7-Premissas!$B$5-Premissas!$B$14),2)</f>
        <v/>
      </c>
      <c r="O115" s="24">
        <f>ROUND(IF(N115&lt;=30000,N115*(1+Premissas!$B$21),N115+Premissas!$B$21*30000*SQRT(N115/30000)),2)</f>
        <v/>
      </c>
      <c r="P115" s="24">
        <f>N115-I115</f>
        <v/>
      </c>
      <c r="Q115" s="26">
        <f>P115/I115</f>
        <v/>
      </c>
      <c r="R115" s="26">
        <f>(I115-L115-Premissas!$B$5*(I115-L115)-(Premissas!$B$6+Premissas!$B$7)*I115-M115)/I115</f>
        <v/>
      </c>
      <c r="S115" s="24">
        <f>ROUND((CEILING((L115*Premissas!$B$17/Premissas!$B$18-97)/100,1)*100+97)*Premissas!$B$18,2)</f>
        <v/>
      </c>
    </row>
    <row r="116">
      <c r="A116" s="17" t="inlineStr">
        <is>
          <t>KIT 130 MOD. 620W + INV. CHINT 75KW</t>
        </is>
      </c>
      <c r="B116" s="17" t="inlineStr">
        <is>
          <t>CHINT</t>
        </is>
      </c>
      <c r="C116" s="17" t="inlineStr">
        <is>
          <t>Inversor</t>
        </is>
      </c>
      <c r="D116" s="21" t="n">
        <v>130</v>
      </c>
      <c r="E116" s="30" t="n">
        <v>80.59999999999999</v>
      </c>
      <c r="F116" s="20" t="inlineStr">
        <is>
          <t>CHINT SCA75K-T-SA TRI 220V</t>
        </is>
      </c>
      <c r="G116" s="21" t="n">
        <v>1</v>
      </c>
      <c r="H116" s="17" t="inlineStr">
        <is>
          <t>Sim</t>
        </is>
      </c>
      <c r="I116" s="23" t="n">
        <v>188051.85</v>
      </c>
      <c r="J116" s="24">
        <f>(D116*Premissas!$B$24+(2*ROUNDUP(D116/2,0))*Premissas!$B$26+INT((2*ROUNDUP(D116/2,0))/4)*Premissas!$B$27+MOD((2*ROUNDUP(D116/2,0)),4)/2*Premissas!$B$28+2*IF(D116&lt;=19,3*D116,IF(D116&lt;=50,ROUNDUP(2.5*D116,0),2*D116))*Premissas!$B$29+IF(C116="Micro",G116*(Premissas!$B$31+Premissas!$B$32+4*Premissas!$B$30),G116*(INDEX(Premissas!$B$40:$B$71,MATCH(F116,Premissas!$A$40:$A$71,0))+INDEX(Premissas!$C$40:$C$71,MATCH(F116,Premissas!$A$40:$A$71,0))*Premissas!$B$30)))</f>
        <v/>
      </c>
      <c r="K116" s="24">
        <f>IF(J116&lt;Premissas!$B$36,MAX(Premissas!$B$33,J116*Premissas!$B$34),J116*Premissas!$B$35)</f>
        <v/>
      </c>
      <c r="L116" s="24">
        <f>ROUND(J116+K116,2)</f>
        <v/>
      </c>
      <c r="M116" s="24">
        <f>D116*Premissas!$B$8+Premissas!$B$9+Premissas!$B$10+Premissas!$B$11+Premissas!$B$12+ROUND(Premissas!$B$13*E116,2)</f>
        <v/>
      </c>
      <c r="N116" s="25">
        <f>ROUNDUP((L116+M116-Premissas!$B$5*L116)/(1-Premissas!$B$6-Premissas!$B$7-Premissas!$B$5-Premissas!$B$14),2)</f>
        <v/>
      </c>
      <c r="O116" s="24">
        <f>ROUND(IF(N116&lt;=30000,N116*(1+Premissas!$B$21),N116+Premissas!$B$21*30000*SQRT(N116/30000)),2)</f>
        <v/>
      </c>
      <c r="P116" s="24">
        <f>N116-I116</f>
        <v/>
      </c>
      <c r="Q116" s="26">
        <f>P116/I116</f>
        <v/>
      </c>
      <c r="R116" s="26">
        <f>(I116-L116-Premissas!$B$5*(I116-L116)-(Premissas!$B$6+Premissas!$B$7)*I116-M116)/I116</f>
        <v/>
      </c>
      <c r="S116" s="24">
        <f>ROUND((CEILING((L116*Premissas!$B$17/Premissas!$B$18-97)/100,1)*100+97)*Premissas!$B$18,2)</f>
        <v/>
      </c>
    </row>
    <row r="117">
      <c r="A117" s="17" t="inlineStr">
        <is>
          <t>KIT 131 MOD. 620W + INV. CHINT 75KW</t>
        </is>
      </c>
      <c r="B117" s="17" t="inlineStr">
        <is>
          <t>CHINT</t>
        </is>
      </c>
      <c r="C117" s="17" t="inlineStr">
        <is>
          <t>Inversor</t>
        </is>
      </c>
      <c r="D117" s="21" t="n">
        <v>131</v>
      </c>
      <c r="E117" s="30" t="n">
        <v>81.22</v>
      </c>
      <c r="F117" s="20" t="inlineStr">
        <is>
          <t>CHINT SCA75K-T-SA TRI 220V</t>
        </is>
      </c>
      <c r="G117" s="21" t="n">
        <v>1</v>
      </c>
      <c r="H117" s="17" t="inlineStr">
        <is>
          <t>Sim</t>
        </is>
      </c>
      <c r="I117" s="23" t="n">
        <v>189416.85</v>
      </c>
      <c r="J117" s="24">
        <f>(D117*Premissas!$B$24+(2*ROUNDUP(D117/2,0))*Premissas!$B$26+INT((2*ROUNDUP(D117/2,0))/4)*Premissas!$B$27+MOD((2*ROUNDUP(D117/2,0)),4)/2*Premissas!$B$28+2*IF(D117&lt;=19,3*D117,IF(D117&lt;=50,ROUNDUP(2.5*D117,0),2*D117))*Premissas!$B$29+IF(C117="Micro",G117*(Premissas!$B$31+Premissas!$B$32+4*Premissas!$B$30),G117*(INDEX(Premissas!$B$40:$B$71,MATCH(F117,Premissas!$A$40:$A$71,0))+INDEX(Premissas!$C$40:$C$71,MATCH(F117,Premissas!$A$40:$A$71,0))*Premissas!$B$30)))</f>
        <v/>
      </c>
      <c r="K117" s="24">
        <f>IF(J117&lt;Premissas!$B$36,MAX(Premissas!$B$33,J117*Premissas!$B$34),J117*Premissas!$B$35)</f>
        <v/>
      </c>
      <c r="L117" s="24">
        <f>ROUND(J117+K117,2)</f>
        <v/>
      </c>
      <c r="M117" s="24">
        <f>D117*Premissas!$B$8+Premissas!$B$9+Premissas!$B$10+Premissas!$B$11+Premissas!$B$12+ROUND(Premissas!$B$13*E117,2)</f>
        <v/>
      </c>
      <c r="N117" s="25">
        <f>ROUNDUP((L117+M117-Premissas!$B$5*L117)/(1-Premissas!$B$6-Premissas!$B$7-Premissas!$B$5-Premissas!$B$14),2)</f>
        <v/>
      </c>
      <c r="O117" s="24">
        <f>ROUND(IF(N117&lt;=30000,N117*(1+Premissas!$B$21),N117+Premissas!$B$21*30000*SQRT(N117/30000)),2)</f>
        <v/>
      </c>
      <c r="P117" s="24">
        <f>N117-I117</f>
        <v/>
      </c>
      <c r="Q117" s="26">
        <f>P117/I117</f>
        <v/>
      </c>
      <c r="R117" s="26">
        <f>(I117-L117-Premissas!$B$5*(I117-L117)-(Premissas!$B$6+Premissas!$B$7)*I117-M117)/I117</f>
        <v/>
      </c>
      <c r="S117" s="24">
        <f>ROUND((CEILING((L117*Premissas!$B$17/Premissas!$B$18-97)/100,1)*100+97)*Premissas!$B$18,2)</f>
        <v/>
      </c>
    </row>
    <row r="118">
      <c r="A118" s="17" t="inlineStr">
        <is>
          <t>KIT 132 MOD. 620W + INV. CHINT 75KW</t>
        </is>
      </c>
      <c r="B118" s="17" t="inlineStr">
        <is>
          <t>CHINT</t>
        </is>
      </c>
      <c r="C118" s="17" t="inlineStr">
        <is>
          <t>Inversor</t>
        </is>
      </c>
      <c r="D118" s="21" t="n">
        <v>132</v>
      </c>
      <c r="E118" s="30" t="n">
        <v>81.84</v>
      </c>
      <c r="F118" s="20" t="inlineStr">
        <is>
          <t>CHINT SCA75K-T-SA TRI 220V</t>
        </is>
      </c>
      <c r="G118" s="21" t="n">
        <v>1</v>
      </c>
      <c r="H118" s="17" t="inlineStr">
        <is>
          <t>Sim</t>
        </is>
      </c>
      <c r="I118" s="23" t="n">
        <v>190361.85</v>
      </c>
      <c r="J118" s="24">
        <f>(D118*Premissas!$B$24+(2*ROUNDUP(D118/2,0))*Premissas!$B$26+INT((2*ROUNDUP(D118/2,0))/4)*Premissas!$B$27+MOD((2*ROUNDUP(D118/2,0)),4)/2*Premissas!$B$28+2*IF(D118&lt;=19,3*D118,IF(D118&lt;=50,ROUNDUP(2.5*D118,0),2*D118))*Premissas!$B$29+IF(C118="Micro",G118*(Premissas!$B$31+Premissas!$B$32+4*Premissas!$B$30),G118*(INDEX(Premissas!$B$40:$B$71,MATCH(F118,Premissas!$A$40:$A$71,0))+INDEX(Premissas!$C$40:$C$71,MATCH(F118,Premissas!$A$40:$A$71,0))*Premissas!$B$30)))</f>
        <v/>
      </c>
      <c r="K118" s="24">
        <f>IF(J118&lt;Premissas!$B$36,MAX(Premissas!$B$33,J118*Premissas!$B$34),J118*Premissas!$B$35)</f>
        <v/>
      </c>
      <c r="L118" s="24">
        <f>ROUND(J118+K118,2)</f>
        <v/>
      </c>
      <c r="M118" s="24">
        <f>D118*Premissas!$B$8+Premissas!$B$9+Premissas!$B$10+Premissas!$B$11+Premissas!$B$12+ROUND(Premissas!$B$13*E118,2)</f>
        <v/>
      </c>
      <c r="N118" s="25">
        <f>ROUNDUP((L118+M118-Premissas!$B$5*L118)/(1-Premissas!$B$6-Premissas!$B$7-Premissas!$B$5-Premissas!$B$14),2)</f>
        <v/>
      </c>
      <c r="O118" s="24">
        <f>ROUND(IF(N118&lt;=30000,N118*(1+Premissas!$B$21),N118+Premissas!$B$21*30000*SQRT(N118/30000)),2)</f>
        <v/>
      </c>
      <c r="P118" s="24">
        <f>N118-I118</f>
        <v/>
      </c>
      <c r="Q118" s="26">
        <f>P118/I118</f>
        <v/>
      </c>
      <c r="R118" s="26">
        <f>(I118-L118-Premissas!$B$5*(I118-L118)-(Premissas!$B$6+Premissas!$B$7)*I118-M118)/I118</f>
        <v/>
      </c>
      <c r="S118" s="24">
        <f>ROUND((CEILING((L118*Premissas!$B$17/Premissas!$B$18-97)/100,1)*100+97)*Premissas!$B$18,2)</f>
        <v/>
      </c>
    </row>
    <row r="119">
      <c r="A119" s="17" t="inlineStr">
        <is>
          <t>KIT 133 MOD. 620W + INV. CHINT 75KW</t>
        </is>
      </c>
      <c r="B119" s="17" t="inlineStr">
        <is>
          <t>CHINT</t>
        </is>
      </c>
      <c r="C119" s="17" t="inlineStr">
        <is>
          <t>Inversor</t>
        </is>
      </c>
      <c r="D119" s="21" t="n">
        <v>133</v>
      </c>
      <c r="E119" s="30" t="n">
        <v>82.45999999999999</v>
      </c>
      <c r="F119" s="20" t="inlineStr">
        <is>
          <t>CHINT SCA75K-T-SA TRI 220V</t>
        </is>
      </c>
      <c r="G119" s="21" t="n">
        <v>1</v>
      </c>
      <c r="H119" s="17" t="inlineStr">
        <is>
          <t>Sim</t>
        </is>
      </c>
      <c r="I119" s="23" t="n">
        <v>191726.85</v>
      </c>
      <c r="J119" s="24">
        <f>(D119*Premissas!$B$24+(2*ROUNDUP(D119/2,0))*Premissas!$B$26+INT((2*ROUNDUP(D119/2,0))/4)*Premissas!$B$27+MOD((2*ROUNDUP(D119/2,0)),4)/2*Premissas!$B$28+2*IF(D119&lt;=19,3*D119,IF(D119&lt;=50,ROUNDUP(2.5*D119,0),2*D119))*Premissas!$B$29+IF(C119="Micro",G119*(Premissas!$B$31+Premissas!$B$32+4*Premissas!$B$30),G119*(INDEX(Premissas!$B$40:$B$71,MATCH(F119,Premissas!$A$40:$A$71,0))+INDEX(Premissas!$C$40:$C$71,MATCH(F119,Premissas!$A$40:$A$71,0))*Premissas!$B$30)))</f>
        <v/>
      </c>
      <c r="K119" s="24">
        <f>IF(J119&lt;Premissas!$B$36,MAX(Premissas!$B$33,J119*Premissas!$B$34),J119*Premissas!$B$35)</f>
        <v/>
      </c>
      <c r="L119" s="24">
        <f>ROUND(J119+K119,2)</f>
        <v/>
      </c>
      <c r="M119" s="24">
        <f>D119*Premissas!$B$8+Premissas!$B$9+Premissas!$B$10+Premissas!$B$11+Premissas!$B$12+ROUND(Premissas!$B$13*E119,2)</f>
        <v/>
      </c>
      <c r="N119" s="25">
        <f>ROUNDUP((L119+M119-Premissas!$B$5*L119)/(1-Premissas!$B$6-Premissas!$B$7-Premissas!$B$5-Premissas!$B$14),2)</f>
        <v/>
      </c>
      <c r="O119" s="24">
        <f>ROUND(IF(N119&lt;=30000,N119*(1+Premissas!$B$21),N119+Premissas!$B$21*30000*SQRT(N119/30000)),2)</f>
        <v/>
      </c>
      <c r="P119" s="24">
        <f>N119-I119</f>
        <v/>
      </c>
      <c r="Q119" s="26">
        <f>P119/I119</f>
        <v/>
      </c>
      <c r="R119" s="26">
        <f>(I119-L119-Premissas!$B$5*(I119-L119)-(Premissas!$B$6+Premissas!$B$7)*I119-M119)/I119</f>
        <v/>
      </c>
      <c r="S119" s="24">
        <f>ROUND((CEILING((L119*Premissas!$B$17/Premissas!$B$18-97)/100,1)*100+97)*Premissas!$B$18,2)</f>
        <v/>
      </c>
    </row>
    <row r="120">
      <c r="A120" s="17" t="inlineStr">
        <is>
          <t>KIT 134 MOD. 620W + INV. CHINT 75KW</t>
        </is>
      </c>
      <c r="B120" s="17" t="inlineStr">
        <is>
          <t>CHINT</t>
        </is>
      </c>
      <c r="C120" s="17" t="inlineStr">
        <is>
          <t>Inversor</t>
        </is>
      </c>
      <c r="D120" s="21" t="n">
        <v>134</v>
      </c>
      <c r="E120" s="30" t="n">
        <v>83.08</v>
      </c>
      <c r="F120" s="20" t="inlineStr">
        <is>
          <t>CHINT SCA75K-T-SA TRI 220V</t>
        </is>
      </c>
      <c r="G120" s="21" t="n">
        <v>1</v>
      </c>
      <c r="H120" s="17" t="inlineStr">
        <is>
          <t>Sim</t>
        </is>
      </c>
      <c r="I120" s="23" t="n">
        <v>192776.85</v>
      </c>
      <c r="J120" s="24">
        <f>(D120*Premissas!$B$24+(2*ROUNDUP(D120/2,0))*Premissas!$B$26+INT((2*ROUNDUP(D120/2,0))/4)*Premissas!$B$27+MOD((2*ROUNDUP(D120/2,0)),4)/2*Premissas!$B$28+2*IF(D120&lt;=19,3*D120,IF(D120&lt;=50,ROUNDUP(2.5*D120,0),2*D120))*Premissas!$B$29+IF(C120="Micro",G120*(Premissas!$B$31+Premissas!$B$32+4*Premissas!$B$30),G120*(INDEX(Premissas!$B$40:$B$71,MATCH(F120,Premissas!$A$40:$A$71,0))+INDEX(Premissas!$C$40:$C$71,MATCH(F120,Premissas!$A$40:$A$71,0))*Premissas!$B$30)))</f>
        <v/>
      </c>
      <c r="K120" s="24">
        <f>IF(J120&lt;Premissas!$B$36,MAX(Premissas!$B$33,J120*Premissas!$B$34),J120*Premissas!$B$35)</f>
        <v/>
      </c>
      <c r="L120" s="24">
        <f>ROUND(J120+K120,2)</f>
        <v/>
      </c>
      <c r="M120" s="24">
        <f>D120*Premissas!$B$8+Premissas!$B$9+Premissas!$B$10+Premissas!$B$11+Premissas!$B$12+ROUND(Premissas!$B$13*E120,2)</f>
        <v/>
      </c>
      <c r="N120" s="25">
        <f>ROUNDUP((L120+M120-Premissas!$B$5*L120)/(1-Premissas!$B$6-Premissas!$B$7-Premissas!$B$5-Premissas!$B$14),2)</f>
        <v/>
      </c>
      <c r="O120" s="24">
        <f>ROUND(IF(N120&lt;=30000,N120*(1+Premissas!$B$21),N120+Premissas!$B$21*30000*SQRT(N120/30000)),2)</f>
        <v/>
      </c>
      <c r="P120" s="24">
        <f>N120-I120</f>
        <v/>
      </c>
      <c r="Q120" s="26">
        <f>P120/I120</f>
        <v/>
      </c>
      <c r="R120" s="26">
        <f>(I120-L120-Premissas!$B$5*(I120-L120)-(Premissas!$B$6+Premissas!$B$7)*I120-M120)/I120</f>
        <v/>
      </c>
      <c r="S120" s="24">
        <f>ROUND((CEILING((L120*Premissas!$B$17/Premissas!$B$18-97)/100,1)*100+97)*Premissas!$B$18,2)</f>
        <v/>
      </c>
    </row>
    <row r="121">
      <c r="A121" s="17" t="inlineStr">
        <is>
          <t>KIT 135 MOD. 620W + INV. CHINT 75KW</t>
        </is>
      </c>
      <c r="B121" s="17" t="inlineStr">
        <is>
          <t>CHINT</t>
        </is>
      </c>
      <c r="C121" s="17" t="inlineStr">
        <is>
          <t>Inversor</t>
        </is>
      </c>
      <c r="D121" s="21" t="n">
        <v>135</v>
      </c>
      <c r="E121" s="30" t="n">
        <v>83.7</v>
      </c>
      <c r="F121" s="20" t="inlineStr">
        <is>
          <t>CHINT SCA75K-T-SA TRI 220V</t>
        </is>
      </c>
      <c r="G121" s="21" t="n">
        <v>1</v>
      </c>
      <c r="H121" s="17" t="inlineStr">
        <is>
          <t>Sim</t>
        </is>
      </c>
      <c r="I121" s="23" t="n">
        <v>194036.85</v>
      </c>
      <c r="J121" s="24">
        <f>(D121*Premissas!$B$24+(2*ROUNDUP(D121/2,0))*Premissas!$B$26+INT((2*ROUNDUP(D121/2,0))/4)*Premissas!$B$27+MOD((2*ROUNDUP(D121/2,0)),4)/2*Premissas!$B$28+2*IF(D121&lt;=19,3*D121,IF(D121&lt;=50,ROUNDUP(2.5*D121,0),2*D121))*Premissas!$B$29+IF(C121="Micro",G121*(Premissas!$B$31+Premissas!$B$32+4*Premissas!$B$30),G121*(INDEX(Premissas!$B$40:$B$71,MATCH(F121,Premissas!$A$40:$A$71,0))+INDEX(Premissas!$C$40:$C$71,MATCH(F121,Premissas!$A$40:$A$71,0))*Premissas!$B$30)))</f>
        <v/>
      </c>
      <c r="K121" s="24">
        <f>IF(J121&lt;Premissas!$B$36,MAX(Premissas!$B$33,J121*Premissas!$B$34),J121*Premissas!$B$35)</f>
        <v/>
      </c>
      <c r="L121" s="24">
        <f>ROUND(J121+K121,2)</f>
        <v/>
      </c>
      <c r="M121" s="24">
        <f>D121*Premissas!$B$8+Premissas!$B$9+Premissas!$B$10+Premissas!$B$11+Premissas!$B$12+ROUND(Premissas!$B$13*E121,2)</f>
        <v/>
      </c>
      <c r="N121" s="25">
        <f>ROUNDUP((L121+M121-Premissas!$B$5*L121)/(1-Premissas!$B$6-Premissas!$B$7-Premissas!$B$5-Premissas!$B$14),2)</f>
        <v/>
      </c>
      <c r="O121" s="24">
        <f>ROUND(IF(N121&lt;=30000,N121*(1+Premissas!$B$21),N121+Premissas!$B$21*30000*SQRT(N121/30000)),2)</f>
        <v/>
      </c>
      <c r="P121" s="24">
        <f>N121-I121</f>
        <v/>
      </c>
      <c r="Q121" s="26">
        <f>P121/I121</f>
        <v/>
      </c>
      <c r="R121" s="26">
        <f>(I121-L121-Premissas!$B$5*(I121-L121)-(Premissas!$B$6+Premissas!$B$7)*I121-M121)/I121</f>
        <v/>
      </c>
      <c r="S121" s="24">
        <f>ROUND((CEILING((L121*Premissas!$B$17/Premissas!$B$18-97)/100,1)*100+97)*Premissas!$B$18,2)</f>
        <v/>
      </c>
    </row>
    <row r="122">
      <c r="A122" s="17" t="inlineStr">
        <is>
          <t>KIT 136 MOD. 620W + INV. CHINT 75KW</t>
        </is>
      </c>
      <c r="B122" s="17" t="inlineStr">
        <is>
          <t>CHINT</t>
        </is>
      </c>
      <c r="C122" s="17" t="inlineStr">
        <is>
          <t>Inversor</t>
        </is>
      </c>
      <c r="D122" s="21" t="n">
        <v>136</v>
      </c>
      <c r="E122" s="30" t="n">
        <v>84.31999999999999</v>
      </c>
      <c r="F122" s="20" t="inlineStr">
        <is>
          <t>CHINT SCA75K-T-SA TRI 220V</t>
        </is>
      </c>
      <c r="G122" s="21" t="n">
        <v>1</v>
      </c>
      <c r="H122" s="17" t="inlineStr">
        <is>
          <t>Sim</t>
        </is>
      </c>
      <c r="I122" s="23" t="n">
        <v>195086.85</v>
      </c>
      <c r="J122" s="24">
        <f>(D122*Premissas!$B$24+(2*ROUNDUP(D122/2,0))*Premissas!$B$26+INT((2*ROUNDUP(D122/2,0))/4)*Premissas!$B$27+MOD((2*ROUNDUP(D122/2,0)),4)/2*Premissas!$B$28+2*IF(D122&lt;=19,3*D122,IF(D122&lt;=50,ROUNDUP(2.5*D122,0),2*D122))*Premissas!$B$29+IF(C122="Micro",G122*(Premissas!$B$31+Premissas!$B$32+4*Premissas!$B$30),G122*(INDEX(Premissas!$B$40:$B$71,MATCH(F122,Premissas!$A$40:$A$71,0))+INDEX(Premissas!$C$40:$C$71,MATCH(F122,Premissas!$A$40:$A$71,0))*Premissas!$B$30)))</f>
        <v/>
      </c>
      <c r="K122" s="24">
        <f>IF(J122&lt;Premissas!$B$36,MAX(Premissas!$B$33,J122*Premissas!$B$34),J122*Premissas!$B$35)</f>
        <v/>
      </c>
      <c r="L122" s="24">
        <f>ROUND(J122+K122,2)</f>
        <v/>
      </c>
      <c r="M122" s="24">
        <f>D122*Premissas!$B$8+Premissas!$B$9+Premissas!$B$10+Premissas!$B$11+Premissas!$B$12+ROUND(Premissas!$B$13*E122,2)</f>
        <v/>
      </c>
      <c r="N122" s="25">
        <f>ROUNDUP((L122+M122-Premissas!$B$5*L122)/(1-Premissas!$B$6-Premissas!$B$7-Premissas!$B$5-Premissas!$B$14),2)</f>
        <v/>
      </c>
      <c r="O122" s="24">
        <f>ROUND(IF(N122&lt;=30000,N122*(1+Premissas!$B$21),N122+Premissas!$B$21*30000*SQRT(N122/30000)),2)</f>
        <v/>
      </c>
      <c r="P122" s="24">
        <f>N122-I122</f>
        <v/>
      </c>
      <c r="Q122" s="26">
        <f>P122/I122</f>
        <v/>
      </c>
      <c r="R122" s="26">
        <f>(I122-L122-Premissas!$B$5*(I122-L122)-(Premissas!$B$6+Premissas!$B$7)*I122-M122)/I122</f>
        <v/>
      </c>
      <c r="S122" s="24">
        <f>ROUND((CEILING((L122*Premissas!$B$17/Premissas!$B$18-97)/100,1)*100+97)*Premissas!$B$18,2)</f>
        <v/>
      </c>
    </row>
    <row r="123">
      <c r="A123" s="17" t="inlineStr">
        <is>
          <t>KIT 137 MOD. 620W + INV. CHINT 75KW</t>
        </is>
      </c>
      <c r="B123" s="17" t="inlineStr">
        <is>
          <t>CHINT</t>
        </is>
      </c>
      <c r="C123" s="17" t="inlineStr">
        <is>
          <t>Inversor</t>
        </is>
      </c>
      <c r="D123" s="21" t="n">
        <v>137</v>
      </c>
      <c r="E123" s="30" t="n">
        <v>84.94</v>
      </c>
      <c r="F123" s="20" t="inlineStr">
        <is>
          <t>CHINT SCA75K-T-SA TRI 220V</t>
        </is>
      </c>
      <c r="G123" s="21" t="n">
        <v>1</v>
      </c>
      <c r="H123" s="17" t="inlineStr">
        <is>
          <t>Sim</t>
        </is>
      </c>
      <c r="I123" s="23" t="n">
        <v>196451.85</v>
      </c>
      <c r="J123" s="24">
        <f>(D123*Premissas!$B$24+(2*ROUNDUP(D123/2,0))*Premissas!$B$26+INT((2*ROUNDUP(D123/2,0))/4)*Premissas!$B$27+MOD((2*ROUNDUP(D123/2,0)),4)/2*Premissas!$B$28+2*IF(D123&lt;=19,3*D123,IF(D123&lt;=50,ROUNDUP(2.5*D123,0),2*D123))*Premissas!$B$29+IF(C123="Micro",G123*(Premissas!$B$31+Premissas!$B$32+4*Premissas!$B$30),G123*(INDEX(Premissas!$B$40:$B$71,MATCH(F123,Premissas!$A$40:$A$71,0))+INDEX(Premissas!$C$40:$C$71,MATCH(F123,Premissas!$A$40:$A$71,0))*Premissas!$B$30)))</f>
        <v/>
      </c>
      <c r="K123" s="24">
        <f>IF(J123&lt;Premissas!$B$36,MAX(Premissas!$B$33,J123*Premissas!$B$34),J123*Premissas!$B$35)</f>
        <v/>
      </c>
      <c r="L123" s="24">
        <f>ROUND(J123+K123,2)</f>
        <v/>
      </c>
      <c r="M123" s="24">
        <f>D123*Premissas!$B$8+Premissas!$B$9+Premissas!$B$10+Premissas!$B$11+Premissas!$B$12+ROUND(Premissas!$B$13*E123,2)</f>
        <v/>
      </c>
      <c r="N123" s="25">
        <f>ROUNDUP((L123+M123-Premissas!$B$5*L123)/(1-Premissas!$B$6-Premissas!$B$7-Premissas!$B$5-Premissas!$B$14),2)</f>
        <v/>
      </c>
      <c r="O123" s="24">
        <f>ROUND(IF(N123&lt;=30000,N123*(1+Premissas!$B$21),N123+Premissas!$B$21*30000*SQRT(N123/30000)),2)</f>
        <v/>
      </c>
      <c r="P123" s="24">
        <f>N123-I123</f>
        <v/>
      </c>
      <c r="Q123" s="26">
        <f>P123/I123</f>
        <v/>
      </c>
      <c r="R123" s="26">
        <f>(I123-L123-Premissas!$B$5*(I123-L123)-(Premissas!$B$6+Premissas!$B$7)*I123-M123)/I123</f>
        <v/>
      </c>
      <c r="S123" s="24">
        <f>ROUND((CEILING((L123*Premissas!$B$17/Premissas!$B$18-97)/100,1)*100+97)*Premissas!$B$18,2)</f>
        <v/>
      </c>
    </row>
    <row r="124">
      <c r="A124" s="17" t="inlineStr">
        <is>
          <t>KIT 138 MOD. 620W + INV. CHINT 75KW</t>
        </is>
      </c>
      <c r="B124" s="17" t="inlineStr">
        <is>
          <t>CHINT</t>
        </is>
      </c>
      <c r="C124" s="17" t="inlineStr">
        <is>
          <t>Inversor</t>
        </is>
      </c>
      <c r="D124" s="21" t="n">
        <v>138</v>
      </c>
      <c r="E124" s="30" t="n">
        <v>85.56</v>
      </c>
      <c r="F124" s="20" t="inlineStr">
        <is>
          <t>CHINT SCA75K-T-SA TRI 220V</t>
        </is>
      </c>
      <c r="G124" s="21" t="n">
        <v>1</v>
      </c>
      <c r="H124" s="17" t="inlineStr">
        <is>
          <t>Sim</t>
        </is>
      </c>
      <c r="I124" s="23" t="n">
        <v>197501.85</v>
      </c>
      <c r="J124" s="24">
        <f>(D124*Premissas!$B$24+(2*ROUNDUP(D124/2,0))*Premissas!$B$26+INT((2*ROUNDUP(D124/2,0))/4)*Premissas!$B$27+MOD((2*ROUNDUP(D124/2,0)),4)/2*Premissas!$B$28+2*IF(D124&lt;=19,3*D124,IF(D124&lt;=50,ROUNDUP(2.5*D124,0),2*D124))*Premissas!$B$29+IF(C124="Micro",G124*(Premissas!$B$31+Premissas!$B$32+4*Premissas!$B$30),G124*(INDEX(Premissas!$B$40:$B$71,MATCH(F124,Premissas!$A$40:$A$71,0))+INDEX(Premissas!$C$40:$C$71,MATCH(F124,Premissas!$A$40:$A$71,0))*Premissas!$B$30)))</f>
        <v/>
      </c>
      <c r="K124" s="24">
        <f>IF(J124&lt;Premissas!$B$36,MAX(Premissas!$B$33,J124*Premissas!$B$34),J124*Premissas!$B$35)</f>
        <v/>
      </c>
      <c r="L124" s="24">
        <f>ROUND(J124+K124,2)</f>
        <v/>
      </c>
      <c r="M124" s="24">
        <f>D124*Premissas!$B$8+Premissas!$B$9+Premissas!$B$10+Premissas!$B$11+Premissas!$B$12+ROUND(Premissas!$B$13*E124,2)</f>
        <v/>
      </c>
      <c r="N124" s="25">
        <f>ROUNDUP((L124+M124-Premissas!$B$5*L124)/(1-Premissas!$B$6-Premissas!$B$7-Premissas!$B$5-Premissas!$B$14),2)</f>
        <v/>
      </c>
      <c r="O124" s="24">
        <f>ROUND(IF(N124&lt;=30000,N124*(1+Premissas!$B$21),N124+Premissas!$B$21*30000*SQRT(N124/30000)),2)</f>
        <v/>
      </c>
      <c r="P124" s="24">
        <f>N124-I124</f>
        <v/>
      </c>
      <c r="Q124" s="26">
        <f>P124/I124</f>
        <v/>
      </c>
      <c r="R124" s="26">
        <f>(I124-L124-Premissas!$B$5*(I124-L124)-(Premissas!$B$6+Premissas!$B$7)*I124-M124)/I124</f>
        <v/>
      </c>
      <c r="S124" s="24">
        <f>ROUND((CEILING((L124*Premissas!$B$17/Premissas!$B$18-97)/100,1)*100+97)*Premissas!$B$18,2)</f>
        <v/>
      </c>
    </row>
    <row r="125">
      <c r="A125" s="17" t="inlineStr">
        <is>
          <t>KIT 139 MOD. 620W + INV. CHINT 75KW</t>
        </is>
      </c>
      <c r="B125" s="17" t="inlineStr">
        <is>
          <t>CHINT</t>
        </is>
      </c>
      <c r="C125" s="17" t="inlineStr">
        <is>
          <t>Inversor</t>
        </is>
      </c>
      <c r="D125" s="21" t="n">
        <v>139</v>
      </c>
      <c r="E125" s="30" t="n">
        <v>86.18000000000001</v>
      </c>
      <c r="F125" s="20" t="inlineStr">
        <is>
          <t>CHINT SCA75K-T-SA TRI 220V</t>
        </is>
      </c>
      <c r="G125" s="21" t="n">
        <v>1</v>
      </c>
      <c r="H125" s="17" t="inlineStr">
        <is>
          <t>Sim</t>
        </is>
      </c>
      <c r="I125" s="23" t="n">
        <v>198761.85</v>
      </c>
      <c r="J125" s="24">
        <f>(D125*Premissas!$B$24+(2*ROUNDUP(D125/2,0))*Premissas!$B$26+INT((2*ROUNDUP(D125/2,0))/4)*Premissas!$B$27+MOD((2*ROUNDUP(D125/2,0)),4)/2*Premissas!$B$28+2*IF(D125&lt;=19,3*D125,IF(D125&lt;=50,ROUNDUP(2.5*D125,0),2*D125))*Premissas!$B$29+IF(C125="Micro",G125*(Premissas!$B$31+Premissas!$B$32+4*Premissas!$B$30),G125*(INDEX(Premissas!$B$40:$B$71,MATCH(F125,Premissas!$A$40:$A$71,0))+INDEX(Premissas!$C$40:$C$71,MATCH(F125,Premissas!$A$40:$A$71,0))*Premissas!$B$30)))</f>
        <v/>
      </c>
      <c r="K125" s="24">
        <f>IF(J125&lt;Premissas!$B$36,MAX(Premissas!$B$33,J125*Premissas!$B$34),J125*Premissas!$B$35)</f>
        <v/>
      </c>
      <c r="L125" s="24">
        <f>ROUND(J125+K125,2)</f>
        <v/>
      </c>
      <c r="M125" s="24">
        <f>D125*Premissas!$B$8+Premissas!$B$9+Premissas!$B$10+Premissas!$B$11+Premissas!$B$12+ROUND(Premissas!$B$13*E125,2)</f>
        <v/>
      </c>
      <c r="N125" s="25">
        <f>ROUNDUP((L125+M125-Premissas!$B$5*L125)/(1-Premissas!$B$6-Premissas!$B$7-Premissas!$B$5-Premissas!$B$14),2)</f>
        <v/>
      </c>
      <c r="O125" s="24">
        <f>ROUND(IF(N125&lt;=30000,N125*(1+Premissas!$B$21),N125+Premissas!$B$21*30000*SQRT(N125/30000)),2)</f>
        <v/>
      </c>
      <c r="P125" s="24">
        <f>N125-I125</f>
        <v/>
      </c>
      <c r="Q125" s="26">
        <f>P125/I125</f>
        <v/>
      </c>
      <c r="R125" s="26">
        <f>(I125-L125-Premissas!$B$5*(I125-L125)-(Premissas!$B$6+Premissas!$B$7)*I125-M125)/I125</f>
        <v/>
      </c>
      <c r="S125" s="24">
        <f>ROUND((CEILING((L125*Premissas!$B$17/Premissas!$B$18-97)/100,1)*100+97)*Premissas!$B$18,2)</f>
        <v/>
      </c>
    </row>
    <row r="126">
      <c r="A126" s="17" t="inlineStr">
        <is>
          <t>KIT 140 MOD. 620W + INV. CHINT 75KW</t>
        </is>
      </c>
      <c r="B126" s="17" t="inlineStr">
        <is>
          <t>CHINT</t>
        </is>
      </c>
      <c r="C126" s="17" t="inlineStr">
        <is>
          <t>Inversor</t>
        </is>
      </c>
      <c r="D126" s="21" t="n">
        <v>140</v>
      </c>
      <c r="E126" s="30" t="n">
        <v>86.8</v>
      </c>
      <c r="F126" s="20" t="inlineStr">
        <is>
          <t>CHINT SCA75K-T-SA TRI 220V</t>
        </is>
      </c>
      <c r="G126" s="21" t="n">
        <v>1</v>
      </c>
      <c r="H126" s="17" t="inlineStr">
        <is>
          <t>Sim</t>
        </is>
      </c>
      <c r="I126" s="23" t="n">
        <v>199811.85</v>
      </c>
      <c r="J126" s="24">
        <f>(D126*Premissas!$B$24+(2*ROUNDUP(D126/2,0))*Premissas!$B$26+INT((2*ROUNDUP(D126/2,0))/4)*Premissas!$B$27+MOD((2*ROUNDUP(D126/2,0)),4)/2*Premissas!$B$28+2*IF(D126&lt;=19,3*D126,IF(D126&lt;=50,ROUNDUP(2.5*D126,0),2*D126))*Premissas!$B$29+IF(C126="Micro",G126*(Premissas!$B$31+Premissas!$B$32+4*Premissas!$B$30),G126*(INDEX(Premissas!$B$40:$B$71,MATCH(F126,Premissas!$A$40:$A$71,0))+INDEX(Premissas!$C$40:$C$71,MATCH(F126,Premissas!$A$40:$A$71,0))*Premissas!$B$30)))</f>
        <v/>
      </c>
      <c r="K126" s="24">
        <f>IF(J126&lt;Premissas!$B$36,MAX(Premissas!$B$33,J126*Premissas!$B$34),J126*Premissas!$B$35)</f>
        <v/>
      </c>
      <c r="L126" s="24">
        <f>ROUND(J126+K126,2)</f>
        <v/>
      </c>
      <c r="M126" s="24">
        <f>D126*Premissas!$B$8+Premissas!$B$9+Premissas!$B$10+Premissas!$B$11+Premissas!$B$12+ROUND(Premissas!$B$13*E126,2)</f>
        <v/>
      </c>
      <c r="N126" s="25">
        <f>ROUNDUP((L126+M126-Premissas!$B$5*L126)/(1-Premissas!$B$6-Premissas!$B$7-Premissas!$B$5-Premissas!$B$14),2)</f>
        <v/>
      </c>
      <c r="O126" s="24">
        <f>ROUND(IF(N126&lt;=30000,N126*(1+Premissas!$B$21),N126+Premissas!$B$21*30000*SQRT(N126/30000)),2)</f>
        <v/>
      </c>
      <c r="P126" s="24">
        <f>N126-I126</f>
        <v/>
      </c>
      <c r="Q126" s="26">
        <f>P126/I126</f>
        <v/>
      </c>
      <c r="R126" s="26">
        <f>(I126-L126-Premissas!$B$5*(I126-L126)-(Premissas!$B$6+Premissas!$B$7)*I126-M126)/I126</f>
        <v/>
      </c>
      <c r="S126" s="24">
        <f>ROUND((CEILING((L126*Premissas!$B$17/Premissas!$B$18-97)/100,1)*100+97)*Premissas!$B$18,2)</f>
        <v/>
      </c>
    </row>
    <row r="127">
      <c r="A127" s="17" t="inlineStr">
        <is>
          <t>KIT 141 MOD. 620W + INV. CHINT 75KW</t>
        </is>
      </c>
      <c r="B127" s="17" t="inlineStr">
        <is>
          <t>CHINT</t>
        </is>
      </c>
      <c r="C127" s="17" t="inlineStr">
        <is>
          <t>Inversor</t>
        </is>
      </c>
      <c r="D127" s="21" t="n">
        <v>141</v>
      </c>
      <c r="E127" s="30" t="n">
        <v>87.42</v>
      </c>
      <c r="F127" s="20" t="inlineStr">
        <is>
          <t>CHINT SCA75K-T-SA TRI 220V</t>
        </is>
      </c>
      <c r="G127" s="21" t="n">
        <v>1</v>
      </c>
      <c r="H127" s="17" t="inlineStr">
        <is>
          <t>Sim</t>
        </is>
      </c>
      <c r="I127" s="23" t="n">
        <v>201176.85</v>
      </c>
      <c r="J127" s="24">
        <f>(D127*Premissas!$B$24+(2*ROUNDUP(D127/2,0))*Premissas!$B$26+INT((2*ROUNDUP(D127/2,0))/4)*Premissas!$B$27+MOD((2*ROUNDUP(D127/2,0)),4)/2*Premissas!$B$28+2*IF(D127&lt;=19,3*D127,IF(D127&lt;=50,ROUNDUP(2.5*D127,0),2*D127))*Premissas!$B$29+IF(C127="Micro",G127*(Premissas!$B$31+Premissas!$B$32+4*Premissas!$B$30),G127*(INDEX(Premissas!$B$40:$B$71,MATCH(F127,Premissas!$A$40:$A$71,0))+INDEX(Premissas!$C$40:$C$71,MATCH(F127,Premissas!$A$40:$A$71,0))*Premissas!$B$30)))</f>
        <v/>
      </c>
      <c r="K127" s="24">
        <f>IF(J127&lt;Premissas!$B$36,MAX(Premissas!$B$33,J127*Premissas!$B$34),J127*Premissas!$B$35)</f>
        <v/>
      </c>
      <c r="L127" s="24">
        <f>ROUND(J127+K127,2)</f>
        <v/>
      </c>
      <c r="M127" s="24">
        <f>D127*Premissas!$B$8+Premissas!$B$9+Premissas!$B$10+Premissas!$B$11+Premissas!$B$12+ROUND(Premissas!$B$13*E127,2)</f>
        <v/>
      </c>
      <c r="N127" s="25">
        <f>ROUNDUP((L127+M127-Premissas!$B$5*L127)/(1-Premissas!$B$6-Premissas!$B$7-Premissas!$B$5-Premissas!$B$14),2)</f>
        <v/>
      </c>
      <c r="O127" s="24">
        <f>ROUND(IF(N127&lt;=30000,N127*(1+Premissas!$B$21),N127+Premissas!$B$21*30000*SQRT(N127/30000)),2)</f>
        <v/>
      </c>
      <c r="P127" s="24">
        <f>N127-I127</f>
        <v/>
      </c>
      <c r="Q127" s="26">
        <f>P127/I127</f>
        <v/>
      </c>
      <c r="R127" s="26">
        <f>(I127-L127-Premissas!$B$5*(I127-L127)-(Premissas!$B$6+Premissas!$B$7)*I127-M127)/I127</f>
        <v/>
      </c>
      <c r="S127" s="24">
        <f>ROUND((CEILING((L127*Premissas!$B$17/Premissas!$B$18-97)/100,1)*100+97)*Premissas!$B$18,2)</f>
        <v/>
      </c>
    </row>
    <row r="128">
      <c r="A128" s="17" t="inlineStr">
        <is>
          <t>KIT 142 MOD. 620W + INV. CHINT 75KW</t>
        </is>
      </c>
      <c r="B128" s="17" t="inlineStr">
        <is>
          <t>CHINT</t>
        </is>
      </c>
      <c r="C128" s="17" t="inlineStr">
        <is>
          <t>Inversor</t>
        </is>
      </c>
      <c r="D128" s="21" t="n">
        <v>142</v>
      </c>
      <c r="E128" s="30" t="n">
        <v>88.04000000000001</v>
      </c>
      <c r="F128" s="20" t="inlineStr">
        <is>
          <t>CHINT SCA75K-T-SA TRI 220V</t>
        </is>
      </c>
      <c r="G128" s="21" t="n">
        <v>1</v>
      </c>
      <c r="H128" s="17" t="inlineStr">
        <is>
          <t>Sim</t>
        </is>
      </c>
      <c r="I128" s="23" t="n">
        <v>202121.85</v>
      </c>
      <c r="J128" s="24">
        <f>(D128*Premissas!$B$24+(2*ROUNDUP(D128/2,0))*Premissas!$B$26+INT((2*ROUNDUP(D128/2,0))/4)*Premissas!$B$27+MOD((2*ROUNDUP(D128/2,0)),4)/2*Premissas!$B$28+2*IF(D128&lt;=19,3*D128,IF(D128&lt;=50,ROUNDUP(2.5*D128,0),2*D128))*Premissas!$B$29+IF(C128="Micro",G128*(Premissas!$B$31+Premissas!$B$32+4*Premissas!$B$30),G128*(INDEX(Premissas!$B$40:$B$71,MATCH(F128,Premissas!$A$40:$A$71,0))+INDEX(Premissas!$C$40:$C$71,MATCH(F128,Premissas!$A$40:$A$71,0))*Premissas!$B$30)))</f>
        <v/>
      </c>
      <c r="K128" s="24">
        <f>IF(J128&lt;Premissas!$B$36,MAX(Premissas!$B$33,J128*Premissas!$B$34),J128*Premissas!$B$35)</f>
        <v/>
      </c>
      <c r="L128" s="24">
        <f>ROUND(J128+K128,2)</f>
        <v/>
      </c>
      <c r="M128" s="24">
        <f>D128*Premissas!$B$8+Premissas!$B$9+Premissas!$B$10+Premissas!$B$11+Premissas!$B$12+ROUND(Premissas!$B$13*E128,2)</f>
        <v/>
      </c>
      <c r="N128" s="25">
        <f>ROUNDUP((L128+M128-Premissas!$B$5*L128)/(1-Premissas!$B$6-Premissas!$B$7-Premissas!$B$5-Premissas!$B$14),2)</f>
        <v/>
      </c>
      <c r="O128" s="24">
        <f>ROUND(IF(N128&lt;=30000,N128*(1+Premissas!$B$21),N128+Premissas!$B$21*30000*SQRT(N128/30000)),2)</f>
        <v/>
      </c>
      <c r="P128" s="24">
        <f>N128-I128</f>
        <v/>
      </c>
      <c r="Q128" s="26">
        <f>P128/I128</f>
        <v/>
      </c>
      <c r="R128" s="26">
        <f>(I128-L128-Premissas!$B$5*(I128-L128)-(Premissas!$B$6+Premissas!$B$7)*I128-M128)/I128</f>
        <v/>
      </c>
      <c r="S128" s="24">
        <f>ROUND((CEILING((L128*Premissas!$B$17/Premissas!$B$18-97)/100,1)*100+97)*Premissas!$B$18,2)</f>
        <v/>
      </c>
    </row>
    <row r="129">
      <c r="A129" s="17" t="inlineStr">
        <is>
          <t>KIT 143 MOD. 620W + INV. CHINT 75KW</t>
        </is>
      </c>
      <c r="B129" s="17" t="inlineStr">
        <is>
          <t>CHINT</t>
        </is>
      </c>
      <c r="C129" s="17" t="inlineStr">
        <is>
          <t>Inversor</t>
        </is>
      </c>
      <c r="D129" s="21" t="n">
        <v>143</v>
      </c>
      <c r="E129" s="30" t="n">
        <v>88.66</v>
      </c>
      <c r="F129" s="20" t="inlineStr">
        <is>
          <t>CHINT SCA75K-T-SA TRI 220V</t>
        </is>
      </c>
      <c r="G129" s="21" t="n">
        <v>1</v>
      </c>
      <c r="H129" s="17" t="inlineStr">
        <is>
          <t>Sim</t>
        </is>
      </c>
      <c r="I129" s="23" t="n">
        <v>203486.85</v>
      </c>
      <c r="J129" s="24">
        <f>(D129*Premissas!$B$24+(2*ROUNDUP(D129/2,0))*Premissas!$B$26+INT((2*ROUNDUP(D129/2,0))/4)*Premissas!$B$27+MOD((2*ROUNDUP(D129/2,0)),4)/2*Premissas!$B$28+2*IF(D129&lt;=19,3*D129,IF(D129&lt;=50,ROUNDUP(2.5*D129,0),2*D129))*Premissas!$B$29+IF(C129="Micro",G129*(Premissas!$B$31+Premissas!$B$32+4*Premissas!$B$30),G129*(INDEX(Premissas!$B$40:$B$71,MATCH(F129,Premissas!$A$40:$A$71,0))+INDEX(Premissas!$C$40:$C$71,MATCH(F129,Premissas!$A$40:$A$71,0))*Premissas!$B$30)))</f>
        <v/>
      </c>
      <c r="K129" s="24">
        <f>IF(J129&lt;Premissas!$B$36,MAX(Premissas!$B$33,J129*Premissas!$B$34),J129*Premissas!$B$35)</f>
        <v/>
      </c>
      <c r="L129" s="24">
        <f>ROUND(J129+K129,2)</f>
        <v/>
      </c>
      <c r="M129" s="24">
        <f>D129*Premissas!$B$8+Premissas!$B$9+Premissas!$B$10+Premissas!$B$11+Premissas!$B$12+ROUND(Premissas!$B$13*E129,2)</f>
        <v/>
      </c>
      <c r="N129" s="25">
        <f>ROUNDUP((L129+M129-Premissas!$B$5*L129)/(1-Premissas!$B$6-Premissas!$B$7-Premissas!$B$5-Premissas!$B$14),2)</f>
        <v/>
      </c>
      <c r="O129" s="24">
        <f>ROUND(IF(N129&lt;=30000,N129*(1+Premissas!$B$21),N129+Premissas!$B$21*30000*SQRT(N129/30000)),2)</f>
        <v/>
      </c>
      <c r="P129" s="24">
        <f>N129-I129</f>
        <v/>
      </c>
      <c r="Q129" s="26">
        <f>P129/I129</f>
        <v/>
      </c>
      <c r="R129" s="26">
        <f>(I129-L129-Premissas!$B$5*(I129-L129)-(Premissas!$B$6+Premissas!$B$7)*I129-M129)/I129</f>
        <v/>
      </c>
      <c r="S129" s="24">
        <f>ROUND((CEILING((L129*Premissas!$B$17/Premissas!$B$18-97)/100,1)*100+97)*Premissas!$B$18,2)</f>
        <v/>
      </c>
    </row>
    <row r="130">
      <c r="A130" s="17" t="inlineStr">
        <is>
          <t>KIT 144 MOD. 620W + INV. CHINT 75KW</t>
        </is>
      </c>
      <c r="B130" s="17" t="inlineStr">
        <is>
          <t>CHINT</t>
        </is>
      </c>
      <c r="C130" s="17" t="inlineStr">
        <is>
          <t>Inversor</t>
        </is>
      </c>
      <c r="D130" s="21" t="n">
        <v>144</v>
      </c>
      <c r="E130" s="30" t="n">
        <v>89.28</v>
      </c>
      <c r="F130" s="20" t="inlineStr">
        <is>
          <t>CHINT SCA75K-T-SA TRI 220V</t>
        </is>
      </c>
      <c r="G130" s="21" t="n">
        <v>1</v>
      </c>
      <c r="H130" s="17" t="inlineStr">
        <is>
          <t>Sim</t>
        </is>
      </c>
      <c r="I130" s="23" t="n">
        <v>204536.85</v>
      </c>
      <c r="J130" s="24">
        <f>(D130*Premissas!$B$24+(2*ROUNDUP(D130/2,0))*Premissas!$B$26+INT((2*ROUNDUP(D130/2,0))/4)*Premissas!$B$27+MOD((2*ROUNDUP(D130/2,0)),4)/2*Premissas!$B$28+2*IF(D130&lt;=19,3*D130,IF(D130&lt;=50,ROUNDUP(2.5*D130,0),2*D130))*Premissas!$B$29+IF(C130="Micro",G130*(Premissas!$B$31+Premissas!$B$32+4*Premissas!$B$30),G130*(INDEX(Premissas!$B$40:$B$71,MATCH(F130,Premissas!$A$40:$A$71,0))+INDEX(Premissas!$C$40:$C$71,MATCH(F130,Premissas!$A$40:$A$71,0))*Premissas!$B$30)))</f>
        <v/>
      </c>
      <c r="K130" s="24">
        <f>IF(J130&lt;Premissas!$B$36,MAX(Premissas!$B$33,J130*Premissas!$B$34),J130*Premissas!$B$35)</f>
        <v/>
      </c>
      <c r="L130" s="24">
        <f>ROUND(J130+K130,2)</f>
        <v/>
      </c>
      <c r="M130" s="24">
        <f>D130*Premissas!$B$8+Premissas!$B$9+Premissas!$B$10+Premissas!$B$11+Premissas!$B$12+ROUND(Premissas!$B$13*E130,2)</f>
        <v/>
      </c>
      <c r="N130" s="25">
        <f>ROUNDUP((L130+M130-Premissas!$B$5*L130)/(1-Premissas!$B$6-Premissas!$B$7-Premissas!$B$5-Premissas!$B$14),2)</f>
        <v/>
      </c>
      <c r="O130" s="24">
        <f>ROUND(IF(N130&lt;=30000,N130*(1+Premissas!$B$21),N130+Premissas!$B$21*30000*SQRT(N130/30000)),2)</f>
        <v/>
      </c>
      <c r="P130" s="24">
        <f>N130-I130</f>
        <v/>
      </c>
      <c r="Q130" s="26">
        <f>P130/I130</f>
        <v/>
      </c>
      <c r="R130" s="26">
        <f>(I130-L130-Premissas!$B$5*(I130-L130)-(Premissas!$B$6+Premissas!$B$7)*I130-M130)/I130</f>
        <v/>
      </c>
      <c r="S130" s="24">
        <f>ROUND((CEILING((L130*Premissas!$B$17/Premissas!$B$18-97)/100,1)*100+97)*Premissas!$B$18,2)</f>
        <v/>
      </c>
    </row>
    <row r="131">
      <c r="A131" s="17" t="inlineStr">
        <is>
          <t>KIT 145 MOD. 620W + INV. CHINT 75KW</t>
        </is>
      </c>
      <c r="B131" s="17" t="inlineStr">
        <is>
          <t>CHINT</t>
        </is>
      </c>
      <c r="C131" s="17" t="inlineStr">
        <is>
          <t>Inversor</t>
        </is>
      </c>
      <c r="D131" s="21" t="n">
        <v>145</v>
      </c>
      <c r="E131" s="30" t="n">
        <v>89.90000000000001</v>
      </c>
      <c r="F131" s="20" t="inlineStr">
        <is>
          <t>CHINT SCA75K-T-SA TRI 220V</t>
        </is>
      </c>
      <c r="G131" s="21" t="n">
        <v>1</v>
      </c>
      <c r="H131" s="17" t="inlineStr">
        <is>
          <t>Sim</t>
        </is>
      </c>
      <c r="I131" s="23" t="n">
        <v>205796.85</v>
      </c>
      <c r="J131" s="24">
        <f>(D131*Premissas!$B$24+(2*ROUNDUP(D131/2,0))*Premissas!$B$26+INT((2*ROUNDUP(D131/2,0))/4)*Premissas!$B$27+MOD((2*ROUNDUP(D131/2,0)),4)/2*Premissas!$B$28+2*IF(D131&lt;=19,3*D131,IF(D131&lt;=50,ROUNDUP(2.5*D131,0),2*D131))*Premissas!$B$29+IF(C131="Micro",G131*(Premissas!$B$31+Premissas!$B$32+4*Premissas!$B$30),G131*(INDEX(Premissas!$B$40:$B$71,MATCH(F131,Premissas!$A$40:$A$71,0))+INDEX(Premissas!$C$40:$C$71,MATCH(F131,Premissas!$A$40:$A$71,0))*Premissas!$B$30)))</f>
        <v/>
      </c>
      <c r="K131" s="24">
        <f>IF(J131&lt;Premissas!$B$36,MAX(Premissas!$B$33,J131*Premissas!$B$34),J131*Premissas!$B$35)</f>
        <v/>
      </c>
      <c r="L131" s="24">
        <f>ROUND(J131+K131,2)</f>
        <v/>
      </c>
      <c r="M131" s="24">
        <f>D131*Premissas!$B$8+Premissas!$B$9+Premissas!$B$10+Premissas!$B$11+Premissas!$B$12+ROUND(Premissas!$B$13*E131,2)</f>
        <v/>
      </c>
      <c r="N131" s="25">
        <f>ROUNDUP((L131+M131-Premissas!$B$5*L131)/(1-Premissas!$B$6-Premissas!$B$7-Premissas!$B$5-Premissas!$B$14),2)</f>
        <v/>
      </c>
      <c r="O131" s="24">
        <f>ROUND(IF(N131&lt;=30000,N131*(1+Premissas!$B$21),N131+Premissas!$B$21*30000*SQRT(N131/30000)),2)</f>
        <v/>
      </c>
      <c r="P131" s="24">
        <f>N131-I131</f>
        <v/>
      </c>
      <c r="Q131" s="26">
        <f>P131/I131</f>
        <v/>
      </c>
      <c r="R131" s="26">
        <f>(I131-L131-Premissas!$B$5*(I131-L131)-(Premissas!$B$6+Premissas!$B$7)*I131-M131)/I131</f>
        <v/>
      </c>
      <c r="S131" s="24">
        <f>ROUND((CEILING((L131*Premissas!$B$17/Premissas!$B$18-97)/100,1)*100+97)*Premissas!$B$18,2)</f>
        <v/>
      </c>
    </row>
    <row r="132">
      <c r="A132" s="17" t="inlineStr">
        <is>
          <t>KIT 146 MOD. 620W + INV. CHINT 75KW</t>
        </is>
      </c>
      <c r="B132" s="17" t="inlineStr">
        <is>
          <t>CHINT</t>
        </is>
      </c>
      <c r="C132" s="17" t="inlineStr">
        <is>
          <t>Inversor</t>
        </is>
      </c>
      <c r="D132" s="21" t="n">
        <v>146</v>
      </c>
      <c r="E132" s="30" t="n">
        <v>90.52</v>
      </c>
      <c r="F132" s="20" t="inlineStr">
        <is>
          <t>CHINT SCA75K-T-SA TRI 220V</t>
        </is>
      </c>
      <c r="G132" s="21" t="n">
        <v>1</v>
      </c>
      <c r="H132" s="17" t="inlineStr">
        <is>
          <t>Sim</t>
        </is>
      </c>
      <c r="I132" s="23" t="n">
        <v>206846.85</v>
      </c>
      <c r="J132" s="24">
        <f>(D132*Premissas!$B$24+(2*ROUNDUP(D132/2,0))*Premissas!$B$26+INT((2*ROUNDUP(D132/2,0))/4)*Premissas!$B$27+MOD((2*ROUNDUP(D132/2,0)),4)/2*Premissas!$B$28+2*IF(D132&lt;=19,3*D132,IF(D132&lt;=50,ROUNDUP(2.5*D132,0),2*D132))*Premissas!$B$29+IF(C132="Micro",G132*(Premissas!$B$31+Premissas!$B$32+4*Premissas!$B$30),G132*(INDEX(Premissas!$B$40:$B$71,MATCH(F132,Premissas!$A$40:$A$71,0))+INDEX(Premissas!$C$40:$C$71,MATCH(F132,Premissas!$A$40:$A$71,0))*Premissas!$B$30)))</f>
        <v/>
      </c>
      <c r="K132" s="24">
        <f>IF(J132&lt;Premissas!$B$36,MAX(Premissas!$B$33,J132*Premissas!$B$34),J132*Premissas!$B$35)</f>
        <v/>
      </c>
      <c r="L132" s="24">
        <f>ROUND(J132+K132,2)</f>
        <v/>
      </c>
      <c r="M132" s="24">
        <f>D132*Premissas!$B$8+Premissas!$B$9+Premissas!$B$10+Premissas!$B$11+Premissas!$B$12+ROUND(Premissas!$B$13*E132,2)</f>
        <v/>
      </c>
      <c r="N132" s="25">
        <f>ROUNDUP((L132+M132-Premissas!$B$5*L132)/(1-Premissas!$B$6-Premissas!$B$7-Premissas!$B$5-Premissas!$B$14),2)</f>
        <v/>
      </c>
      <c r="O132" s="24">
        <f>ROUND(IF(N132&lt;=30000,N132*(1+Premissas!$B$21),N132+Premissas!$B$21*30000*SQRT(N132/30000)),2)</f>
        <v/>
      </c>
      <c r="P132" s="24">
        <f>N132-I132</f>
        <v/>
      </c>
      <c r="Q132" s="26">
        <f>P132/I132</f>
        <v/>
      </c>
      <c r="R132" s="26">
        <f>(I132-L132-Premissas!$B$5*(I132-L132)-(Premissas!$B$6+Premissas!$B$7)*I132-M132)/I132</f>
        <v/>
      </c>
      <c r="S132" s="24">
        <f>ROUND((CEILING((L132*Premissas!$B$17/Premissas!$B$18-97)/100,1)*100+97)*Premissas!$B$18,2)</f>
        <v/>
      </c>
    </row>
    <row r="133">
      <c r="A133" s="17" t="inlineStr">
        <is>
          <t>KIT 147 MOD. 620W + INV. CHINT 75KW</t>
        </is>
      </c>
      <c r="B133" s="17" t="inlineStr">
        <is>
          <t>CHINT</t>
        </is>
      </c>
      <c r="C133" s="17" t="inlineStr">
        <is>
          <t>Inversor</t>
        </is>
      </c>
      <c r="D133" s="21" t="n">
        <v>147</v>
      </c>
      <c r="E133" s="30" t="n">
        <v>91.14</v>
      </c>
      <c r="F133" s="20" t="inlineStr">
        <is>
          <t>CHINT SCA75K-T-SA TRI 220V</t>
        </is>
      </c>
      <c r="G133" s="21" t="n">
        <v>1</v>
      </c>
      <c r="H133" s="17" t="inlineStr">
        <is>
          <t>Sim</t>
        </is>
      </c>
      <c r="I133" s="23" t="n">
        <v>208211.85</v>
      </c>
      <c r="J133" s="24">
        <f>(D133*Premissas!$B$24+(2*ROUNDUP(D133/2,0))*Premissas!$B$26+INT((2*ROUNDUP(D133/2,0))/4)*Premissas!$B$27+MOD((2*ROUNDUP(D133/2,0)),4)/2*Premissas!$B$28+2*IF(D133&lt;=19,3*D133,IF(D133&lt;=50,ROUNDUP(2.5*D133,0),2*D133))*Premissas!$B$29+IF(C133="Micro",G133*(Premissas!$B$31+Premissas!$B$32+4*Premissas!$B$30),G133*(INDEX(Premissas!$B$40:$B$71,MATCH(F133,Premissas!$A$40:$A$71,0))+INDEX(Premissas!$C$40:$C$71,MATCH(F133,Premissas!$A$40:$A$71,0))*Premissas!$B$30)))</f>
        <v/>
      </c>
      <c r="K133" s="24">
        <f>IF(J133&lt;Premissas!$B$36,MAX(Premissas!$B$33,J133*Premissas!$B$34),J133*Premissas!$B$35)</f>
        <v/>
      </c>
      <c r="L133" s="24">
        <f>ROUND(J133+K133,2)</f>
        <v/>
      </c>
      <c r="M133" s="24">
        <f>D133*Premissas!$B$8+Premissas!$B$9+Premissas!$B$10+Premissas!$B$11+Premissas!$B$12+ROUND(Premissas!$B$13*E133,2)</f>
        <v/>
      </c>
      <c r="N133" s="25">
        <f>ROUNDUP((L133+M133-Premissas!$B$5*L133)/(1-Premissas!$B$6-Premissas!$B$7-Premissas!$B$5-Premissas!$B$14),2)</f>
        <v/>
      </c>
      <c r="O133" s="24">
        <f>ROUND(IF(N133&lt;=30000,N133*(1+Premissas!$B$21),N133+Premissas!$B$21*30000*SQRT(N133/30000)),2)</f>
        <v/>
      </c>
      <c r="P133" s="24">
        <f>N133-I133</f>
        <v/>
      </c>
      <c r="Q133" s="26">
        <f>P133/I133</f>
        <v/>
      </c>
      <c r="R133" s="26">
        <f>(I133-L133-Premissas!$B$5*(I133-L133)-(Premissas!$B$6+Premissas!$B$7)*I133-M133)/I133</f>
        <v/>
      </c>
      <c r="S133" s="24">
        <f>ROUND((CEILING((L133*Premissas!$B$17/Premissas!$B$18-97)/100,1)*100+97)*Premissas!$B$18,2)</f>
        <v/>
      </c>
    </row>
    <row r="134">
      <c r="A134" s="17" t="inlineStr">
        <is>
          <t>KIT 148 MOD. 620W + INV. CHINT 75KW</t>
        </is>
      </c>
      <c r="B134" s="17" t="inlineStr">
        <is>
          <t>CHINT</t>
        </is>
      </c>
      <c r="C134" s="17" t="inlineStr">
        <is>
          <t>Inversor</t>
        </is>
      </c>
      <c r="D134" s="21" t="n">
        <v>148</v>
      </c>
      <c r="E134" s="30" t="n">
        <v>91.76000000000001</v>
      </c>
      <c r="F134" s="20" t="inlineStr">
        <is>
          <t>CHINT SCA75K-T-SA TRI 220V</t>
        </is>
      </c>
      <c r="G134" s="21" t="n">
        <v>1</v>
      </c>
      <c r="H134" s="17" t="inlineStr">
        <is>
          <t>Sim</t>
        </is>
      </c>
      <c r="I134" s="23" t="n">
        <v>209261.85</v>
      </c>
      <c r="J134" s="24">
        <f>(D134*Premissas!$B$24+(2*ROUNDUP(D134/2,0))*Premissas!$B$26+INT((2*ROUNDUP(D134/2,0))/4)*Premissas!$B$27+MOD((2*ROUNDUP(D134/2,0)),4)/2*Premissas!$B$28+2*IF(D134&lt;=19,3*D134,IF(D134&lt;=50,ROUNDUP(2.5*D134,0),2*D134))*Premissas!$B$29+IF(C134="Micro",G134*(Premissas!$B$31+Premissas!$B$32+4*Premissas!$B$30),G134*(INDEX(Premissas!$B$40:$B$71,MATCH(F134,Premissas!$A$40:$A$71,0))+INDEX(Premissas!$C$40:$C$71,MATCH(F134,Premissas!$A$40:$A$71,0))*Premissas!$B$30)))</f>
        <v/>
      </c>
      <c r="K134" s="24">
        <f>IF(J134&lt;Premissas!$B$36,MAX(Premissas!$B$33,J134*Premissas!$B$34),J134*Premissas!$B$35)</f>
        <v/>
      </c>
      <c r="L134" s="24">
        <f>ROUND(J134+K134,2)</f>
        <v/>
      </c>
      <c r="M134" s="24">
        <f>D134*Premissas!$B$8+Premissas!$B$9+Premissas!$B$10+Premissas!$B$11+Premissas!$B$12+ROUND(Premissas!$B$13*E134,2)</f>
        <v/>
      </c>
      <c r="N134" s="25">
        <f>ROUNDUP((L134+M134-Premissas!$B$5*L134)/(1-Premissas!$B$6-Premissas!$B$7-Premissas!$B$5-Premissas!$B$14),2)</f>
        <v/>
      </c>
      <c r="O134" s="24">
        <f>ROUND(IF(N134&lt;=30000,N134*(1+Premissas!$B$21),N134+Premissas!$B$21*30000*SQRT(N134/30000)),2)</f>
        <v/>
      </c>
      <c r="P134" s="24">
        <f>N134-I134</f>
        <v/>
      </c>
      <c r="Q134" s="26">
        <f>P134/I134</f>
        <v/>
      </c>
      <c r="R134" s="26">
        <f>(I134-L134-Premissas!$B$5*(I134-L134)-(Premissas!$B$6+Premissas!$B$7)*I134-M134)/I134</f>
        <v/>
      </c>
      <c r="S134" s="24">
        <f>ROUND((CEILING((L134*Premissas!$B$17/Premissas!$B$18-97)/100,1)*100+97)*Premissas!$B$18,2)</f>
        <v/>
      </c>
    </row>
    <row r="135">
      <c r="A135" s="17" t="inlineStr">
        <is>
          <t>KIT 149 MOD. 620W + INV. CHINT 75KW</t>
        </is>
      </c>
      <c r="B135" s="17" t="inlineStr">
        <is>
          <t>CHINT</t>
        </is>
      </c>
      <c r="C135" s="17" t="inlineStr">
        <is>
          <t>Inversor</t>
        </is>
      </c>
      <c r="D135" s="21" t="n">
        <v>149</v>
      </c>
      <c r="E135" s="30" t="n">
        <v>92.38</v>
      </c>
      <c r="F135" s="20" t="inlineStr">
        <is>
          <t>CHINT SCA75K-T-SA TRI 220V</t>
        </is>
      </c>
      <c r="G135" s="21" t="n">
        <v>1</v>
      </c>
      <c r="H135" s="17" t="inlineStr">
        <is>
          <t>Sim</t>
        </is>
      </c>
      <c r="I135" s="23" t="n">
        <v>210521.85</v>
      </c>
      <c r="J135" s="24">
        <f>(D135*Premissas!$B$24+(2*ROUNDUP(D135/2,0))*Premissas!$B$26+INT((2*ROUNDUP(D135/2,0))/4)*Premissas!$B$27+MOD((2*ROUNDUP(D135/2,0)),4)/2*Premissas!$B$28+2*IF(D135&lt;=19,3*D135,IF(D135&lt;=50,ROUNDUP(2.5*D135,0),2*D135))*Premissas!$B$29+IF(C135="Micro",G135*(Premissas!$B$31+Premissas!$B$32+4*Premissas!$B$30),G135*(INDEX(Premissas!$B$40:$B$71,MATCH(F135,Premissas!$A$40:$A$71,0))+INDEX(Premissas!$C$40:$C$71,MATCH(F135,Premissas!$A$40:$A$71,0))*Premissas!$B$30)))</f>
        <v/>
      </c>
      <c r="K135" s="24">
        <f>IF(J135&lt;Premissas!$B$36,MAX(Premissas!$B$33,J135*Premissas!$B$34),J135*Premissas!$B$35)</f>
        <v/>
      </c>
      <c r="L135" s="24">
        <f>ROUND(J135+K135,2)</f>
        <v/>
      </c>
      <c r="M135" s="24">
        <f>D135*Premissas!$B$8+Premissas!$B$9+Premissas!$B$10+Premissas!$B$11+Premissas!$B$12+ROUND(Premissas!$B$13*E135,2)</f>
        <v/>
      </c>
      <c r="N135" s="25">
        <f>ROUNDUP((L135+M135-Premissas!$B$5*L135)/(1-Premissas!$B$6-Premissas!$B$7-Premissas!$B$5-Premissas!$B$14),2)</f>
        <v/>
      </c>
      <c r="O135" s="24">
        <f>ROUND(IF(N135&lt;=30000,N135*(1+Premissas!$B$21),N135+Premissas!$B$21*30000*SQRT(N135/30000)),2)</f>
        <v/>
      </c>
      <c r="P135" s="24">
        <f>N135-I135</f>
        <v/>
      </c>
      <c r="Q135" s="26">
        <f>P135/I135</f>
        <v/>
      </c>
      <c r="R135" s="26">
        <f>(I135-L135-Premissas!$B$5*(I135-L135)-(Premissas!$B$6+Premissas!$B$7)*I135-M135)/I135</f>
        <v/>
      </c>
      <c r="S135" s="24">
        <f>ROUND((CEILING((L135*Premissas!$B$17/Premissas!$B$18-97)/100,1)*100+97)*Premissas!$B$18,2)</f>
        <v/>
      </c>
    </row>
    <row r="136">
      <c r="A136" s="17" t="inlineStr">
        <is>
          <t>KIT 150 MOD. 620W + INV. CHINT 75KW</t>
        </is>
      </c>
      <c r="B136" s="17" t="inlineStr">
        <is>
          <t>CHINT</t>
        </is>
      </c>
      <c r="C136" s="17" t="inlineStr">
        <is>
          <t>Inversor</t>
        </is>
      </c>
      <c r="D136" s="21" t="n">
        <v>150</v>
      </c>
      <c r="E136" s="30" t="n">
        <v>93</v>
      </c>
      <c r="F136" s="20" t="inlineStr">
        <is>
          <t>CHINT SCA75K-T-SA TRI 220V</t>
        </is>
      </c>
      <c r="G136" s="21" t="n">
        <v>1</v>
      </c>
      <c r="H136" s="17" t="inlineStr">
        <is>
          <t>Sim</t>
        </is>
      </c>
      <c r="I136" s="23" t="n">
        <v>211571.85</v>
      </c>
      <c r="J136" s="24">
        <f>(D136*Premissas!$B$24+(2*ROUNDUP(D136/2,0))*Premissas!$B$26+INT((2*ROUNDUP(D136/2,0))/4)*Premissas!$B$27+MOD((2*ROUNDUP(D136/2,0)),4)/2*Premissas!$B$28+2*IF(D136&lt;=19,3*D136,IF(D136&lt;=50,ROUNDUP(2.5*D136,0),2*D136))*Premissas!$B$29+IF(C136="Micro",G136*(Premissas!$B$31+Premissas!$B$32+4*Premissas!$B$30),G136*(INDEX(Premissas!$B$40:$B$71,MATCH(F136,Premissas!$A$40:$A$71,0))+INDEX(Premissas!$C$40:$C$71,MATCH(F136,Premissas!$A$40:$A$71,0))*Premissas!$B$30)))</f>
        <v/>
      </c>
      <c r="K136" s="24">
        <f>IF(J136&lt;Premissas!$B$36,MAX(Premissas!$B$33,J136*Premissas!$B$34),J136*Premissas!$B$35)</f>
        <v/>
      </c>
      <c r="L136" s="24">
        <f>ROUND(J136+K136,2)</f>
        <v/>
      </c>
      <c r="M136" s="24">
        <f>D136*Premissas!$B$8+Premissas!$B$9+Premissas!$B$10+Premissas!$B$11+Premissas!$B$12+ROUND(Premissas!$B$13*E136,2)</f>
        <v/>
      </c>
      <c r="N136" s="25">
        <f>ROUNDUP((L136+M136-Premissas!$B$5*L136)/(1-Premissas!$B$6-Premissas!$B$7-Premissas!$B$5-Premissas!$B$14),2)</f>
        <v/>
      </c>
      <c r="O136" s="24">
        <f>ROUND(IF(N136&lt;=30000,N136*(1+Premissas!$B$21),N136+Premissas!$B$21*30000*SQRT(N136/30000)),2)</f>
        <v/>
      </c>
      <c r="P136" s="24">
        <f>N136-I136</f>
        <v/>
      </c>
      <c r="Q136" s="26">
        <f>P136/I136</f>
        <v/>
      </c>
      <c r="R136" s="26">
        <f>(I136-L136-Premissas!$B$5*(I136-L136)-(Premissas!$B$6+Premissas!$B$7)*I136-M136)/I136</f>
        <v/>
      </c>
      <c r="S136" s="24">
        <f>ROUND((CEILING((L136*Premissas!$B$17/Premissas!$B$18-97)/100,1)*100+97)*Premissas!$B$18,2)</f>
        <v/>
      </c>
    </row>
    <row r="137">
      <c r="A137" s="17" t="inlineStr">
        <is>
          <t>KIT 29 MOD. 620W + INV. FRONIUS 15KW</t>
        </is>
      </c>
      <c r="B137" s="17" t="inlineStr">
        <is>
          <t>FRONIUS</t>
        </is>
      </c>
      <c r="C137" s="17" t="inlineStr">
        <is>
          <t>Inversor</t>
        </is>
      </c>
      <c r="D137" s="21" t="n">
        <v>29</v>
      </c>
      <c r="E137" s="30" t="n">
        <v>17.98</v>
      </c>
      <c r="F137" s="20" t="inlineStr">
        <is>
          <t>FRONIUS SYMO BRASIL 15.0-3 208</t>
        </is>
      </c>
      <c r="G137" s="21" t="n">
        <v>1</v>
      </c>
      <c r="H137" s="17" t="inlineStr">
        <is>
          <t>Sim</t>
        </is>
      </c>
      <c r="I137" s="23" t="n">
        <v>42416.85</v>
      </c>
      <c r="J137" s="24">
        <f>(D137*Premissas!$B$24+(2*ROUNDUP(D137/2,0))*Premissas!$B$26+INT((2*ROUNDUP(D137/2,0))/4)*Premissas!$B$27+MOD((2*ROUNDUP(D137/2,0)),4)/2*Premissas!$B$28+2*IF(D137&lt;=19,3*D137,IF(D137&lt;=50,ROUNDUP(2.5*D137,0),2*D137))*Premissas!$B$29+IF(C137="Micro",G137*(Premissas!$B$31+Premissas!$B$32+4*Premissas!$B$30),G137*(INDEX(Premissas!$B$40:$B$71,MATCH(F137,Premissas!$A$40:$A$71,0))+INDEX(Premissas!$C$40:$C$71,MATCH(F137,Premissas!$A$40:$A$71,0))*Premissas!$B$30)))</f>
        <v/>
      </c>
      <c r="K137" s="24">
        <f>IF(J137&lt;Premissas!$B$36,MAX(Premissas!$B$33,J137*Premissas!$B$34),J137*Premissas!$B$35)</f>
        <v/>
      </c>
      <c r="L137" s="24">
        <f>ROUND(J137+K137,2)</f>
        <v/>
      </c>
      <c r="M137" s="24">
        <f>D137*Premissas!$B$8+Premissas!$B$9+Premissas!$B$10+Premissas!$B$11+Premissas!$B$12+ROUND(Premissas!$B$13*E137,2)</f>
        <v/>
      </c>
      <c r="N137" s="25">
        <f>ROUNDUP((L137+M137-Premissas!$B$5*L137)/(1-Premissas!$B$6-Premissas!$B$7-Premissas!$B$5-Premissas!$B$14),2)</f>
        <v/>
      </c>
      <c r="O137" s="24">
        <f>ROUND(IF(N137&lt;=30000,N137*(1+Premissas!$B$21),N137+Premissas!$B$21*30000*SQRT(N137/30000)),2)</f>
        <v/>
      </c>
      <c r="P137" s="24">
        <f>N137-I137</f>
        <v/>
      </c>
      <c r="Q137" s="26">
        <f>P137/I137</f>
        <v/>
      </c>
      <c r="R137" s="26">
        <f>(I137-L137-Premissas!$B$5*(I137-L137)-(Premissas!$B$6+Premissas!$B$7)*I137-M137)/I137</f>
        <v/>
      </c>
      <c r="S137" s="24">
        <f>ROUND((CEILING((L137*Premissas!$B$17/Premissas!$B$18-97)/100,1)*100+97)*Premissas!$B$18,2)</f>
        <v/>
      </c>
    </row>
    <row r="138">
      <c r="A138" s="17" t="inlineStr">
        <is>
          <t>KIT 30 MOD. 620W + INV. FRONIUS 15KW</t>
        </is>
      </c>
      <c r="B138" s="17" t="inlineStr">
        <is>
          <t>FRONIUS</t>
        </is>
      </c>
      <c r="C138" s="17" t="inlineStr">
        <is>
          <t>Inversor</t>
        </is>
      </c>
      <c r="D138" s="21" t="n">
        <v>30</v>
      </c>
      <c r="E138" s="30" t="n">
        <v>18.6</v>
      </c>
      <c r="F138" s="20" t="inlineStr">
        <is>
          <t>FRONIUS SYMO BRASIL 15.0-3 208</t>
        </is>
      </c>
      <c r="G138" s="21" t="n">
        <v>1</v>
      </c>
      <c r="H138" s="17" t="inlineStr">
        <is>
          <t>Sim</t>
        </is>
      </c>
      <c r="I138" s="23" t="n">
        <v>43466.85</v>
      </c>
      <c r="J138" s="24">
        <f>(D138*Premissas!$B$24+(2*ROUNDUP(D138/2,0))*Premissas!$B$26+INT((2*ROUNDUP(D138/2,0))/4)*Premissas!$B$27+MOD((2*ROUNDUP(D138/2,0)),4)/2*Premissas!$B$28+2*IF(D138&lt;=19,3*D138,IF(D138&lt;=50,ROUNDUP(2.5*D138,0),2*D138))*Premissas!$B$29+IF(C138="Micro",G138*(Premissas!$B$31+Premissas!$B$32+4*Premissas!$B$30),G138*(INDEX(Premissas!$B$40:$B$71,MATCH(F138,Premissas!$A$40:$A$71,0))+INDEX(Premissas!$C$40:$C$71,MATCH(F138,Premissas!$A$40:$A$71,0))*Premissas!$B$30)))</f>
        <v/>
      </c>
      <c r="K138" s="24">
        <f>IF(J138&lt;Premissas!$B$36,MAX(Premissas!$B$33,J138*Premissas!$B$34),J138*Premissas!$B$35)</f>
        <v/>
      </c>
      <c r="L138" s="24">
        <f>ROUND(J138+K138,2)</f>
        <v/>
      </c>
      <c r="M138" s="24">
        <f>D138*Premissas!$B$8+Premissas!$B$9+Premissas!$B$10+Premissas!$B$11+Premissas!$B$12+ROUND(Premissas!$B$13*E138,2)</f>
        <v/>
      </c>
      <c r="N138" s="25">
        <f>ROUNDUP((L138+M138-Premissas!$B$5*L138)/(1-Premissas!$B$6-Premissas!$B$7-Premissas!$B$5-Premissas!$B$14),2)</f>
        <v/>
      </c>
      <c r="O138" s="24">
        <f>ROUND(IF(N138&lt;=30000,N138*(1+Premissas!$B$21),N138+Premissas!$B$21*30000*SQRT(N138/30000)),2)</f>
        <v/>
      </c>
      <c r="P138" s="24">
        <f>N138-I138</f>
        <v/>
      </c>
      <c r="Q138" s="26">
        <f>P138/I138</f>
        <v/>
      </c>
      <c r="R138" s="26">
        <f>(I138-L138-Premissas!$B$5*(I138-L138)-(Premissas!$B$6+Premissas!$B$7)*I138-M138)/I138</f>
        <v/>
      </c>
      <c r="S138" s="24">
        <f>ROUND((CEILING((L138*Premissas!$B$17/Premissas!$B$18-97)/100,1)*100+97)*Premissas!$B$18,2)</f>
        <v/>
      </c>
    </row>
    <row r="139">
      <c r="A139" s="17" t="inlineStr">
        <is>
          <t>KIT 31 MOD. 620W + INV. FRONIUS 15KW</t>
        </is>
      </c>
      <c r="B139" s="17" t="inlineStr">
        <is>
          <t>FRONIUS</t>
        </is>
      </c>
      <c r="C139" s="17" t="inlineStr">
        <is>
          <t>Inversor</t>
        </is>
      </c>
      <c r="D139" s="21" t="n">
        <v>31</v>
      </c>
      <c r="E139" s="30" t="n">
        <v>19.22</v>
      </c>
      <c r="F139" s="20" t="inlineStr">
        <is>
          <t>FRONIUS SYMO BRASIL 15.0-3 208</t>
        </is>
      </c>
      <c r="G139" s="21" t="n">
        <v>1</v>
      </c>
      <c r="H139" s="17" t="inlineStr">
        <is>
          <t>Sim</t>
        </is>
      </c>
      <c r="I139" s="23" t="n">
        <v>44831.85</v>
      </c>
      <c r="J139" s="24">
        <f>(D139*Premissas!$B$24+(2*ROUNDUP(D139/2,0))*Premissas!$B$26+INT((2*ROUNDUP(D139/2,0))/4)*Premissas!$B$27+MOD((2*ROUNDUP(D139/2,0)),4)/2*Premissas!$B$28+2*IF(D139&lt;=19,3*D139,IF(D139&lt;=50,ROUNDUP(2.5*D139,0),2*D139))*Premissas!$B$29+IF(C139="Micro",G139*(Premissas!$B$31+Premissas!$B$32+4*Premissas!$B$30),G139*(INDEX(Premissas!$B$40:$B$71,MATCH(F139,Premissas!$A$40:$A$71,0))+INDEX(Premissas!$C$40:$C$71,MATCH(F139,Premissas!$A$40:$A$71,0))*Premissas!$B$30)))</f>
        <v/>
      </c>
      <c r="K139" s="24">
        <f>IF(J139&lt;Premissas!$B$36,MAX(Premissas!$B$33,J139*Premissas!$B$34),J139*Premissas!$B$35)</f>
        <v/>
      </c>
      <c r="L139" s="24">
        <f>ROUND(J139+K139,2)</f>
        <v/>
      </c>
      <c r="M139" s="24">
        <f>D139*Premissas!$B$8+Premissas!$B$9+Premissas!$B$10+Premissas!$B$11+Premissas!$B$12+ROUND(Premissas!$B$13*E139,2)</f>
        <v/>
      </c>
      <c r="N139" s="25">
        <f>ROUNDUP((L139+M139-Premissas!$B$5*L139)/(1-Premissas!$B$6-Premissas!$B$7-Premissas!$B$5-Premissas!$B$14),2)</f>
        <v/>
      </c>
      <c r="O139" s="24">
        <f>ROUND(IF(N139&lt;=30000,N139*(1+Premissas!$B$21),N139+Premissas!$B$21*30000*SQRT(N139/30000)),2)</f>
        <v/>
      </c>
      <c r="P139" s="24">
        <f>N139-I139</f>
        <v/>
      </c>
      <c r="Q139" s="26">
        <f>P139/I139</f>
        <v/>
      </c>
      <c r="R139" s="26">
        <f>(I139-L139-Premissas!$B$5*(I139-L139)-(Premissas!$B$6+Premissas!$B$7)*I139-M139)/I139</f>
        <v/>
      </c>
      <c r="S139" s="24">
        <f>ROUND((CEILING((L139*Premissas!$B$17/Premissas!$B$18-97)/100,1)*100+97)*Premissas!$B$18,2)</f>
        <v/>
      </c>
    </row>
    <row r="140">
      <c r="A140" s="17" t="inlineStr">
        <is>
          <t>KIT 32 MOD. 620W + INV. FRONIUS 15KW</t>
        </is>
      </c>
      <c r="B140" s="17" t="inlineStr">
        <is>
          <t>FRONIUS</t>
        </is>
      </c>
      <c r="C140" s="17" t="inlineStr">
        <is>
          <t>Inversor</t>
        </is>
      </c>
      <c r="D140" s="21" t="n">
        <v>32</v>
      </c>
      <c r="E140" s="30" t="n">
        <v>19.84</v>
      </c>
      <c r="F140" s="20" t="inlineStr">
        <is>
          <t>FRONIUS SYMO BRASIL 15.0-3 208</t>
        </is>
      </c>
      <c r="G140" s="21" t="n">
        <v>1</v>
      </c>
      <c r="H140" s="17" t="inlineStr">
        <is>
          <t>Sim</t>
        </is>
      </c>
      <c r="I140" s="23" t="n">
        <v>45881.85</v>
      </c>
      <c r="J140" s="24">
        <f>(D140*Premissas!$B$24+(2*ROUNDUP(D140/2,0))*Premissas!$B$26+INT((2*ROUNDUP(D140/2,0))/4)*Premissas!$B$27+MOD((2*ROUNDUP(D140/2,0)),4)/2*Premissas!$B$28+2*IF(D140&lt;=19,3*D140,IF(D140&lt;=50,ROUNDUP(2.5*D140,0),2*D140))*Premissas!$B$29+IF(C140="Micro",G140*(Premissas!$B$31+Premissas!$B$32+4*Premissas!$B$30),G140*(INDEX(Premissas!$B$40:$B$71,MATCH(F140,Premissas!$A$40:$A$71,0))+INDEX(Premissas!$C$40:$C$71,MATCH(F140,Premissas!$A$40:$A$71,0))*Premissas!$B$30)))</f>
        <v/>
      </c>
      <c r="K140" s="24">
        <f>IF(J140&lt;Premissas!$B$36,MAX(Premissas!$B$33,J140*Premissas!$B$34),J140*Premissas!$B$35)</f>
        <v/>
      </c>
      <c r="L140" s="24">
        <f>ROUND(J140+K140,2)</f>
        <v/>
      </c>
      <c r="M140" s="24">
        <f>D140*Premissas!$B$8+Premissas!$B$9+Premissas!$B$10+Premissas!$B$11+Premissas!$B$12+ROUND(Premissas!$B$13*E140,2)</f>
        <v/>
      </c>
      <c r="N140" s="25">
        <f>ROUNDUP((L140+M140-Premissas!$B$5*L140)/(1-Premissas!$B$6-Premissas!$B$7-Premissas!$B$5-Premissas!$B$14),2)</f>
        <v/>
      </c>
      <c r="O140" s="24">
        <f>ROUND(IF(N140&lt;=30000,N140*(1+Premissas!$B$21),N140+Premissas!$B$21*30000*SQRT(N140/30000)),2)</f>
        <v/>
      </c>
      <c r="P140" s="24">
        <f>N140-I140</f>
        <v/>
      </c>
      <c r="Q140" s="26">
        <f>P140/I140</f>
        <v/>
      </c>
      <c r="R140" s="26">
        <f>(I140-L140-Premissas!$B$5*(I140-L140)-(Premissas!$B$6+Premissas!$B$7)*I140-M140)/I140</f>
        <v/>
      </c>
      <c r="S140" s="24">
        <f>ROUND((CEILING((L140*Premissas!$B$17/Premissas!$B$18-97)/100,1)*100+97)*Premissas!$B$18,2)</f>
        <v/>
      </c>
    </row>
    <row r="141">
      <c r="A141" s="17" t="inlineStr">
        <is>
          <t>KIT 33 MOD. 620W + INV. FRONIUS 15KW</t>
        </is>
      </c>
      <c r="B141" s="17" t="inlineStr">
        <is>
          <t>FRONIUS</t>
        </is>
      </c>
      <c r="C141" s="17" t="inlineStr">
        <is>
          <t>Inversor</t>
        </is>
      </c>
      <c r="D141" s="21" t="n">
        <v>33</v>
      </c>
      <c r="E141" s="30" t="n">
        <v>20.46</v>
      </c>
      <c r="F141" s="20" t="inlineStr">
        <is>
          <t>FRONIUS SYMO BRASIL 15.0-3 208</t>
        </is>
      </c>
      <c r="G141" s="21" t="n">
        <v>1</v>
      </c>
      <c r="H141" s="17" t="inlineStr">
        <is>
          <t>Sim</t>
        </is>
      </c>
      <c r="I141" s="23" t="n">
        <v>46931.85</v>
      </c>
      <c r="J141" s="24">
        <f>(D141*Premissas!$B$24+(2*ROUNDUP(D141/2,0))*Premissas!$B$26+INT((2*ROUNDUP(D141/2,0))/4)*Premissas!$B$27+MOD((2*ROUNDUP(D141/2,0)),4)/2*Premissas!$B$28+2*IF(D141&lt;=19,3*D141,IF(D141&lt;=50,ROUNDUP(2.5*D141,0),2*D141))*Premissas!$B$29+IF(C141="Micro",G141*(Premissas!$B$31+Premissas!$B$32+4*Premissas!$B$30),G141*(INDEX(Premissas!$B$40:$B$71,MATCH(F141,Premissas!$A$40:$A$71,0))+INDEX(Premissas!$C$40:$C$71,MATCH(F141,Premissas!$A$40:$A$71,0))*Premissas!$B$30)))</f>
        <v/>
      </c>
      <c r="K141" s="24">
        <f>IF(J141&lt;Premissas!$B$36,MAX(Premissas!$B$33,J141*Premissas!$B$34),J141*Premissas!$B$35)</f>
        <v/>
      </c>
      <c r="L141" s="24">
        <f>ROUND(J141+K141,2)</f>
        <v/>
      </c>
      <c r="M141" s="24">
        <f>D141*Premissas!$B$8+Premissas!$B$9+Premissas!$B$10+Premissas!$B$11+Premissas!$B$12+ROUND(Premissas!$B$13*E141,2)</f>
        <v/>
      </c>
      <c r="N141" s="25">
        <f>ROUNDUP((L141+M141-Premissas!$B$5*L141)/(1-Premissas!$B$6-Premissas!$B$7-Premissas!$B$5-Premissas!$B$14),2)</f>
        <v/>
      </c>
      <c r="O141" s="24">
        <f>ROUND(IF(N141&lt;=30000,N141*(1+Premissas!$B$21),N141+Premissas!$B$21*30000*SQRT(N141/30000)),2)</f>
        <v/>
      </c>
      <c r="P141" s="24">
        <f>N141-I141</f>
        <v/>
      </c>
      <c r="Q141" s="26">
        <f>P141/I141</f>
        <v/>
      </c>
      <c r="R141" s="26">
        <f>(I141-L141-Premissas!$B$5*(I141-L141)-(Premissas!$B$6+Premissas!$B$7)*I141-M141)/I141</f>
        <v/>
      </c>
      <c r="S141" s="24">
        <f>ROUND((CEILING((L141*Premissas!$B$17/Premissas!$B$18-97)/100,1)*100+97)*Premissas!$B$18,2)</f>
        <v/>
      </c>
    </row>
    <row r="142">
      <c r="A142" s="17" t="inlineStr">
        <is>
          <t>KIT 34 MOD. 620W + INV. FRONIUS 15KW</t>
        </is>
      </c>
      <c r="B142" s="17" t="inlineStr">
        <is>
          <t>FRONIUS</t>
        </is>
      </c>
      <c r="C142" s="17" t="inlineStr">
        <is>
          <t>Inversor</t>
        </is>
      </c>
      <c r="D142" s="21" t="n">
        <v>34</v>
      </c>
      <c r="E142" s="30" t="n">
        <v>21.08</v>
      </c>
      <c r="F142" s="20" t="inlineStr">
        <is>
          <t>FRONIUS SYMO BRASIL 15.0-3 208</t>
        </is>
      </c>
      <c r="G142" s="21" t="n">
        <v>1</v>
      </c>
      <c r="H142" s="17" t="inlineStr">
        <is>
          <t>Sim</t>
        </is>
      </c>
      <c r="I142" s="23" t="n">
        <v>47876.85</v>
      </c>
      <c r="J142" s="24">
        <f>(D142*Premissas!$B$24+(2*ROUNDUP(D142/2,0))*Premissas!$B$26+INT((2*ROUNDUP(D142/2,0))/4)*Premissas!$B$27+MOD((2*ROUNDUP(D142/2,0)),4)/2*Premissas!$B$28+2*IF(D142&lt;=19,3*D142,IF(D142&lt;=50,ROUNDUP(2.5*D142,0),2*D142))*Premissas!$B$29+IF(C142="Micro",G142*(Premissas!$B$31+Premissas!$B$32+4*Premissas!$B$30),G142*(INDEX(Premissas!$B$40:$B$71,MATCH(F142,Premissas!$A$40:$A$71,0))+INDEX(Premissas!$C$40:$C$71,MATCH(F142,Premissas!$A$40:$A$71,0))*Premissas!$B$30)))</f>
        <v/>
      </c>
      <c r="K142" s="24">
        <f>IF(J142&lt;Premissas!$B$36,MAX(Premissas!$B$33,J142*Premissas!$B$34),J142*Premissas!$B$35)</f>
        <v/>
      </c>
      <c r="L142" s="24">
        <f>ROUND(J142+K142,2)</f>
        <v/>
      </c>
      <c r="M142" s="24">
        <f>D142*Premissas!$B$8+Premissas!$B$9+Premissas!$B$10+Premissas!$B$11+Premissas!$B$12+ROUND(Premissas!$B$13*E142,2)</f>
        <v/>
      </c>
      <c r="N142" s="25">
        <f>ROUNDUP((L142+M142-Premissas!$B$5*L142)/(1-Premissas!$B$6-Premissas!$B$7-Premissas!$B$5-Premissas!$B$14),2)</f>
        <v/>
      </c>
      <c r="O142" s="24">
        <f>ROUND(IF(N142&lt;=30000,N142*(1+Premissas!$B$21),N142+Premissas!$B$21*30000*SQRT(N142/30000)),2)</f>
        <v/>
      </c>
      <c r="P142" s="24">
        <f>N142-I142</f>
        <v/>
      </c>
      <c r="Q142" s="26">
        <f>P142/I142</f>
        <v/>
      </c>
      <c r="R142" s="26">
        <f>(I142-L142-Premissas!$B$5*(I142-L142)-(Premissas!$B$6+Premissas!$B$7)*I142-M142)/I142</f>
        <v/>
      </c>
      <c r="S142" s="24">
        <f>ROUND((CEILING((L142*Premissas!$B$17/Premissas!$B$18-97)/100,1)*100+97)*Premissas!$B$18,2)</f>
        <v/>
      </c>
    </row>
    <row r="143">
      <c r="A143" s="17" t="inlineStr">
        <is>
          <t>KIT 35 MOD. 620W + INV. FRONIUS 15KW</t>
        </is>
      </c>
      <c r="B143" s="17" t="inlineStr">
        <is>
          <t>FRONIUS</t>
        </is>
      </c>
      <c r="C143" s="17" t="inlineStr">
        <is>
          <t>Inversor</t>
        </is>
      </c>
      <c r="D143" s="21" t="n">
        <v>35</v>
      </c>
      <c r="E143" s="30" t="n">
        <v>21.7</v>
      </c>
      <c r="F143" s="20" t="inlineStr">
        <is>
          <t>FRONIUS SYMO BRASIL 15.0-3 208</t>
        </is>
      </c>
      <c r="G143" s="21" t="n">
        <v>1</v>
      </c>
      <c r="H143" s="17" t="inlineStr">
        <is>
          <t>Sim</t>
        </is>
      </c>
      <c r="I143" s="23" t="n">
        <v>49241.85</v>
      </c>
      <c r="J143" s="24">
        <f>(D143*Premissas!$B$24+(2*ROUNDUP(D143/2,0))*Premissas!$B$26+INT((2*ROUNDUP(D143/2,0))/4)*Premissas!$B$27+MOD((2*ROUNDUP(D143/2,0)),4)/2*Premissas!$B$28+2*IF(D143&lt;=19,3*D143,IF(D143&lt;=50,ROUNDUP(2.5*D143,0),2*D143))*Premissas!$B$29+IF(C143="Micro",G143*(Premissas!$B$31+Premissas!$B$32+4*Premissas!$B$30),G143*(INDEX(Premissas!$B$40:$B$71,MATCH(F143,Premissas!$A$40:$A$71,0))+INDEX(Premissas!$C$40:$C$71,MATCH(F143,Premissas!$A$40:$A$71,0))*Premissas!$B$30)))</f>
        <v/>
      </c>
      <c r="K143" s="24">
        <f>IF(J143&lt;Premissas!$B$36,MAX(Premissas!$B$33,J143*Premissas!$B$34),J143*Premissas!$B$35)</f>
        <v/>
      </c>
      <c r="L143" s="24">
        <f>ROUND(J143+K143,2)</f>
        <v/>
      </c>
      <c r="M143" s="24">
        <f>D143*Premissas!$B$8+Premissas!$B$9+Premissas!$B$10+Premissas!$B$11+Premissas!$B$12+ROUND(Premissas!$B$13*E143,2)</f>
        <v/>
      </c>
      <c r="N143" s="25">
        <f>ROUNDUP((L143+M143-Premissas!$B$5*L143)/(1-Premissas!$B$6-Premissas!$B$7-Premissas!$B$5-Premissas!$B$14),2)</f>
        <v/>
      </c>
      <c r="O143" s="24">
        <f>ROUND(IF(N143&lt;=30000,N143*(1+Premissas!$B$21),N143+Premissas!$B$21*30000*SQRT(N143/30000)),2)</f>
        <v/>
      </c>
      <c r="P143" s="24">
        <f>N143-I143</f>
        <v/>
      </c>
      <c r="Q143" s="26">
        <f>P143/I143</f>
        <v/>
      </c>
      <c r="R143" s="26">
        <f>(I143-L143-Premissas!$B$5*(I143-L143)-(Premissas!$B$6+Premissas!$B$7)*I143-M143)/I143</f>
        <v/>
      </c>
      <c r="S143" s="24">
        <f>ROUND((CEILING((L143*Premissas!$B$17/Premissas!$B$18-97)/100,1)*100+97)*Premissas!$B$18,2)</f>
        <v/>
      </c>
    </row>
    <row r="144">
      <c r="A144" s="17" t="inlineStr">
        <is>
          <t>KIT 36 MOD. 620W + INV. FRONIUS 15KW</t>
        </is>
      </c>
      <c r="B144" s="17" t="inlineStr">
        <is>
          <t>FRONIUS</t>
        </is>
      </c>
      <c r="C144" s="17" t="inlineStr">
        <is>
          <t>Inversor</t>
        </is>
      </c>
      <c r="D144" s="21" t="n">
        <v>36</v>
      </c>
      <c r="E144" s="30" t="n">
        <v>22.32</v>
      </c>
      <c r="F144" s="20" t="inlineStr">
        <is>
          <t>FRONIUS SYMO BRASIL 15.0-3 208</t>
        </is>
      </c>
      <c r="G144" s="21" t="n">
        <v>1</v>
      </c>
      <c r="H144" s="17" t="inlineStr">
        <is>
          <t>Sim</t>
        </is>
      </c>
      <c r="I144" s="23" t="n">
        <v>50291.85</v>
      </c>
      <c r="J144" s="24">
        <f>(D144*Premissas!$B$24+(2*ROUNDUP(D144/2,0))*Premissas!$B$26+INT((2*ROUNDUP(D144/2,0))/4)*Premissas!$B$27+MOD((2*ROUNDUP(D144/2,0)),4)/2*Premissas!$B$28+2*IF(D144&lt;=19,3*D144,IF(D144&lt;=50,ROUNDUP(2.5*D144,0),2*D144))*Premissas!$B$29+IF(C144="Micro",G144*(Premissas!$B$31+Premissas!$B$32+4*Premissas!$B$30),G144*(INDEX(Premissas!$B$40:$B$71,MATCH(F144,Premissas!$A$40:$A$71,0))+INDEX(Premissas!$C$40:$C$71,MATCH(F144,Premissas!$A$40:$A$71,0))*Premissas!$B$30)))</f>
        <v/>
      </c>
      <c r="K144" s="24">
        <f>IF(J144&lt;Premissas!$B$36,MAX(Premissas!$B$33,J144*Premissas!$B$34),J144*Premissas!$B$35)</f>
        <v/>
      </c>
      <c r="L144" s="24">
        <f>ROUND(J144+K144,2)</f>
        <v/>
      </c>
      <c r="M144" s="24">
        <f>D144*Premissas!$B$8+Premissas!$B$9+Premissas!$B$10+Premissas!$B$11+Premissas!$B$12+ROUND(Premissas!$B$13*E144,2)</f>
        <v/>
      </c>
      <c r="N144" s="25">
        <f>ROUNDUP((L144+M144-Premissas!$B$5*L144)/(1-Premissas!$B$6-Premissas!$B$7-Premissas!$B$5-Premissas!$B$14),2)</f>
        <v/>
      </c>
      <c r="O144" s="24">
        <f>ROUND(IF(N144&lt;=30000,N144*(1+Premissas!$B$21),N144+Premissas!$B$21*30000*SQRT(N144/30000)),2)</f>
        <v/>
      </c>
      <c r="P144" s="24">
        <f>N144-I144</f>
        <v/>
      </c>
      <c r="Q144" s="26">
        <f>P144/I144</f>
        <v/>
      </c>
      <c r="R144" s="26">
        <f>(I144-L144-Premissas!$B$5*(I144-L144)-(Premissas!$B$6+Premissas!$B$7)*I144-M144)/I144</f>
        <v/>
      </c>
      <c r="S144" s="24">
        <f>ROUND((CEILING((L144*Premissas!$B$17/Premissas!$B$18-97)/100,1)*100+97)*Premissas!$B$18,2)</f>
        <v/>
      </c>
    </row>
    <row r="145">
      <c r="A145" s="17" t="inlineStr">
        <is>
          <t>KIT 5 MOD. 620W + INV. GOODWE 3KW</t>
        </is>
      </c>
      <c r="B145" s="17" t="inlineStr">
        <is>
          <t>GOODWE</t>
        </is>
      </c>
      <c r="C145" s="17" t="inlineStr">
        <is>
          <t>Inversor</t>
        </is>
      </c>
      <c r="D145" s="21" t="n">
        <v>5</v>
      </c>
      <c r="E145" s="30" t="n">
        <v>3.1</v>
      </c>
      <c r="F145" s="20" t="inlineStr">
        <is>
          <t>GOODWE 3KB-XS (GREY)</t>
        </is>
      </c>
      <c r="G145" s="21" t="n">
        <v>1</v>
      </c>
      <c r="H145" s="17" t="inlineStr">
        <is>
          <t>Sim</t>
        </is>
      </c>
      <c r="I145" s="23" t="n">
        <v>8291.85</v>
      </c>
      <c r="J145" s="24">
        <f>(D145*Premissas!$B$24+(2*ROUNDUP(D145/2,0))*Premissas!$B$26+INT((2*ROUNDUP(D145/2,0))/4)*Premissas!$B$27+MOD((2*ROUNDUP(D145/2,0)),4)/2*Premissas!$B$28+2*IF(D145&lt;=19,3*D145,IF(D145&lt;=50,ROUNDUP(2.5*D145,0),2*D145))*Premissas!$B$29+IF(C145="Micro",G145*(Premissas!$B$31+Premissas!$B$32+4*Premissas!$B$30),G145*(INDEX(Premissas!$B$40:$B$71,MATCH(F145,Premissas!$A$40:$A$71,0))+INDEX(Premissas!$C$40:$C$71,MATCH(F145,Premissas!$A$40:$A$71,0))*Premissas!$B$30)))</f>
        <v/>
      </c>
      <c r="K145" s="24">
        <f>IF(J145&lt;Premissas!$B$36,MAX(Premissas!$B$33,J145*Premissas!$B$34),J145*Premissas!$B$35)</f>
        <v/>
      </c>
      <c r="L145" s="24">
        <f>ROUND(J145+K145,2)</f>
        <v/>
      </c>
      <c r="M145" s="24">
        <f>D145*Premissas!$B$8+Premissas!$B$9+Premissas!$B$10+Premissas!$B$11+Premissas!$B$12+ROUND(Premissas!$B$13*E145,2)</f>
        <v/>
      </c>
      <c r="N145" s="25">
        <f>ROUNDUP((L145+M145-Premissas!$B$5*L145)/(1-Premissas!$B$6-Premissas!$B$7-Premissas!$B$5-Premissas!$B$14),2)</f>
        <v/>
      </c>
      <c r="O145" s="24">
        <f>ROUND(IF(N145&lt;=30000,N145*(1+Premissas!$B$21),N145+Premissas!$B$21*30000*SQRT(N145/30000)),2)</f>
        <v/>
      </c>
      <c r="P145" s="24">
        <f>N145-I145</f>
        <v/>
      </c>
      <c r="Q145" s="26">
        <f>P145/I145</f>
        <v/>
      </c>
      <c r="R145" s="26">
        <f>(I145-L145-Premissas!$B$5*(I145-L145)-(Premissas!$B$6+Premissas!$B$7)*I145-M145)/I145</f>
        <v/>
      </c>
      <c r="S145" s="24">
        <f>ROUND((CEILING((L145*Premissas!$B$17/Premissas!$B$18-97)/100,1)*100+97)*Premissas!$B$18,2)</f>
        <v/>
      </c>
    </row>
    <row r="146">
      <c r="A146" s="17" t="inlineStr">
        <is>
          <t>KIT 6 MOD. 620W + INV. GOODWE 3KW</t>
        </is>
      </c>
      <c r="B146" s="17" t="inlineStr">
        <is>
          <t>GOODWE</t>
        </is>
      </c>
      <c r="C146" s="17" t="inlineStr">
        <is>
          <t>Inversor</t>
        </is>
      </c>
      <c r="D146" s="21" t="n">
        <v>6</v>
      </c>
      <c r="E146" s="30" t="n">
        <v>3.72</v>
      </c>
      <c r="F146" s="20" t="inlineStr">
        <is>
          <t>GOODWE 3KB-XS (GREY)</t>
        </is>
      </c>
      <c r="G146" s="21" t="n">
        <v>1</v>
      </c>
      <c r="H146" s="17" t="inlineStr">
        <is>
          <t>Sim</t>
        </is>
      </c>
      <c r="I146" s="23" t="n">
        <v>9341.85</v>
      </c>
      <c r="J146" s="24">
        <f>(D146*Premissas!$B$24+(2*ROUNDUP(D146/2,0))*Premissas!$B$26+INT((2*ROUNDUP(D146/2,0))/4)*Premissas!$B$27+MOD((2*ROUNDUP(D146/2,0)),4)/2*Premissas!$B$28+2*IF(D146&lt;=19,3*D146,IF(D146&lt;=50,ROUNDUP(2.5*D146,0),2*D146))*Premissas!$B$29+IF(C146="Micro",G146*(Premissas!$B$31+Premissas!$B$32+4*Premissas!$B$30),G146*(INDEX(Premissas!$B$40:$B$71,MATCH(F146,Premissas!$A$40:$A$71,0))+INDEX(Premissas!$C$40:$C$71,MATCH(F146,Premissas!$A$40:$A$71,0))*Premissas!$B$30)))</f>
        <v/>
      </c>
      <c r="K146" s="24">
        <f>IF(J146&lt;Premissas!$B$36,MAX(Premissas!$B$33,J146*Premissas!$B$34),J146*Premissas!$B$35)</f>
        <v/>
      </c>
      <c r="L146" s="24">
        <f>ROUND(J146+K146,2)</f>
        <v/>
      </c>
      <c r="M146" s="24">
        <f>D146*Premissas!$B$8+Premissas!$B$9+Premissas!$B$10+Premissas!$B$11+Premissas!$B$12+ROUND(Premissas!$B$13*E146,2)</f>
        <v/>
      </c>
      <c r="N146" s="25">
        <f>ROUNDUP((L146+M146-Premissas!$B$5*L146)/(1-Premissas!$B$6-Premissas!$B$7-Premissas!$B$5-Premissas!$B$14),2)</f>
        <v/>
      </c>
      <c r="O146" s="24">
        <f>ROUND(IF(N146&lt;=30000,N146*(1+Premissas!$B$21),N146+Premissas!$B$21*30000*SQRT(N146/30000)),2)</f>
        <v/>
      </c>
      <c r="P146" s="24">
        <f>N146-I146</f>
        <v/>
      </c>
      <c r="Q146" s="26">
        <f>P146/I146</f>
        <v/>
      </c>
      <c r="R146" s="26">
        <f>(I146-L146-Premissas!$B$5*(I146-L146)-(Premissas!$B$6+Premissas!$B$7)*I146-M146)/I146</f>
        <v/>
      </c>
      <c r="S146" s="24">
        <f>ROUND((CEILING((L146*Premissas!$B$17/Premissas!$B$18-97)/100,1)*100+97)*Premissas!$B$18,2)</f>
        <v/>
      </c>
    </row>
    <row r="147">
      <c r="A147" s="17" t="inlineStr">
        <is>
          <t>KIT 5 MOD. 620W + INV. GROWATT 2,5KW</t>
        </is>
      </c>
      <c r="B147" s="17" t="inlineStr">
        <is>
          <t>GROWATT</t>
        </is>
      </c>
      <c r="C147" s="17" t="inlineStr">
        <is>
          <t>Inversor</t>
        </is>
      </c>
      <c r="D147" s="21" t="n">
        <v>5</v>
      </c>
      <c r="E147" s="30" t="n">
        <v>3.1</v>
      </c>
      <c r="F147" s="20" t="inlineStr">
        <is>
          <t>GROWATT MIC 2500TL-X</t>
        </is>
      </c>
      <c r="G147" s="21" t="n">
        <v>1</v>
      </c>
      <c r="H147" s="17" t="inlineStr">
        <is>
          <t>Sim</t>
        </is>
      </c>
      <c r="I147" s="23" t="n">
        <v>8291.85</v>
      </c>
      <c r="J147" s="24">
        <f>(D147*Premissas!$B$24+(2*ROUNDUP(D147/2,0))*Premissas!$B$26+INT((2*ROUNDUP(D147/2,0))/4)*Premissas!$B$27+MOD((2*ROUNDUP(D147/2,0)),4)/2*Premissas!$B$28+2*IF(D147&lt;=19,3*D147,IF(D147&lt;=50,ROUNDUP(2.5*D147,0),2*D147))*Premissas!$B$29+IF(C147="Micro",G147*(Premissas!$B$31+Premissas!$B$32+4*Premissas!$B$30),G147*(INDEX(Premissas!$B$40:$B$71,MATCH(F147,Premissas!$A$40:$A$71,0))+INDEX(Premissas!$C$40:$C$71,MATCH(F147,Premissas!$A$40:$A$71,0))*Premissas!$B$30)))</f>
        <v/>
      </c>
      <c r="K147" s="24">
        <f>IF(J147&lt;Premissas!$B$36,MAX(Premissas!$B$33,J147*Premissas!$B$34),J147*Premissas!$B$35)</f>
        <v/>
      </c>
      <c r="L147" s="24">
        <f>ROUND(J147+K147,2)</f>
        <v/>
      </c>
      <c r="M147" s="24">
        <f>D147*Premissas!$B$8+Premissas!$B$9+Premissas!$B$10+Premissas!$B$11+Premissas!$B$12+ROUND(Premissas!$B$13*E147,2)</f>
        <v/>
      </c>
      <c r="N147" s="25">
        <f>ROUNDUP((L147+M147-Premissas!$B$5*L147)/(1-Premissas!$B$6-Premissas!$B$7-Premissas!$B$5-Premissas!$B$14),2)</f>
        <v/>
      </c>
      <c r="O147" s="24">
        <f>ROUND(IF(N147&lt;=30000,N147*(1+Premissas!$B$21),N147+Premissas!$B$21*30000*SQRT(N147/30000)),2)</f>
        <v/>
      </c>
      <c r="P147" s="24">
        <f>N147-I147</f>
        <v/>
      </c>
      <c r="Q147" s="26">
        <f>P147/I147</f>
        <v/>
      </c>
      <c r="R147" s="26">
        <f>(I147-L147-Premissas!$B$5*(I147-L147)-(Premissas!$B$6+Premissas!$B$7)*I147-M147)/I147</f>
        <v/>
      </c>
      <c r="S147" s="24">
        <f>ROUND((CEILING((L147*Premissas!$B$17/Premissas!$B$18-97)/100,1)*100+97)*Premissas!$B$18,2)</f>
        <v/>
      </c>
    </row>
    <row r="148">
      <c r="A148" s="17" t="inlineStr">
        <is>
          <t>KIT 9 MOD. 620W + INV. GROWATT 7KW</t>
        </is>
      </c>
      <c r="B148" s="17" t="inlineStr">
        <is>
          <t>GROWATT</t>
        </is>
      </c>
      <c r="C148" s="17" t="inlineStr">
        <is>
          <t>Inversor</t>
        </is>
      </c>
      <c r="D148" s="21" t="n">
        <v>9</v>
      </c>
      <c r="E148" s="30" t="n">
        <v>5.58</v>
      </c>
      <c r="F148" s="20" t="inlineStr">
        <is>
          <t>GROWATT MIN 7000TL-X(E)</t>
        </is>
      </c>
      <c r="G148" s="21" t="n">
        <v>1</v>
      </c>
      <c r="H148" s="17" t="inlineStr">
        <is>
          <t>Sim</t>
        </is>
      </c>
      <c r="I148" s="23" t="n">
        <v>15956.85</v>
      </c>
      <c r="J148" s="24">
        <f>(D148*Premissas!$B$24+(2*ROUNDUP(D148/2,0))*Premissas!$B$26+INT((2*ROUNDUP(D148/2,0))/4)*Premissas!$B$27+MOD((2*ROUNDUP(D148/2,0)),4)/2*Premissas!$B$28+2*IF(D148&lt;=19,3*D148,IF(D148&lt;=50,ROUNDUP(2.5*D148,0),2*D148))*Premissas!$B$29+IF(C148="Micro",G148*(Premissas!$B$31+Premissas!$B$32+4*Premissas!$B$30),G148*(INDEX(Premissas!$B$40:$B$71,MATCH(F148,Premissas!$A$40:$A$71,0))+INDEX(Premissas!$C$40:$C$71,MATCH(F148,Premissas!$A$40:$A$71,0))*Premissas!$B$30)))</f>
        <v/>
      </c>
      <c r="K148" s="24">
        <f>IF(J148&lt;Premissas!$B$36,MAX(Premissas!$B$33,J148*Premissas!$B$34),J148*Premissas!$B$35)</f>
        <v/>
      </c>
      <c r="L148" s="24">
        <f>ROUND(J148+K148,2)</f>
        <v/>
      </c>
      <c r="M148" s="24">
        <f>D148*Premissas!$B$8+Premissas!$B$9+Premissas!$B$10+Premissas!$B$11+Premissas!$B$12+ROUND(Premissas!$B$13*E148,2)</f>
        <v/>
      </c>
      <c r="N148" s="25">
        <f>ROUNDUP((L148+M148-Premissas!$B$5*L148)/(1-Premissas!$B$6-Premissas!$B$7-Premissas!$B$5-Premissas!$B$14),2)</f>
        <v/>
      </c>
      <c r="O148" s="24">
        <f>ROUND(IF(N148&lt;=30000,N148*(1+Premissas!$B$21),N148+Premissas!$B$21*30000*SQRT(N148/30000)),2)</f>
        <v/>
      </c>
      <c r="P148" s="24">
        <f>N148-I148</f>
        <v/>
      </c>
      <c r="Q148" s="26">
        <f>P148/I148</f>
        <v/>
      </c>
      <c r="R148" s="26">
        <f>(I148-L148-Premissas!$B$5*(I148-L148)-(Premissas!$B$6+Premissas!$B$7)*I148-M148)/I148</f>
        <v/>
      </c>
      <c r="S148" s="24">
        <f>ROUND((CEILING((L148*Premissas!$B$17/Premissas!$B$18-97)/100,1)*100+97)*Premissas!$B$18,2)</f>
        <v/>
      </c>
    </row>
    <row r="149">
      <c r="A149" s="17" t="inlineStr">
        <is>
          <t>KIT 10 MOD. 620W + INV. GROWATT 7KW</t>
        </is>
      </c>
      <c r="B149" s="17" t="inlineStr">
        <is>
          <t>GROWATT</t>
        </is>
      </c>
      <c r="C149" s="17" t="inlineStr">
        <is>
          <t>Inversor</t>
        </is>
      </c>
      <c r="D149" s="21" t="n">
        <v>10</v>
      </c>
      <c r="E149" s="30" t="n">
        <v>6.2</v>
      </c>
      <c r="F149" s="20" t="inlineStr">
        <is>
          <t>GROWATT MIN 7000TL-X(E)</t>
        </is>
      </c>
      <c r="G149" s="21" t="n">
        <v>1</v>
      </c>
      <c r="H149" s="17" t="inlineStr">
        <is>
          <t>Sim</t>
        </is>
      </c>
      <c r="I149" s="23" t="n">
        <v>16901.85</v>
      </c>
      <c r="J149" s="24">
        <f>(D149*Premissas!$B$24+(2*ROUNDUP(D149/2,0))*Premissas!$B$26+INT((2*ROUNDUP(D149/2,0))/4)*Premissas!$B$27+MOD((2*ROUNDUP(D149/2,0)),4)/2*Premissas!$B$28+2*IF(D149&lt;=19,3*D149,IF(D149&lt;=50,ROUNDUP(2.5*D149,0),2*D149))*Premissas!$B$29+IF(C149="Micro",G149*(Premissas!$B$31+Premissas!$B$32+4*Premissas!$B$30),G149*(INDEX(Premissas!$B$40:$B$71,MATCH(F149,Premissas!$A$40:$A$71,0))+INDEX(Premissas!$C$40:$C$71,MATCH(F149,Premissas!$A$40:$A$71,0))*Premissas!$B$30)))</f>
        <v/>
      </c>
      <c r="K149" s="24">
        <f>IF(J149&lt;Premissas!$B$36,MAX(Premissas!$B$33,J149*Premissas!$B$34),J149*Premissas!$B$35)</f>
        <v/>
      </c>
      <c r="L149" s="24">
        <f>ROUND(J149+K149,2)</f>
        <v/>
      </c>
      <c r="M149" s="24">
        <f>D149*Premissas!$B$8+Premissas!$B$9+Premissas!$B$10+Premissas!$B$11+Premissas!$B$12+ROUND(Premissas!$B$13*E149,2)</f>
        <v/>
      </c>
      <c r="N149" s="25">
        <f>ROUNDUP((L149+M149-Premissas!$B$5*L149)/(1-Premissas!$B$6-Premissas!$B$7-Premissas!$B$5-Premissas!$B$14),2)</f>
        <v/>
      </c>
      <c r="O149" s="24">
        <f>ROUND(IF(N149&lt;=30000,N149*(1+Premissas!$B$21),N149+Premissas!$B$21*30000*SQRT(N149/30000)),2)</f>
        <v/>
      </c>
      <c r="P149" s="24">
        <f>N149-I149</f>
        <v/>
      </c>
      <c r="Q149" s="26">
        <f>P149/I149</f>
        <v/>
      </c>
      <c r="R149" s="26">
        <f>(I149-L149-Premissas!$B$5*(I149-L149)-(Premissas!$B$6+Premissas!$B$7)*I149-M149)/I149</f>
        <v/>
      </c>
      <c r="S149" s="24">
        <f>ROUND((CEILING((L149*Premissas!$B$17/Premissas!$B$18-97)/100,1)*100+97)*Premissas!$B$18,2)</f>
        <v/>
      </c>
    </row>
    <row r="150">
      <c r="A150" s="17" t="inlineStr">
        <is>
          <t>KIT 11 MOD. 620W + INV. GROWATT 7KW</t>
        </is>
      </c>
      <c r="B150" s="17" t="inlineStr">
        <is>
          <t>GROWATT</t>
        </is>
      </c>
      <c r="C150" s="17" t="inlineStr">
        <is>
          <t>Inversor</t>
        </is>
      </c>
      <c r="D150" s="21" t="n">
        <v>11</v>
      </c>
      <c r="E150" s="30" t="n">
        <v>6.82</v>
      </c>
      <c r="F150" s="20" t="inlineStr">
        <is>
          <t>GROWATT MIN 7000TL-X(E)</t>
        </is>
      </c>
      <c r="G150" s="21" t="n">
        <v>1</v>
      </c>
      <c r="H150" s="17" t="inlineStr">
        <is>
          <t>Sim</t>
        </is>
      </c>
      <c r="I150" s="23" t="n">
        <v>18266.85</v>
      </c>
      <c r="J150" s="24">
        <f>(D150*Premissas!$B$24+(2*ROUNDUP(D150/2,0))*Premissas!$B$26+INT((2*ROUNDUP(D150/2,0))/4)*Premissas!$B$27+MOD((2*ROUNDUP(D150/2,0)),4)/2*Premissas!$B$28+2*IF(D150&lt;=19,3*D150,IF(D150&lt;=50,ROUNDUP(2.5*D150,0),2*D150))*Premissas!$B$29+IF(C150="Micro",G150*(Premissas!$B$31+Premissas!$B$32+4*Premissas!$B$30),G150*(INDEX(Premissas!$B$40:$B$71,MATCH(F150,Premissas!$A$40:$A$71,0))+INDEX(Premissas!$C$40:$C$71,MATCH(F150,Premissas!$A$40:$A$71,0))*Premissas!$B$30)))</f>
        <v/>
      </c>
      <c r="K150" s="24">
        <f>IF(J150&lt;Premissas!$B$36,MAX(Premissas!$B$33,J150*Premissas!$B$34),J150*Premissas!$B$35)</f>
        <v/>
      </c>
      <c r="L150" s="24">
        <f>ROUND(J150+K150,2)</f>
        <v/>
      </c>
      <c r="M150" s="24">
        <f>D150*Premissas!$B$8+Premissas!$B$9+Premissas!$B$10+Premissas!$B$11+Premissas!$B$12+ROUND(Premissas!$B$13*E150,2)</f>
        <v/>
      </c>
      <c r="N150" s="25">
        <f>ROUNDUP((L150+M150-Premissas!$B$5*L150)/(1-Premissas!$B$6-Premissas!$B$7-Premissas!$B$5-Premissas!$B$14),2)</f>
        <v/>
      </c>
      <c r="O150" s="24">
        <f>ROUND(IF(N150&lt;=30000,N150*(1+Premissas!$B$21),N150+Premissas!$B$21*30000*SQRT(N150/30000)),2)</f>
        <v/>
      </c>
      <c r="P150" s="24">
        <f>N150-I150</f>
        <v/>
      </c>
      <c r="Q150" s="26">
        <f>P150/I150</f>
        <v/>
      </c>
      <c r="R150" s="26">
        <f>(I150-L150-Premissas!$B$5*(I150-L150)-(Premissas!$B$6+Premissas!$B$7)*I150-M150)/I150</f>
        <v/>
      </c>
      <c r="S150" s="24">
        <f>ROUND((CEILING((L150*Premissas!$B$17/Premissas!$B$18-97)/100,1)*100+97)*Premissas!$B$18,2)</f>
        <v/>
      </c>
    </row>
    <row r="151">
      <c r="A151" s="17" t="inlineStr">
        <is>
          <t>KIT 12 MOD. 620W + INV. GROWATT 7KW</t>
        </is>
      </c>
      <c r="B151" s="17" t="inlineStr">
        <is>
          <t>GROWATT</t>
        </is>
      </c>
      <c r="C151" s="17" t="inlineStr">
        <is>
          <t>Inversor</t>
        </is>
      </c>
      <c r="D151" s="21" t="n">
        <v>12</v>
      </c>
      <c r="E151" s="30" t="n">
        <v>7.44</v>
      </c>
      <c r="F151" s="20" t="inlineStr">
        <is>
          <t>GROWATT MIN 7000TL-X(E)</t>
        </is>
      </c>
      <c r="G151" s="21" t="n">
        <v>1</v>
      </c>
      <c r="H151" s="17" t="inlineStr">
        <is>
          <t>Sim</t>
        </is>
      </c>
      <c r="I151" s="23" t="n">
        <v>19211.85</v>
      </c>
      <c r="J151" s="24">
        <f>(D151*Premissas!$B$24+(2*ROUNDUP(D151/2,0))*Premissas!$B$26+INT((2*ROUNDUP(D151/2,0))/4)*Premissas!$B$27+MOD((2*ROUNDUP(D151/2,0)),4)/2*Premissas!$B$28+2*IF(D151&lt;=19,3*D151,IF(D151&lt;=50,ROUNDUP(2.5*D151,0),2*D151))*Premissas!$B$29+IF(C151="Micro",G151*(Premissas!$B$31+Premissas!$B$32+4*Premissas!$B$30),G151*(INDEX(Premissas!$B$40:$B$71,MATCH(F151,Premissas!$A$40:$A$71,0))+INDEX(Premissas!$C$40:$C$71,MATCH(F151,Premissas!$A$40:$A$71,0))*Premissas!$B$30)))</f>
        <v/>
      </c>
      <c r="K151" s="24">
        <f>IF(J151&lt;Premissas!$B$36,MAX(Premissas!$B$33,J151*Premissas!$B$34),J151*Premissas!$B$35)</f>
        <v/>
      </c>
      <c r="L151" s="24">
        <f>ROUND(J151+K151,2)</f>
        <v/>
      </c>
      <c r="M151" s="24">
        <f>D151*Premissas!$B$8+Premissas!$B$9+Premissas!$B$10+Premissas!$B$11+Premissas!$B$12+ROUND(Premissas!$B$13*E151,2)</f>
        <v/>
      </c>
      <c r="N151" s="25">
        <f>ROUNDUP((L151+M151-Premissas!$B$5*L151)/(1-Premissas!$B$6-Premissas!$B$7-Premissas!$B$5-Premissas!$B$14),2)</f>
        <v/>
      </c>
      <c r="O151" s="24">
        <f>ROUND(IF(N151&lt;=30000,N151*(1+Premissas!$B$21),N151+Premissas!$B$21*30000*SQRT(N151/30000)),2)</f>
        <v/>
      </c>
      <c r="P151" s="24">
        <f>N151-I151</f>
        <v/>
      </c>
      <c r="Q151" s="26">
        <f>P151/I151</f>
        <v/>
      </c>
      <c r="R151" s="26">
        <f>(I151-L151-Premissas!$B$5*(I151-L151)-(Premissas!$B$6+Premissas!$B$7)*I151-M151)/I151</f>
        <v/>
      </c>
      <c r="S151" s="24">
        <f>ROUND((CEILING((L151*Premissas!$B$17/Premissas!$B$18-97)/100,1)*100+97)*Premissas!$B$18,2)</f>
        <v/>
      </c>
    </row>
    <row r="152">
      <c r="A152" s="17" t="inlineStr">
        <is>
          <t>KIT 13 MOD. 620W + INV. GROWATT 7KW</t>
        </is>
      </c>
      <c r="B152" s="17" t="inlineStr">
        <is>
          <t>GROWATT</t>
        </is>
      </c>
      <c r="C152" s="17" t="inlineStr">
        <is>
          <t>Inversor</t>
        </is>
      </c>
      <c r="D152" s="21" t="n">
        <v>13</v>
      </c>
      <c r="E152" s="30" t="n">
        <v>8.06</v>
      </c>
      <c r="F152" s="20" t="inlineStr">
        <is>
          <t>GROWATT MIN 7000TL-X(E)</t>
        </is>
      </c>
      <c r="G152" s="21" t="n">
        <v>1</v>
      </c>
      <c r="H152" s="17" t="inlineStr">
        <is>
          <t>Sim</t>
        </is>
      </c>
      <c r="I152" s="23" t="n">
        <v>20576.85</v>
      </c>
      <c r="J152" s="24">
        <f>(D152*Premissas!$B$24+(2*ROUNDUP(D152/2,0))*Premissas!$B$26+INT((2*ROUNDUP(D152/2,0))/4)*Premissas!$B$27+MOD((2*ROUNDUP(D152/2,0)),4)/2*Premissas!$B$28+2*IF(D152&lt;=19,3*D152,IF(D152&lt;=50,ROUNDUP(2.5*D152,0),2*D152))*Premissas!$B$29+IF(C152="Micro",G152*(Premissas!$B$31+Premissas!$B$32+4*Premissas!$B$30),G152*(INDEX(Premissas!$B$40:$B$71,MATCH(F152,Premissas!$A$40:$A$71,0))+INDEX(Premissas!$C$40:$C$71,MATCH(F152,Premissas!$A$40:$A$71,0))*Premissas!$B$30)))</f>
        <v/>
      </c>
      <c r="K152" s="24">
        <f>IF(J152&lt;Premissas!$B$36,MAX(Premissas!$B$33,J152*Premissas!$B$34),J152*Premissas!$B$35)</f>
        <v/>
      </c>
      <c r="L152" s="24">
        <f>ROUND(J152+K152,2)</f>
        <v/>
      </c>
      <c r="M152" s="24">
        <f>D152*Premissas!$B$8+Premissas!$B$9+Premissas!$B$10+Premissas!$B$11+Premissas!$B$12+ROUND(Premissas!$B$13*E152,2)</f>
        <v/>
      </c>
      <c r="N152" s="25">
        <f>ROUNDUP((L152+M152-Premissas!$B$5*L152)/(1-Premissas!$B$6-Premissas!$B$7-Premissas!$B$5-Premissas!$B$14),2)</f>
        <v/>
      </c>
      <c r="O152" s="24">
        <f>ROUND(IF(N152&lt;=30000,N152*(1+Premissas!$B$21),N152+Premissas!$B$21*30000*SQRT(N152/30000)),2)</f>
        <v/>
      </c>
      <c r="P152" s="24">
        <f>N152-I152</f>
        <v/>
      </c>
      <c r="Q152" s="26">
        <f>P152/I152</f>
        <v/>
      </c>
      <c r="R152" s="26">
        <f>(I152-L152-Premissas!$B$5*(I152-L152)-(Premissas!$B$6+Premissas!$B$7)*I152-M152)/I152</f>
        <v/>
      </c>
      <c r="S152" s="24">
        <f>ROUND((CEILING((L152*Premissas!$B$17/Premissas!$B$18-97)/100,1)*100+97)*Premissas!$B$18,2)</f>
        <v/>
      </c>
    </row>
    <row r="153">
      <c r="A153" s="17" t="inlineStr">
        <is>
          <t>KIT 14 MOD. 620W + INV. GROWATT 7KW</t>
        </is>
      </c>
      <c r="B153" s="17" t="inlineStr">
        <is>
          <t>GROWATT</t>
        </is>
      </c>
      <c r="C153" s="17" t="inlineStr">
        <is>
          <t>Inversor</t>
        </is>
      </c>
      <c r="D153" s="21" t="n">
        <v>14</v>
      </c>
      <c r="E153" s="30" t="n">
        <v>8.68</v>
      </c>
      <c r="F153" s="20" t="inlineStr">
        <is>
          <t>GROWATT MIN 7000TL-X(E)</t>
        </is>
      </c>
      <c r="G153" s="21" t="n">
        <v>1</v>
      </c>
      <c r="H153" s="17" t="inlineStr">
        <is>
          <t>Sim</t>
        </is>
      </c>
      <c r="I153" s="23" t="n">
        <v>21626.85</v>
      </c>
      <c r="J153" s="24">
        <f>(D153*Premissas!$B$24+(2*ROUNDUP(D153/2,0))*Premissas!$B$26+INT((2*ROUNDUP(D153/2,0))/4)*Premissas!$B$27+MOD((2*ROUNDUP(D153/2,0)),4)/2*Premissas!$B$28+2*IF(D153&lt;=19,3*D153,IF(D153&lt;=50,ROUNDUP(2.5*D153,0),2*D153))*Premissas!$B$29+IF(C153="Micro",G153*(Premissas!$B$31+Premissas!$B$32+4*Premissas!$B$30),G153*(INDEX(Premissas!$B$40:$B$71,MATCH(F153,Premissas!$A$40:$A$71,0))+INDEX(Premissas!$C$40:$C$71,MATCH(F153,Premissas!$A$40:$A$71,0))*Premissas!$B$30)))</f>
        <v/>
      </c>
      <c r="K153" s="24">
        <f>IF(J153&lt;Premissas!$B$36,MAX(Premissas!$B$33,J153*Premissas!$B$34),J153*Premissas!$B$35)</f>
        <v/>
      </c>
      <c r="L153" s="24">
        <f>ROUND(J153+K153,2)</f>
        <v/>
      </c>
      <c r="M153" s="24">
        <f>D153*Premissas!$B$8+Premissas!$B$9+Premissas!$B$10+Premissas!$B$11+Premissas!$B$12+ROUND(Premissas!$B$13*E153,2)</f>
        <v/>
      </c>
      <c r="N153" s="25">
        <f>ROUNDUP((L153+M153-Premissas!$B$5*L153)/(1-Premissas!$B$6-Premissas!$B$7-Premissas!$B$5-Premissas!$B$14),2)</f>
        <v/>
      </c>
      <c r="O153" s="24">
        <f>ROUND(IF(N153&lt;=30000,N153*(1+Premissas!$B$21),N153+Premissas!$B$21*30000*SQRT(N153/30000)),2)</f>
        <v/>
      </c>
      <c r="P153" s="24">
        <f>N153-I153</f>
        <v/>
      </c>
      <c r="Q153" s="26">
        <f>P153/I153</f>
        <v/>
      </c>
      <c r="R153" s="26">
        <f>(I153-L153-Premissas!$B$5*(I153-L153)-(Premissas!$B$6+Premissas!$B$7)*I153-M153)/I153</f>
        <v/>
      </c>
      <c r="S153" s="24">
        <f>ROUND((CEILING((L153*Premissas!$B$17/Premissas!$B$18-97)/100,1)*100+97)*Premissas!$B$18,2)</f>
        <v/>
      </c>
    </row>
    <row r="154">
      <c r="A154" s="17" t="inlineStr">
        <is>
          <t>KIT 15 MOD. 620W + INV. GROWATT 7KW</t>
        </is>
      </c>
      <c r="B154" s="17" t="inlineStr">
        <is>
          <t>GROWATT</t>
        </is>
      </c>
      <c r="C154" s="17" t="inlineStr">
        <is>
          <t>Inversor</t>
        </is>
      </c>
      <c r="D154" s="21" t="n">
        <v>15</v>
      </c>
      <c r="E154" s="30" t="n">
        <v>9.300000000000001</v>
      </c>
      <c r="F154" s="20" t="inlineStr">
        <is>
          <t>GROWATT MIN 7000TL-X(E)</t>
        </is>
      </c>
      <c r="G154" s="21" t="n">
        <v>1</v>
      </c>
      <c r="H154" s="17" t="inlineStr">
        <is>
          <t>Sim</t>
        </is>
      </c>
      <c r="I154" s="23" t="n">
        <v>22991.85</v>
      </c>
      <c r="J154" s="24">
        <f>(D154*Premissas!$B$24+(2*ROUNDUP(D154/2,0))*Premissas!$B$26+INT((2*ROUNDUP(D154/2,0))/4)*Premissas!$B$27+MOD((2*ROUNDUP(D154/2,0)),4)/2*Premissas!$B$28+2*IF(D154&lt;=19,3*D154,IF(D154&lt;=50,ROUNDUP(2.5*D154,0),2*D154))*Premissas!$B$29+IF(C154="Micro",G154*(Premissas!$B$31+Premissas!$B$32+4*Premissas!$B$30),G154*(INDEX(Premissas!$B$40:$B$71,MATCH(F154,Premissas!$A$40:$A$71,0))+INDEX(Premissas!$C$40:$C$71,MATCH(F154,Premissas!$A$40:$A$71,0))*Premissas!$B$30)))</f>
        <v/>
      </c>
      <c r="K154" s="24">
        <f>IF(J154&lt;Premissas!$B$36,MAX(Premissas!$B$33,J154*Premissas!$B$34),J154*Premissas!$B$35)</f>
        <v/>
      </c>
      <c r="L154" s="24">
        <f>ROUND(J154+K154,2)</f>
        <v/>
      </c>
      <c r="M154" s="24">
        <f>D154*Premissas!$B$8+Premissas!$B$9+Premissas!$B$10+Premissas!$B$11+Premissas!$B$12+ROUND(Premissas!$B$13*E154,2)</f>
        <v/>
      </c>
      <c r="N154" s="25">
        <f>ROUNDUP((L154+M154-Premissas!$B$5*L154)/(1-Premissas!$B$6-Premissas!$B$7-Premissas!$B$5-Premissas!$B$14),2)</f>
        <v/>
      </c>
      <c r="O154" s="24">
        <f>ROUND(IF(N154&lt;=30000,N154*(1+Premissas!$B$21),N154+Premissas!$B$21*30000*SQRT(N154/30000)),2)</f>
        <v/>
      </c>
      <c r="P154" s="24">
        <f>N154-I154</f>
        <v/>
      </c>
      <c r="Q154" s="26">
        <f>P154/I154</f>
        <v/>
      </c>
      <c r="R154" s="26">
        <f>(I154-L154-Premissas!$B$5*(I154-L154)-(Premissas!$B$6+Premissas!$B$7)*I154-M154)/I154</f>
        <v/>
      </c>
      <c r="S154" s="24">
        <f>ROUND((CEILING((L154*Premissas!$B$17/Premissas!$B$18-97)/100,1)*100+97)*Premissas!$B$18,2)</f>
        <v/>
      </c>
    </row>
    <row r="155">
      <c r="A155" s="17" t="inlineStr">
        <is>
          <t>KIT 16 MOD. 620W + INV. GROWATT 7KW</t>
        </is>
      </c>
      <c r="B155" s="17" t="inlineStr">
        <is>
          <t>GROWATT</t>
        </is>
      </c>
      <c r="C155" s="17" t="inlineStr">
        <is>
          <t>Inversor</t>
        </is>
      </c>
      <c r="D155" s="21" t="n">
        <v>16</v>
      </c>
      <c r="E155" s="30" t="n">
        <v>9.92</v>
      </c>
      <c r="F155" s="20" t="inlineStr">
        <is>
          <t>GROWATT MIN 7000TL-X(E)</t>
        </is>
      </c>
      <c r="G155" s="21" t="n">
        <v>1</v>
      </c>
      <c r="H155" s="17" t="inlineStr">
        <is>
          <t>Sim</t>
        </is>
      </c>
      <c r="I155" s="23" t="n">
        <v>24041.85</v>
      </c>
      <c r="J155" s="24">
        <f>(D155*Premissas!$B$24+(2*ROUNDUP(D155/2,0))*Premissas!$B$26+INT((2*ROUNDUP(D155/2,0))/4)*Premissas!$B$27+MOD((2*ROUNDUP(D155/2,0)),4)/2*Premissas!$B$28+2*IF(D155&lt;=19,3*D155,IF(D155&lt;=50,ROUNDUP(2.5*D155,0),2*D155))*Premissas!$B$29+IF(C155="Micro",G155*(Premissas!$B$31+Premissas!$B$32+4*Premissas!$B$30),G155*(INDEX(Premissas!$B$40:$B$71,MATCH(F155,Premissas!$A$40:$A$71,0))+INDEX(Premissas!$C$40:$C$71,MATCH(F155,Premissas!$A$40:$A$71,0))*Premissas!$B$30)))</f>
        <v/>
      </c>
      <c r="K155" s="24">
        <f>IF(J155&lt;Premissas!$B$36,MAX(Premissas!$B$33,J155*Premissas!$B$34),J155*Premissas!$B$35)</f>
        <v/>
      </c>
      <c r="L155" s="24">
        <f>ROUND(J155+K155,2)</f>
        <v/>
      </c>
      <c r="M155" s="24">
        <f>D155*Premissas!$B$8+Premissas!$B$9+Premissas!$B$10+Premissas!$B$11+Premissas!$B$12+ROUND(Premissas!$B$13*E155,2)</f>
        <v/>
      </c>
      <c r="N155" s="25">
        <f>ROUNDUP((L155+M155-Premissas!$B$5*L155)/(1-Premissas!$B$6-Premissas!$B$7-Premissas!$B$5-Premissas!$B$14),2)</f>
        <v/>
      </c>
      <c r="O155" s="24">
        <f>ROUND(IF(N155&lt;=30000,N155*(1+Premissas!$B$21),N155+Premissas!$B$21*30000*SQRT(N155/30000)),2)</f>
        <v/>
      </c>
      <c r="P155" s="24">
        <f>N155-I155</f>
        <v/>
      </c>
      <c r="Q155" s="26">
        <f>P155/I155</f>
        <v/>
      </c>
      <c r="R155" s="26">
        <f>(I155-L155-Premissas!$B$5*(I155-L155)-(Premissas!$B$6+Premissas!$B$7)*I155-M155)/I155</f>
        <v/>
      </c>
      <c r="S155" s="24">
        <f>ROUND((CEILING((L155*Premissas!$B$17/Premissas!$B$18-97)/100,1)*100+97)*Premissas!$B$18,2)</f>
        <v/>
      </c>
    </row>
    <row r="156">
      <c r="A156" s="17" t="inlineStr">
        <is>
          <t>KIT 17 MOD. 620W + INV. GROWATT 7KW</t>
        </is>
      </c>
      <c r="B156" s="17" t="inlineStr">
        <is>
          <t>GROWATT</t>
        </is>
      </c>
      <c r="C156" s="17" t="inlineStr">
        <is>
          <t>Inversor</t>
        </is>
      </c>
      <c r="D156" s="21" t="n">
        <v>17</v>
      </c>
      <c r="E156" s="30" t="n">
        <v>10.54</v>
      </c>
      <c r="F156" s="20" t="inlineStr">
        <is>
          <t>GROWATT MIN 7000TL-X(E)</t>
        </is>
      </c>
      <c r="G156" s="21" t="n">
        <v>1</v>
      </c>
      <c r="H156" s="17" t="inlineStr">
        <is>
          <t>Sim</t>
        </is>
      </c>
      <c r="I156" s="23" t="n">
        <v>25406.85</v>
      </c>
      <c r="J156" s="24">
        <f>(D156*Premissas!$B$24+(2*ROUNDUP(D156/2,0))*Premissas!$B$26+INT((2*ROUNDUP(D156/2,0))/4)*Premissas!$B$27+MOD((2*ROUNDUP(D156/2,0)),4)/2*Premissas!$B$28+2*IF(D156&lt;=19,3*D156,IF(D156&lt;=50,ROUNDUP(2.5*D156,0),2*D156))*Premissas!$B$29+IF(C156="Micro",G156*(Premissas!$B$31+Premissas!$B$32+4*Premissas!$B$30),G156*(INDEX(Premissas!$B$40:$B$71,MATCH(F156,Premissas!$A$40:$A$71,0))+INDEX(Premissas!$C$40:$C$71,MATCH(F156,Premissas!$A$40:$A$71,0))*Premissas!$B$30)))</f>
        <v/>
      </c>
      <c r="K156" s="24">
        <f>IF(J156&lt;Premissas!$B$36,MAX(Premissas!$B$33,J156*Premissas!$B$34),J156*Premissas!$B$35)</f>
        <v/>
      </c>
      <c r="L156" s="24">
        <f>ROUND(J156+K156,2)</f>
        <v/>
      </c>
      <c r="M156" s="24">
        <f>D156*Premissas!$B$8+Premissas!$B$9+Premissas!$B$10+Premissas!$B$11+Premissas!$B$12+ROUND(Premissas!$B$13*E156,2)</f>
        <v/>
      </c>
      <c r="N156" s="25">
        <f>ROUNDUP((L156+M156-Premissas!$B$5*L156)/(1-Premissas!$B$6-Premissas!$B$7-Premissas!$B$5-Premissas!$B$14),2)</f>
        <v/>
      </c>
      <c r="O156" s="24">
        <f>ROUND(IF(N156&lt;=30000,N156*(1+Premissas!$B$21),N156+Premissas!$B$21*30000*SQRT(N156/30000)),2)</f>
        <v/>
      </c>
      <c r="P156" s="24">
        <f>N156-I156</f>
        <v/>
      </c>
      <c r="Q156" s="26">
        <f>P156/I156</f>
        <v/>
      </c>
      <c r="R156" s="26">
        <f>(I156-L156-Premissas!$B$5*(I156-L156)-(Premissas!$B$6+Premissas!$B$7)*I156-M156)/I156</f>
        <v/>
      </c>
      <c r="S156" s="24">
        <f>ROUND((CEILING((L156*Premissas!$B$17/Premissas!$B$18-97)/100,1)*100+97)*Premissas!$B$18,2)</f>
        <v/>
      </c>
    </row>
    <row r="157">
      <c r="A157" s="17" t="inlineStr">
        <is>
          <t>KIT 18 MOD. 620W + INV. GROWATT 7KW</t>
        </is>
      </c>
      <c r="B157" s="17" t="inlineStr">
        <is>
          <t>GROWATT</t>
        </is>
      </c>
      <c r="C157" s="17" t="inlineStr">
        <is>
          <t>Inversor</t>
        </is>
      </c>
      <c r="D157" s="21" t="n">
        <v>18</v>
      </c>
      <c r="E157" s="30" t="n">
        <v>11.16</v>
      </c>
      <c r="F157" s="20" t="inlineStr">
        <is>
          <t>GROWATT MIN 7000TL-X(E)</t>
        </is>
      </c>
      <c r="G157" s="21" t="n">
        <v>1</v>
      </c>
      <c r="H157" s="17" t="inlineStr">
        <is>
          <t>Sim</t>
        </is>
      </c>
      <c r="I157" s="23" t="n">
        <v>26456.85</v>
      </c>
      <c r="J157" s="24">
        <f>(D157*Premissas!$B$24+(2*ROUNDUP(D157/2,0))*Premissas!$B$26+INT((2*ROUNDUP(D157/2,0))/4)*Premissas!$B$27+MOD((2*ROUNDUP(D157/2,0)),4)/2*Premissas!$B$28+2*IF(D157&lt;=19,3*D157,IF(D157&lt;=50,ROUNDUP(2.5*D157,0),2*D157))*Premissas!$B$29+IF(C157="Micro",G157*(Premissas!$B$31+Premissas!$B$32+4*Premissas!$B$30),G157*(INDEX(Premissas!$B$40:$B$71,MATCH(F157,Premissas!$A$40:$A$71,0))+INDEX(Premissas!$C$40:$C$71,MATCH(F157,Premissas!$A$40:$A$71,0))*Premissas!$B$30)))</f>
        <v/>
      </c>
      <c r="K157" s="24">
        <f>IF(J157&lt;Premissas!$B$36,MAX(Premissas!$B$33,J157*Premissas!$B$34),J157*Premissas!$B$35)</f>
        <v/>
      </c>
      <c r="L157" s="24">
        <f>ROUND(J157+K157,2)</f>
        <v/>
      </c>
      <c r="M157" s="24">
        <f>D157*Premissas!$B$8+Premissas!$B$9+Premissas!$B$10+Premissas!$B$11+Premissas!$B$12+ROUND(Premissas!$B$13*E157,2)</f>
        <v/>
      </c>
      <c r="N157" s="25">
        <f>ROUNDUP((L157+M157-Premissas!$B$5*L157)/(1-Premissas!$B$6-Premissas!$B$7-Premissas!$B$5-Premissas!$B$14),2)</f>
        <v/>
      </c>
      <c r="O157" s="24">
        <f>ROUND(IF(N157&lt;=30000,N157*(1+Premissas!$B$21),N157+Premissas!$B$21*30000*SQRT(N157/30000)),2)</f>
        <v/>
      </c>
      <c r="P157" s="24">
        <f>N157-I157</f>
        <v/>
      </c>
      <c r="Q157" s="26">
        <f>P157/I157</f>
        <v/>
      </c>
      <c r="R157" s="26">
        <f>(I157-L157-Premissas!$B$5*(I157-L157)-(Premissas!$B$6+Premissas!$B$7)*I157-M157)/I157</f>
        <v/>
      </c>
      <c r="S157" s="24">
        <f>ROUND((CEILING((L157*Premissas!$B$17/Premissas!$B$18-97)/100,1)*100+97)*Premissas!$B$18,2)</f>
        <v/>
      </c>
    </row>
    <row r="158">
      <c r="A158" s="17" t="inlineStr">
        <is>
          <t>KIT 19 MOD. 620W + INV. GROWATT 10KW</t>
        </is>
      </c>
      <c r="B158" s="17" t="inlineStr">
        <is>
          <t>GROWATT</t>
        </is>
      </c>
      <c r="C158" s="17" t="inlineStr">
        <is>
          <t>Inversor</t>
        </is>
      </c>
      <c r="D158" s="21" t="n">
        <v>19</v>
      </c>
      <c r="E158" s="30" t="n">
        <v>11.78</v>
      </c>
      <c r="F158" s="20" t="inlineStr">
        <is>
          <t>GROWATT MIN 10000TL-X</t>
        </is>
      </c>
      <c r="G158" s="21" t="n">
        <v>1</v>
      </c>
      <c r="H158" s="17" t="inlineStr">
        <is>
          <t>Sim</t>
        </is>
      </c>
      <c r="I158" s="23" t="n">
        <v>27926.85</v>
      </c>
      <c r="J158" s="24">
        <f>(D158*Premissas!$B$24+(2*ROUNDUP(D158/2,0))*Premissas!$B$26+INT((2*ROUNDUP(D158/2,0))/4)*Premissas!$B$27+MOD((2*ROUNDUP(D158/2,0)),4)/2*Premissas!$B$28+2*IF(D158&lt;=19,3*D158,IF(D158&lt;=50,ROUNDUP(2.5*D158,0),2*D158))*Premissas!$B$29+IF(C158="Micro",G158*(Premissas!$B$31+Premissas!$B$32+4*Premissas!$B$30),G158*(INDEX(Premissas!$B$40:$B$71,MATCH(F158,Premissas!$A$40:$A$71,0))+INDEX(Premissas!$C$40:$C$71,MATCH(F158,Premissas!$A$40:$A$71,0))*Premissas!$B$30)))</f>
        <v/>
      </c>
      <c r="K158" s="24">
        <f>IF(J158&lt;Premissas!$B$36,MAX(Premissas!$B$33,J158*Premissas!$B$34),J158*Premissas!$B$35)</f>
        <v/>
      </c>
      <c r="L158" s="24">
        <f>ROUND(J158+K158,2)</f>
        <v/>
      </c>
      <c r="M158" s="24">
        <f>D158*Premissas!$B$8+Premissas!$B$9+Premissas!$B$10+Premissas!$B$11+Premissas!$B$12+ROUND(Premissas!$B$13*E158,2)</f>
        <v/>
      </c>
      <c r="N158" s="25">
        <f>ROUNDUP((L158+M158-Premissas!$B$5*L158)/(1-Premissas!$B$6-Premissas!$B$7-Premissas!$B$5-Premissas!$B$14),2)</f>
        <v/>
      </c>
      <c r="O158" s="24">
        <f>ROUND(IF(N158&lt;=30000,N158*(1+Premissas!$B$21),N158+Premissas!$B$21*30000*SQRT(N158/30000)),2)</f>
        <v/>
      </c>
      <c r="P158" s="24">
        <f>N158-I158</f>
        <v/>
      </c>
      <c r="Q158" s="26">
        <f>P158/I158</f>
        <v/>
      </c>
      <c r="R158" s="26">
        <f>(I158-L158-Premissas!$B$5*(I158-L158)-(Premissas!$B$6+Premissas!$B$7)*I158-M158)/I158</f>
        <v/>
      </c>
      <c r="S158" s="24">
        <f>ROUND((CEILING((L158*Premissas!$B$17/Premissas!$B$18-97)/100,1)*100+97)*Premissas!$B$18,2)</f>
        <v/>
      </c>
    </row>
    <row r="159">
      <c r="A159" s="17" t="inlineStr">
        <is>
          <t>KIT 20 MOD. 620W + INV. GROWATT 10KW</t>
        </is>
      </c>
      <c r="B159" s="17" t="inlineStr">
        <is>
          <t>GROWATT</t>
        </is>
      </c>
      <c r="C159" s="17" t="inlineStr">
        <is>
          <t>Inversor</t>
        </is>
      </c>
      <c r="D159" s="21" t="n">
        <v>20</v>
      </c>
      <c r="E159" s="30" t="n">
        <v>12.4</v>
      </c>
      <c r="F159" s="20" t="inlineStr">
        <is>
          <t>GROWATT MIN 10000TL-X</t>
        </is>
      </c>
      <c r="G159" s="21" t="n">
        <v>1</v>
      </c>
      <c r="H159" s="17" t="inlineStr">
        <is>
          <t>Sim</t>
        </is>
      </c>
      <c r="I159" s="23" t="n">
        <v>28766.85</v>
      </c>
      <c r="J159" s="24">
        <f>(D159*Premissas!$B$24+(2*ROUNDUP(D159/2,0))*Premissas!$B$26+INT((2*ROUNDUP(D159/2,0))/4)*Premissas!$B$27+MOD((2*ROUNDUP(D159/2,0)),4)/2*Premissas!$B$28+2*IF(D159&lt;=19,3*D159,IF(D159&lt;=50,ROUNDUP(2.5*D159,0),2*D159))*Premissas!$B$29+IF(C159="Micro",G159*(Premissas!$B$31+Premissas!$B$32+4*Premissas!$B$30),G159*(INDEX(Premissas!$B$40:$B$71,MATCH(F159,Premissas!$A$40:$A$71,0))+INDEX(Premissas!$C$40:$C$71,MATCH(F159,Premissas!$A$40:$A$71,0))*Premissas!$B$30)))</f>
        <v/>
      </c>
      <c r="K159" s="24">
        <f>IF(J159&lt;Premissas!$B$36,MAX(Premissas!$B$33,J159*Premissas!$B$34),J159*Premissas!$B$35)</f>
        <v/>
      </c>
      <c r="L159" s="24">
        <f>ROUND(J159+K159,2)</f>
        <v/>
      </c>
      <c r="M159" s="24">
        <f>D159*Premissas!$B$8+Premissas!$B$9+Premissas!$B$10+Premissas!$B$11+Premissas!$B$12+ROUND(Premissas!$B$13*E159,2)</f>
        <v/>
      </c>
      <c r="N159" s="25">
        <f>ROUNDUP((L159+M159-Premissas!$B$5*L159)/(1-Premissas!$B$6-Premissas!$B$7-Premissas!$B$5-Premissas!$B$14),2)</f>
        <v/>
      </c>
      <c r="O159" s="24">
        <f>ROUND(IF(N159&lt;=30000,N159*(1+Premissas!$B$21),N159+Premissas!$B$21*30000*SQRT(N159/30000)),2)</f>
        <v/>
      </c>
      <c r="P159" s="24">
        <f>N159-I159</f>
        <v/>
      </c>
      <c r="Q159" s="26">
        <f>P159/I159</f>
        <v/>
      </c>
      <c r="R159" s="26">
        <f>(I159-L159-Premissas!$B$5*(I159-L159)-(Premissas!$B$6+Premissas!$B$7)*I159-M159)/I159</f>
        <v/>
      </c>
      <c r="S159" s="24">
        <f>ROUND((CEILING((L159*Premissas!$B$17/Premissas!$B$18-97)/100,1)*100+97)*Premissas!$B$18,2)</f>
        <v/>
      </c>
    </row>
    <row r="160">
      <c r="A160" s="17" t="inlineStr">
        <is>
          <t>KIT 21 MOD. 620W + INV. GROWATT 10KW</t>
        </is>
      </c>
      <c r="B160" s="17" t="inlineStr">
        <is>
          <t>GROWATT</t>
        </is>
      </c>
      <c r="C160" s="17" t="inlineStr">
        <is>
          <t>Inversor</t>
        </is>
      </c>
      <c r="D160" s="21" t="n">
        <v>21</v>
      </c>
      <c r="E160" s="30" t="n">
        <v>13.02</v>
      </c>
      <c r="F160" s="20" t="inlineStr">
        <is>
          <t>GROWATT MIN 10000TL-X</t>
        </is>
      </c>
      <c r="G160" s="21" t="n">
        <v>1</v>
      </c>
      <c r="H160" s="17" t="inlineStr">
        <is>
          <t>Sim</t>
        </is>
      </c>
      <c r="I160" s="23" t="n">
        <v>30131.85</v>
      </c>
      <c r="J160" s="24">
        <f>(D160*Premissas!$B$24+(2*ROUNDUP(D160/2,0))*Premissas!$B$26+INT((2*ROUNDUP(D160/2,0))/4)*Premissas!$B$27+MOD((2*ROUNDUP(D160/2,0)),4)/2*Premissas!$B$28+2*IF(D160&lt;=19,3*D160,IF(D160&lt;=50,ROUNDUP(2.5*D160,0),2*D160))*Premissas!$B$29+IF(C160="Micro",G160*(Premissas!$B$31+Premissas!$B$32+4*Premissas!$B$30),G160*(INDEX(Premissas!$B$40:$B$71,MATCH(F160,Premissas!$A$40:$A$71,0))+INDEX(Premissas!$C$40:$C$71,MATCH(F160,Premissas!$A$40:$A$71,0))*Premissas!$B$30)))</f>
        <v/>
      </c>
      <c r="K160" s="24">
        <f>IF(J160&lt;Premissas!$B$36,MAX(Premissas!$B$33,J160*Premissas!$B$34),J160*Premissas!$B$35)</f>
        <v/>
      </c>
      <c r="L160" s="24">
        <f>ROUND(J160+K160,2)</f>
        <v/>
      </c>
      <c r="M160" s="24">
        <f>D160*Premissas!$B$8+Premissas!$B$9+Premissas!$B$10+Premissas!$B$11+Premissas!$B$12+ROUND(Premissas!$B$13*E160,2)</f>
        <v/>
      </c>
      <c r="N160" s="25">
        <f>ROUNDUP((L160+M160-Premissas!$B$5*L160)/(1-Premissas!$B$6-Premissas!$B$7-Premissas!$B$5-Premissas!$B$14),2)</f>
        <v/>
      </c>
      <c r="O160" s="24">
        <f>ROUND(IF(N160&lt;=30000,N160*(1+Premissas!$B$21),N160+Premissas!$B$21*30000*SQRT(N160/30000)),2)</f>
        <v/>
      </c>
      <c r="P160" s="24">
        <f>N160-I160</f>
        <v/>
      </c>
      <c r="Q160" s="26">
        <f>P160/I160</f>
        <v/>
      </c>
      <c r="R160" s="26">
        <f>(I160-L160-Premissas!$B$5*(I160-L160)-(Premissas!$B$6+Premissas!$B$7)*I160-M160)/I160</f>
        <v/>
      </c>
      <c r="S160" s="24">
        <f>ROUND((CEILING((L160*Premissas!$B$17/Premissas!$B$18-97)/100,1)*100+97)*Premissas!$B$18,2)</f>
        <v/>
      </c>
    </row>
    <row r="161">
      <c r="A161" s="17" t="inlineStr">
        <is>
          <t>KIT 22 MOD. 620W + INV. GROWATT 10KW</t>
        </is>
      </c>
      <c r="B161" s="17" t="inlineStr">
        <is>
          <t>GROWATT</t>
        </is>
      </c>
      <c r="C161" s="17" t="inlineStr">
        <is>
          <t>Inversor</t>
        </is>
      </c>
      <c r="D161" s="21" t="n">
        <v>22</v>
      </c>
      <c r="E161" s="30" t="n">
        <v>13.64</v>
      </c>
      <c r="F161" s="20" t="inlineStr">
        <is>
          <t>GROWATT MIN 10000TL-X</t>
        </is>
      </c>
      <c r="G161" s="21" t="n">
        <v>1</v>
      </c>
      <c r="H161" s="17" t="inlineStr">
        <is>
          <t>Sim</t>
        </is>
      </c>
      <c r="I161" s="23" t="n">
        <v>31181.85</v>
      </c>
      <c r="J161" s="24">
        <f>(D161*Premissas!$B$24+(2*ROUNDUP(D161/2,0))*Premissas!$B$26+INT((2*ROUNDUP(D161/2,0))/4)*Premissas!$B$27+MOD((2*ROUNDUP(D161/2,0)),4)/2*Premissas!$B$28+2*IF(D161&lt;=19,3*D161,IF(D161&lt;=50,ROUNDUP(2.5*D161,0),2*D161))*Premissas!$B$29+IF(C161="Micro",G161*(Premissas!$B$31+Premissas!$B$32+4*Premissas!$B$30),G161*(INDEX(Premissas!$B$40:$B$71,MATCH(F161,Premissas!$A$40:$A$71,0))+INDEX(Premissas!$C$40:$C$71,MATCH(F161,Premissas!$A$40:$A$71,0))*Premissas!$B$30)))</f>
        <v/>
      </c>
      <c r="K161" s="24">
        <f>IF(J161&lt;Premissas!$B$36,MAX(Premissas!$B$33,J161*Premissas!$B$34),J161*Premissas!$B$35)</f>
        <v/>
      </c>
      <c r="L161" s="24">
        <f>ROUND(J161+K161,2)</f>
        <v/>
      </c>
      <c r="M161" s="24">
        <f>D161*Premissas!$B$8+Premissas!$B$9+Premissas!$B$10+Premissas!$B$11+Premissas!$B$12+ROUND(Premissas!$B$13*E161,2)</f>
        <v/>
      </c>
      <c r="N161" s="25">
        <f>ROUNDUP((L161+M161-Premissas!$B$5*L161)/(1-Premissas!$B$6-Premissas!$B$7-Premissas!$B$5-Premissas!$B$14),2)</f>
        <v/>
      </c>
      <c r="O161" s="24">
        <f>ROUND(IF(N161&lt;=30000,N161*(1+Premissas!$B$21),N161+Premissas!$B$21*30000*SQRT(N161/30000)),2)</f>
        <v/>
      </c>
      <c r="P161" s="24">
        <f>N161-I161</f>
        <v/>
      </c>
      <c r="Q161" s="26">
        <f>P161/I161</f>
        <v/>
      </c>
      <c r="R161" s="26">
        <f>(I161-L161-Premissas!$B$5*(I161-L161)-(Premissas!$B$6+Premissas!$B$7)*I161-M161)/I161</f>
        <v/>
      </c>
      <c r="S161" s="24">
        <f>ROUND((CEILING((L161*Premissas!$B$17/Premissas!$B$18-97)/100,1)*100+97)*Premissas!$B$18,2)</f>
        <v/>
      </c>
    </row>
    <row r="162">
      <c r="A162" s="17" t="inlineStr">
        <is>
          <t>KIT 23 MOD. 620W + INV. GROWATT 10KW</t>
        </is>
      </c>
      <c r="B162" s="17" t="inlineStr">
        <is>
          <t>GROWATT</t>
        </is>
      </c>
      <c r="C162" s="17" t="inlineStr">
        <is>
          <t>Inversor</t>
        </is>
      </c>
      <c r="D162" s="21" t="n">
        <v>23</v>
      </c>
      <c r="E162" s="30" t="n">
        <v>14.26</v>
      </c>
      <c r="F162" s="20" t="inlineStr">
        <is>
          <t>GROWATT MIN 10000TL-X</t>
        </is>
      </c>
      <c r="G162" s="21" t="n">
        <v>1</v>
      </c>
      <c r="H162" s="17" t="inlineStr">
        <is>
          <t>Sim</t>
        </is>
      </c>
      <c r="I162" s="23" t="n">
        <v>32546.85</v>
      </c>
      <c r="J162" s="24">
        <f>(D162*Premissas!$B$24+(2*ROUNDUP(D162/2,0))*Premissas!$B$26+INT((2*ROUNDUP(D162/2,0))/4)*Premissas!$B$27+MOD((2*ROUNDUP(D162/2,0)),4)/2*Premissas!$B$28+2*IF(D162&lt;=19,3*D162,IF(D162&lt;=50,ROUNDUP(2.5*D162,0),2*D162))*Premissas!$B$29+IF(C162="Micro",G162*(Premissas!$B$31+Premissas!$B$32+4*Premissas!$B$30),G162*(INDEX(Premissas!$B$40:$B$71,MATCH(F162,Premissas!$A$40:$A$71,0))+INDEX(Premissas!$C$40:$C$71,MATCH(F162,Premissas!$A$40:$A$71,0))*Premissas!$B$30)))</f>
        <v/>
      </c>
      <c r="K162" s="24">
        <f>IF(J162&lt;Premissas!$B$36,MAX(Premissas!$B$33,J162*Premissas!$B$34),J162*Premissas!$B$35)</f>
        <v/>
      </c>
      <c r="L162" s="24">
        <f>ROUND(J162+K162,2)</f>
        <v/>
      </c>
      <c r="M162" s="24">
        <f>D162*Premissas!$B$8+Premissas!$B$9+Premissas!$B$10+Premissas!$B$11+Premissas!$B$12+ROUND(Premissas!$B$13*E162,2)</f>
        <v/>
      </c>
      <c r="N162" s="25">
        <f>ROUNDUP((L162+M162-Premissas!$B$5*L162)/(1-Premissas!$B$6-Premissas!$B$7-Premissas!$B$5-Premissas!$B$14),2)</f>
        <v/>
      </c>
      <c r="O162" s="24">
        <f>ROUND(IF(N162&lt;=30000,N162*(1+Premissas!$B$21),N162+Premissas!$B$21*30000*SQRT(N162/30000)),2)</f>
        <v/>
      </c>
      <c r="P162" s="24">
        <f>N162-I162</f>
        <v/>
      </c>
      <c r="Q162" s="26">
        <f>P162/I162</f>
        <v/>
      </c>
      <c r="R162" s="26">
        <f>(I162-L162-Premissas!$B$5*(I162-L162)-(Premissas!$B$6+Premissas!$B$7)*I162-M162)/I162</f>
        <v/>
      </c>
      <c r="S162" s="24">
        <f>ROUND((CEILING((L162*Premissas!$B$17/Premissas!$B$18-97)/100,1)*100+97)*Premissas!$B$18,2)</f>
        <v/>
      </c>
    </row>
    <row r="163">
      <c r="A163" s="17" t="inlineStr">
        <is>
          <t>KIT 24 MOD. 620W + INV. GROWATT 10KW</t>
        </is>
      </c>
      <c r="B163" s="17" t="inlineStr">
        <is>
          <t>GROWATT</t>
        </is>
      </c>
      <c r="C163" s="17" t="inlineStr">
        <is>
          <t>Inversor</t>
        </is>
      </c>
      <c r="D163" s="21" t="n">
        <v>24</v>
      </c>
      <c r="E163" s="30" t="n">
        <v>14.88</v>
      </c>
      <c r="F163" s="20" t="inlineStr">
        <is>
          <t>GROWATT MIN 10000TL-X</t>
        </is>
      </c>
      <c r="G163" s="21" t="n">
        <v>1</v>
      </c>
      <c r="H163" s="17" t="inlineStr">
        <is>
          <t>Sim</t>
        </is>
      </c>
      <c r="I163" s="23" t="n">
        <v>33596.85</v>
      </c>
      <c r="J163" s="24">
        <f>(D163*Premissas!$B$24+(2*ROUNDUP(D163/2,0))*Premissas!$B$26+INT((2*ROUNDUP(D163/2,0))/4)*Premissas!$B$27+MOD((2*ROUNDUP(D163/2,0)),4)/2*Premissas!$B$28+2*IF(D163&lt;=19,3*D163,IF(D163&lt;=50,ROUNDUP(2.5*D163,0),2*D163))*Premissas!$B$29+IF(C163="Micro",G163*(Premissas!$B$31+Premissas!$B$32+4*Premissas!$B$30),G163*(INDEX(Premissas!$B$40:$B$71,MATCH(F163,Premissas!$A$40:$A$71,0))+INDEX(Premissas!$C$40:$C$71,MATCH(F163,Premissas!$A$40:$A$71,0))*Premissas!$B$30)))</f>
        <v/>
      </c>
      <c r="K163" s="24">
        <f>IF(J163&lt;Premissas!$B$36,MAX(Premissas!$B$33,J163*Premissas!$B$34),J163*Premissas!$B$35)</f>
        <v/>
      </c>
      <c r="L163" s="24">
        <f>ROUND(J163+K163,2)</f>
        <v/>
      </c>
      <c r="M163" s="24">
        <f>D163*Premissas!$B$8+Premissas!$B$9+Premissas!$B$10+Premissas!$B$11+Premissas!$B$12+ROUND(Premissas!$B$13*E163,2)</f>
        <v/>
      </c>
      <c r="N163" s="25">
        <f>ROUNDUP((L163+M163-Premissas!$B$5*L163)/(1-Premissas!$B$6-Premissas!$B$7-Premissas!$B$5-Premissas!$B$14),2)</f>
        <v/>
      </c>
      <c r="O163" s="24">
        <f>ROUND(IF(N163&lt;=30000,N163*(1+Premissas!$B$21),N163+Premissas!$B$21*30000*SQRT(N163/30000)),2)</f>
        <v/>
      </c>
      <c r="P163" s="24">
        <f>N163-I163</f>
        <v/>
      </c>
      <c r="Q163" s="26">
        <f>P163/I163</f>
        <v/>
      </c>
      <c r="R163" s="26">
        <f>(I163-L163-Premissas!$B$5*(I163-L163)-(Premissas!$B$6+Premissas!$B$7)*I163-M163)/I163</f>
        <v/>
      </c>
      <c r="S163" s="24">
        <f>ROUND((CEILING((L163*Premissas!$B$17/Premissas!$B$18-97)/100,1)*100+97)*Premissas!$B$18,2)</f>
        <v/>
      </c>
    </row>
    <row r="164">
      <c r="A164" s="17" t="inlineStr">
        <is>
          <t>KIT 29 MOD. 620W + INV. GROWATT 15KW</t>
        </is>
      </c>
      <c r="B164" s="17" t="inlineStr">
        <is>
          <t>GROWATT</t>
        </is>
      </c>
      <c r="C164" s="17" t="inlineStr">
        <is>
          <t>Inversor</t>
        </is>
      </c>
      <c r="D164" s="21" t="n">
        <v>29</v>
      </c>
      <c r="E164" s="30" t="n">
        <v>17.98</v>
      </c>
      <c r="F164" s="20" t="inlineStr">
        <is>
          <t>GROWATT MID 15KTL3-XL LV-TRI 220V</t>
        </is>
      </c>
      <c r="G164" s="21" t="n">
        <v>1</v>
      </c>
      <c r="H164" s="17" t="inlineStr">
        <is>
          <t>Sim</t>
        </is>
      </c>
      <c r="I164" s="23" t="n">
        <v>42416.85</v>
      </c>
      <c r="J164" s="24">
        <f>(D164*Premissas!$B$24+(2*ROUNDUP(D164/2,0))*Premissas!$B$26+INT((2*ROUNDUP(D164/2,0))/4)*Premissas!$B$27+MOD((2*ROUNDUP(D164/2,0)),4)/2*Premissas!$B$28+2*IF(D164&lt;=19,3*D164,IF(D164&lt;=50,ROUNDUP(2.5*D164,0),2*D164))*Premissas!$B$29+IF(C164="Micro",G164*(Premissas!$B$31+Premissas!$B$32+4*Premissas!$B$30),G164*(INDEX(Premissas!$B$40:$B$71,MATCH(F164,Premissas!$A$40:$A$71,0))+INDEX(Premissas!$C$40:$C$71,MATCH(F164,Premissas!$A$40:$A$71,0))*Premissas!$B$30)))</f>
        <v/>
      </c>
      <c r="K164" s="24">
        <f>IF(J164&lt;Premissas!$B$36,MAX(Premissas!$B$33,J164*Premissas!$B$34),J164*Premissas!$B$35)</f>
        <v/>
      </c>
      <c r="L164" s="24">
        <f>ROUND(J164+K164,2)</f>
        <v/>
      </c>
      <c r="M164" s="24">
        <f>D164*Premissas!$B$8+Premissas!$B$9+Premissas!$B$10+Premissas!$B$11+Premissas!$B$12+ROUND(Premissas!$B$13*E164,2)</f>
        <v/>
      </c>
      <c r="N164" s="25">
        <f>ROUNDUP((L164+M164-Premissas!$B$5*L164)/(1-Premissas!$B$6-Premissas!$B$7-Premissas!$B$5-Premissas!$B$14),2)</f>
        <v/>
      </c>
      <c r="O164" s="24">
        <f>ROUND(IF(N164&lt;=30000,N164*(1+Premissas!$B$21),N164+Premissas!$B$21*30000*SQRT(N164/30000)),2)</f>
        <v/>
      </c>
      <c r="P164" s="24">
        <f>N164-I164</f>
        <v/>
      </c>
      <c r="Q164" s="26">
        <f>P164/I164</f>
        <v/>
      </c>
      <c r="R164" s="26">
        <f>(I164-L164-Premissas!$B$5*(I164-L164)-(Premissas!$B$6+Premissas!$B$7)*I164-M164)/I164</f>
        <v/>
      </c>
      <c r="S164" s="24">
        <f>ROUND((CEILING((L164*Premissas!$B$17/Premissas!$B$18-97)/100,1)*100+97)*Premissas!$B$18,2)</f>
        <v/>
      </c>
    </row>
    <row r="165">
      <c r="A165" s="17" t="inlineStr">
        <is>
          <t>KIT 30 MOD. 620W + INV. GROWATT 15KW</t>
        </is>
      </c>
      <c r="B165" s="17" t="inlineStr">
        <is>
          <t>GROWATT</t>
        </is>
      </c>
      <c r="C165" s="17" t="inlineStr">
        <is>
          <t>Inversor</t>
        </is>
      </c>
      <c r="D165" s="21" t="n">
        <v>30</v>
      </c>
      <c r="E165" s="30" t="n">
        <v>18.6</v>
      </c>
      <c r="F165" s="20" t="inlineStr">
        <is>
          <t>GROWATT MID 15KTL3-XL LV-TRI 220V</t>
        </is>
      </c>
      <c r="G165" s="21" t="n">
        <v>1</v>
      </c>
      <c r="H165" s="17" t="inlineStr">
        <is>
          <t>Sim</t>
        </is>
      </c>
      <c r="I165" s="23" t="n">
        <v>43466.85</v>
      </c>
      <c r="J165" s="24">
        <f>(D165*Premissas!$B$24+(2*ROUNDUP(D165/2,0))*Premissas!$B$26+INT((2*ROUNDUP(D165/2,0))/4)*Premissas!$B$27+MOD((2*ROUNDUP(D165/2,0)),4)/2*Premissas!$B$28+2*IF(D165&lt;=19,3*D165,IF(D165&lt;=50,ROUNDUP(2.5*D165,0),2*D165))*Premissas!$B$29+IF(C165="Micro",G165*(Premissas!$B$31+Premissas!$B$32+4*Premissas!$B$30),G165*(INDEX(Premissas!$B$40:$B$71,MATCH(F165,Premissas!$A$40:$A$71,0))+INDEX(Premissas!$C$40:$C$71,MATCH(F165,Premissas!$A$40:$A$71,0))*Premissas!$B$30)))</f>
        <v/>
      </c>
      <c r="K165" s="24">
        <f>IF(J165&lt;Premissas!$B$36,MAX(Premissas!$B$33,J165*Premissas!$B$34),J165*Premissas!$B$35)</f>
        <v/>
      </c>
      <c r="L165" s="24">
        <f>ROUND(J165+K165,2)</f>
        <v/>
      </c>
      <c r="M165" s="24">
        <f>D165*Premissas!$B$8+Premissas!$B$9+Premissas!$B$10+Premissas!$B$11+Premissas!$B$12+ROUND(Premissas!$B$13*E165,2)</f>
        <v/>
      </c>
      <c r="N165" s="25">
        <f>ROUNDUP((L165+M165-Premissas!$B$5*L165)/(1-Premissas!$B$6-Premissas!$B$7-Premissas!$B$5-Premissas!$B$14),2)</f>
        <v/>
      </c>
      <c r="O165" s="24">
        <f>ROUND(IF(N165&lt;=30000,N165*(1+Premissas!$B$21),N165+Premissas!$B$21*30000*SQRT(N165/30000)),2)</f>
        <v/>
      </c>
      <c r="P165" s="24">
        <f>N165-I165</f>
        <v/>
      </c>
      <c r="Q165" s="26">
        <f>P165/I165</f>
        <v/>
      </c>
      <c r="R165" s="26">
        <f>(I165-L165-Premissas!$B$5*(I165-L165)-(Premissas!$B$6+Premissas!$B$7)*I165-M165)/I165</f>
        <v/>
      </c>
      <c r="S165" s="24">
        <f>ROUND((CEILING((L165*Premissas!$B$17/Premissas!$B$18-97)/100,1)*100+97)*Premissas!$B$18,2)</f>
        <v/>
      </c>
    </row>
    <row r="166">
      <c r="A166" s="17" t="inlineStr">
        <is>
          <t>KIT 31 MOD. 620W + INV. GROWATT 15KW</t>
        </is>
      </c>
      <c r="B166" s="17" t="inlineStr">
        <is>
          <t>GROWATT</t>
        </is>
      </c>
      <c r="C166" s="17" t="inlineStr">
        <is>
          <t>Inversor</t>
        </is>
      </c>
      <c r="D166" s="21" t="n">
        <v>31</v>
      </c>
      <c r="E166" s="30" t="n">
        <v>19.22</v>
      </c>
      <c r="F166" s="20" t="inlineStr">
        <is>
          <t>GROWATT MID 15KTL3-XL LV-TRI 220V</t>
        </is>
      </c>
      <c r="G166" s="21" t="n">
        <v>1</v>
      </c>
      <c r="H166" s="17" t="inlineStr">
        <is>
          <t>Sim</t>
        </is>
      </c>
      <c r="I166" s="23" t="n">
        <v>44831.85</v>
      </c>
      <c r="J166" s="24">
        <f>(D166*Premissas!$B$24+(2*ROUNDUP(D166/2,0))*Premissas!$B$26+INT((2*ROUNDUP(D166/2,0))/4)*Premissas!$B$27+MOD((2*ROUNDUP(D166/2,0)),4)/2*Premissas!$B$28+2*IF(D166&lt;=19,3*D166,IF(D166&lt;=50,ROUNDUP(2.5*D166,0),2*D166))*Premissas!$B$29+IF(C166="Micro",G166*(Premissas!$B$31+Premissas!$B$32+4*Premissas!$B$30),G166*(INDEX(Premissas!$B$40:$B$71,MATCH(F166,Premissas!$A$40:$A$71,0))+INDEX(Premissas!$C$40:$C$71,MATCH(F166,Premissas!$A$40:$A$71,0))*Premissas!$B$30)))</f>
        <v/>
      </c>
      <c r="K166" s="24">
        <f>IF(J166&lt;Premissas!$B$36,MAX(Premissas!$B$33,J166*Premissas!$B$34),J166*Premissas!$B$35)</f>
        <v/>
      </c>
      <c r="L166" s="24">
        <f>ROUND(J166+K166,2)</f>
        <v/>
      </c>
      <c r="M166" s="24">
        <f>D166*Premissas!$B$8+Premissas!$B$9+Premissas!$B$10+Premissas!$B$11+Premissas!$B$12+ROUND(Premissas!$B$13*E166,2)</f>
        <v/>
      </c>
      <c r="N166" s="25">
        <f>ROUNDUP((L166+M166-Premissas!$B$5*L166)/(1-Premissas!$B$6-Premissas!$B$7-Premissas!$B$5-Premissas!$B$14),2)</f>
        <v/>
      </c>
      <c r="O166" s="24">
        <f>ROUND(IF(N166&lt;=30000,N166*(1+Premissas!$B$21),N166+Premissas!$B$21*30000*SQRT(N166/30000)),2)</f>
        <v/>
      </c>
      <c r="P166" s="24">
        <f>N166-I166</f>
        <v/>
      </c>
      <c r="Q166" s="26">
        <f>P166/I166</f>
        <v/>
      </c>
      <c r="R166" s="26">
        <f>(I166-L166-Premissas!$B$5*(I166-L166)-(Premissas!$B$6+Premissas!$B$7)*I166-M166)/I166</f>
        <v/>
      </c>
      <c r="S166" s="24">
        <f>ROUND((CEILING((L166*Premissas!$B$17/Premissas!$B$18-97)/100,1)*100+97)*Premissas!$B$18,2)</f>
        <v/>
      </c>
    </row>
    <row r="167">
      <c r="A167" s="17" t="inlineStr">
        <is>
          <t>KIT 32 MOD. 620W + INV. GROWATT 15KW</t>
        </is>
      </c>
      <c r="B167" s="17" t="inlineStr">
        <is>
          <t>GROWATT</t>
        </is>
      </c>
      <c r="C167" s="17" t="inlineStr">
        <is>
          <t>Inversor</t>
        </is>
      </c>
      <c r="D167" s="21" t="n">
        <v>32</v>
      </c>
      <c r="E167" s="30" t="n">
        <v>19.84</v>
      </c>
      <c r="F167" s="20" t="inlineStr">
        <is>
          <t>GROWATT MID 15KTL3-XL LV-TRI 220V</t>
        </is>
      </c>
      <c r="G167" s="21" t="n">
        <v>1</v>
      </c>
      <c r="H167" s="17" t="inlineStr">
        <is>
          <t>Sim</t>
        </is>
      </c>
      <c r="I167" s="23" t="n">
        <v>45881.85</v>
      </c>
      <c r="J167" s="24">
        <f>(D167*Premissas!$B$24+(2*ROUNDUP(D167/2,0))*Premissas!$B$26+INT((2*ROUNDUP(D167/2,0))/4)*Premissas!$B$27+MOD((2*ROUNDUP(D167/2,0)),4)/2*Premissas!$B$28+2*IF(D167&lt;=19,3*D167,IF(D167&lt;=50,ROUNDUP(2.5*D167,0),2*D167))*Premissas!$B$29+IF(C167="Micro",G167*(Premissas!$B$31+Premissas!$B$32+4*Premissas!$B$30),G167*(INDEX(Premissas!$B$40:$B$71,MATCH(F167,Premissas!$A$40:$A$71,0))+INDEX(Premissas!$C$40:$C$71,MATCH(F167,Premissas!$A$40:$A$71,0))*Premissas!$B$30)))</f>
        <v/>
      </c>
      <c r="K167" s="24">
        <f>IF(J167&lt;Premissas!$B$36,MAX(Premissas!$B$33,J167*Premissas!$B$34),J167*Premissas!$B$35)</f>
        <v/>
      </c>
      <c r="L167" s="24">
        <f>ROUND(J167+K167,2)</f>
        <v/>
      </c>
      <c r="M167" s="24">
        <f>D167*Premissas!$B$8+Premissas!$B$9+Premissas!$B$10+Premissas!$B$11+Premissas!$B$12+ROUND(Premissas!$B$13*E167,2)</f>
        <v/>
      </c>
      <c r="N167" s="25">
        <f>ROUNDUP((L167+M167-Premissas!$B$5*L167)/(1-Premissas!$B$6-Premissas!$B$7-Premissas!$B$5-Premissas!$B$14),2)</f>
        <v/>
      </c>
      <c r="O167" s="24">
        <f>ROUND(IF(N167&lt;=30000,N167*(1+Premissas!$B$21),N167+Premissas!$B$21*30000*SQRT(N167/30000)),2)</f>
        <v/>
      </c>
      <c r="P167" s="24">
        <f>N167-I167</f>
        <v/>
      </c>
      <c r="Q167" s="26">
        <f>P167/I167</f>
        <v/>
      </c>
      <c r="R167" s="26">
        <f>(I167-L167-Premissas!$B$5*(I167-L167)-(Premissas!$B$6+Premissas!$B$7)*I167-M167)/I167</f>
        <v/>
      </c>
      <c r="S167" s="24">
        <f>ROUND((CEILING((L167*Premissas!$B$17/Premissas!$B$18-97)/100,1)*100+97)*Premissas!$B$18,2)</f>
        <v/>
      </c>
    </row>
    <row r="168">
      <c r="A168" s="17" t="inlineStr">
        <is>
          <t>KIT 33 MOD. 620W + INV. GROWATT 15KW</t>
        </is>
      </c>
      <c r="B168" s="17" t="inlineStr">
        <is>
          <t>GROWATT</t>
        </is>
      </c>
      <c r="C168" s="17" t="inlineStr">
        <is>
          <t>Inversor</t>
        </is>
      </c>
      <c r="D168" s="21" t="n">
        <v>33</v>
      </c>
      <c r="E168" s="30" t="n">
        <v>20.46</v>
      </c>
      <c r="F168" s="20" t="inlineStr">
        <is>
          <t>GROWATT MID 15KTL3-XL LV-TRI 220V</t>
        </is>
      </c>
      <c r="G168" s="21" t="n">
        <v>1</v>
      </c>
      <c r="H168" s="17" t="inlineStr">
        <is>
          <t>Sim</t>
        </is>
      </c>
      <c r="I168" s="23" t="n">
        <v>46931.85</v>
      </c>
      <c r="J168" s="24">
        <f>(D168*Premissas!$B$24+(2*ROUNDUP(D168/2,0))*Premissas!$B$26+INT((2*ROUNDUP(D168/2,0))/4)*Premissas!$B$27+MOD((2*ROUNDUP(D168/2,0)),4)/2*Premissas!$B$28+2*IF(D168&lt;=19,3*D168,IF(D168&lt;=50,ROUNDUP(2.5*D168,0),2*D168))*Premissas!$B$29+IF(C168="Micro",G168*(Premissas!$B$31+Premissas!$B$32+4*Premissas!$B$30),G168*(INDEX(Premissas!$B$40:$B$71,MATCH(F168,Premissas!$A$40:$A$71,0))+INDEX(Premissas!$C$40:$C$71,MATCH(F168,Premissas!$A$40:$A$71,0))*Premissas!$B$30)))</f>
        <v/>
      </c>
      <c r="K168" s="24">
        <f>IF(J168&lt;Premissas!$B$36,MAX(Premissas!$B$33,J168*Premissas!$B$34),J168*Premissas!$B$35)</f>
        <v/>
      </c>
      <c r="L168" s="24">
        <f>ROUND(J168+K168,2)</f>
        <v/>
      </c>
      <c r="M168" s="24">
        <f>D168*Premissas!$B$8+Premissas!$B$9+Premissas!$B$10+Premissas!$B$11+Premissas!$B$12+ROUND(Premissas!$B$13*E168,2)</f>
        <v/>
      </c>
      <c r="N168" s="25">
        <f>ROUNDUP((L168+M168-Premissas!$B$5*L168)/(1-Premissas!$B$6-Premissas!$B$7-Premissas!$B$5-Premissas!$B$14),2)</f>
        <v/>
      </c>
      <c r="O168" s="24">
        <f>ROUND(IF(N168&lt;=30000,N168*(1+Premissas!$B$21),N168+Premissas!$B$21*30000*SQRT(N168/30000)),2)</f>
        <v/>
      </c>
      <c r="P168" s="24">
        <f>N168-I168</f>
        <v/>
      </c>
      <c r="Q168" s="26">
        <f>P168/I168</f>
        <v/>
      </c>
      <c r="R168" s="26">
        <f>(I168-L168-Premissas!$B$5*(I168-L168)-(Premissas!$B$6+Premissas!$B$7)*I168-M168)/I168</f>
        <v/>
      </c>
      <c r="S168" s="24">
        <f>ROUND((CEILING((L168*Premissas!$B$17/Premissas!$B$18-97)/100,1)*100+97)*Premissas!$B$18,2)</f>
        <v/>
      </c>
    </row>
    <row r="169">
      <c r="A169" s="17" t="inlineStr">
        <is>
          <t>KIT 34 MOD. 620W + INV. GROWATT 15KW</t>
        </is>
      </c>
      <c r="B169" s="17" t="inlineStr">
        <is>
          <t>GROWATT</t>
        </is>
      </c>
      <c r="C169" s="17" t="inlineStr">
        <is>
          <t>Inversor</t>
        </is>
      </c>
      <c r="D169" s="21" t="n">
        <v>34</v>
      </c>
      <c r="E169" s="30" t="n">
        <v>21.08</v>
      </c>
      <c r="F169" s="20" t="inlineStr">
        <is>
          <t>GROWATT MID 15KTL3-XL LV-TRI 220V</t>
        </is>
      </c>
      <c r="G169" s="21" t="n">
        <v>1</v>
      </c>
      <c r="H169" s="17" t="inlineStr">
        <is>
          <t>Sim</t>
        </is>
      </c>
      <c r="I169" s="23" t="n">
        <v>47876.85</v>
      </c>
      <c r="J169" s="24">
        <f>(D169*Premissas!$B$24+(2*ROUNDUP(D169/2,0))*Premissas!$B$26+INT((2*ROUNDUP(D169/2,0))/4)*Premissas!$B$27+MOD((2*ROUNDUP(D169/2,0)),4)/2*Premissas!$B$28+2*IF(D169&lt;=19,3*D169,IF(D169&lt;=50,ROUNDUP(2.5*D169,0),2*D169))*Premissas!$B$29+IF(C169="Micro",G169*(Premissas!$B$31+Premissas!$B$32+4*Premissas!$B$30),G169*(INDEX(Premissas!$B$40:$B$71,MATCH(F169,Premissas!$A$40:$A$71,0))+INDEX(Premissas!$C$40:$C$71,MATCH(F169,Premissas!$A$40:$A$71,0))*Premissas!$B$30)))</f>
        <v/>
      </c>
      <c r="K169" s="24">
        <f>IF(J169&lt;Premissas!$B$36,MAX(Premissas!$B$33,J169*Premissas!$B$34),J169*Premissas!$B$35)</f>
        <v/>
      </c>
      <c r="L169" s="24">
        <f>ROUND(J169+K169,2)</f>
        <v/>
      </c>
      <c r="M169" s="24">
        <f>D169*Premissas!$B$8+Premissas!$B$9+Premissas!$B$10+Premissas!$B$11+Premissas!$B$12+ROUND(Premissas!$B$13*E169,2)</f>
        <v/>
      </c>
      <c r="N169" s="25">
        <f>ROUNDUP((L169+M169-Premissas!$B$5*L169)/(1-Premissas!$B$6-Premissas!$B$7-Premissas!$B$5-Premissas!$B$14),2)</f>
        <v/>
      </c>
      <c r="O169" s="24">
        <f>ROUND(IF(N169&lt;=30000,N169*(1+Premissas!$B$21),N169+Premissas!$B$21*30000*SQRT(N169/30000)),2)</f>
        <v/>
      </c>
      <c r="P169" s="24">
        <f>N169-I169</f>
        <v/>
      </c>
      <c r="Q169" s="26">
        <f>P169/I169</f>
        <v/>
      </c>
      <c r="R169" s="26">
        <f>(I169-L169-Premissas!$B$5*(I169-L169)-(Premissas!$B$6+Premissas!$B$7)*I169-M169)/I169</f>
        <v/>
      </c>
      <c r="S169" s="24">
        <f>ROUND((CEILING((L169*Premissas!$B$17/Premissas!$B$18-97)/100,1)*100+97)*Premissas!$B$18,2)</f>
        <v/>
      </c>
    </row>
    <row r="170">
      <c r="A170" s="17" t="inlineStr">
        <is>
          <t>KIT 35 MOD. 620W + INV. GROWATT 15KW</t>
        </is>
      </c>
      <c r="B170" s="17" t="inlineStr">
        <is>
          <t>GROWATT</t>
        </is>
      </c>
      <c r="C170" s="17" t="inlineStr">
        <is>
          <t>Inversor</t>
        </is>
      </c>
      <c r="D170" s="21" t="n">
        <v>35</v>
      </c>
      <c r="E170" s="30" t="n">
        <v>21.7</v>
      </c>
      <c r="F170" s="20" t="inlineStr">
        <is>
          <t>GROWATT MID 15KTL3-XL LV-TRI 220V</t>
        </is>
      </c>
      <c r="G170" s="21" t="n">
        <v>1</v>
      </c>
      <c r="H170" s="17" t="inlineStr">
        <is>
          <t>Sim</t>
        </is>
      </c>
      <c r="I170" s="23" t="n">
        <v>49241.85</v>
      </c>
      <c r="J170" s="24">
        <f>(D170*Premissas!$B$24+(2*ROUNDUP(D170/2,0))*Premissas!$B$26+INT((2*ROUNDUP(D170/2,0))/4)*Premissas!$B$27+MOD((2*ROUNDUP(D170/2,0)),4)/2*Premissas!$B$28+2*IF(D170&lt;=19,3*D170,IF(D170&lt;=50,ROUNDUP(2.5*D170,0),2*D170))*Premissas!$B$29+IF(C170="Micro",G170*(Premissas!$B$31+Premissas!$B$32+4*Premissas!$B$30),G170*(INDEX(Premissas!$B$40:$B$71,MATCH(F170,Premissas!$A$40:$A$71,0))+INDEX(Premissas!$C$40:$C$71,MATCH(F170,Premissas!$A$40:$A$71,0))*Premissas!$B$30)))</f>
        <v/>
      </c>
      <c r="K170" s="24">
        <f>IF(J170&lt;Premissas!$B$36,MAX(Premissas!$B$33,J170*Premissas!$B$34),J170*Premissas!$B$35)</f>
        <v/>
      </c>
      <c r="L170" s="24">
        <f>ROUND(J170+K170,2)</f>
        <v/>
      </c>
      <c r="M170" s="24">
        <f>D170*Premissas!$B$8+Premissas!$B$9+Premissas!$B$10+Premissas!$B$11+Premissas!$B$12+ROUND(Premissas!$B$13*E170,2)</f>
        <v/>
      </c>
      <c r="N170" s="25">
        <f>ROUNDUP((L170+M170-Premissas!$B$5*L170)/(1-Premissas!$B$6-Premissas!$B$7-Premissas!$B$5-Premissas!$B$14),2)</f>
        <v/>
      </c>
      <c r="O170" s="24">
        <f>ROUND(IF(N170&lt;=30000,N170*(1+Premissas!$B$21),N170+Premissas!$B$21*30000*SQRT(N170/30000)),2)</f>
        <v/>
      </c>
      <c r="P170" s="24">
        <f>N170-I170</f>
        <v/>
      </c>
      <c r="Q170" s="26">
        <f>P170/I170</f>
        <v/>
      </c>
      <c r="R170" s="26">
        <f>(I170-L170-Premissas!$B$5*(I170-L170)-(Premissas!$B$6+Premissas!$B$7)*I170-M170)/I170</f>
        <v/>
      </c>
      <c r="S170" s="24">
        <f>ROUND((CEILING((L170*Premissas!$B$17/Premissas!$B$18-97)/100,1)*100+97)*Premissas!$B$18,2)</f>
        <v/>
      </c>
    </row>
    <row r="171">
      <c r="A171" s="17" t="inlineStr">
        <is>
          <t>KIT 36 MOD. 620W + INV. GROWATT 15KW</t>
        </is>
      </c>
      <c r="B171" s="17" t="inlineStr">
        <is>
          <t>GROWATT</t>
        </is>
      </c>
      <c r="C171" s="17" t="inlineStr">
        <is>
          <t>Inversor</t>
        </is>
      </c>
      <c r="D171" s="21" t="n">
        <v>36</v>
      </c>
      <c r="E171" s="30" t="n">
        <v>22.32</v>
      </c>
      <c r="F171" s="20" t="inlineStr">
        <is>
          <t>GROWATT MID 15KTL3-XL LV-TRI 220V</t>
        </is>
      </c>
      <c r="G171" s="21" t="n">
        <v>1</v>
      </c>
      <c r="H171" s="17" t="inlineStr">
        <is>
          <t>Sim</t>
        </is>
      </c>
      <c r="I171" s="23" t="n">
        <v>50291.85</v>
      </c>
      <c r="J171" s="24">
        <f>(D171*Premissas!$B$24+(2*ROUNDUP(D171/2,0))*Premissas!$B$26+INT((2*ROUNDUP(D171/2,0))/4)*Premissas!$B$27+MOD((2*ROUNDUP(D171/2,0)),4)/2*Premissas!$B$28+2*IF(D171&lt;=19,3*D171,IF(D171&lt;=50,ROUNDUP(2.5*D171,0),2*D171))*Premissas!$B$29+IF(C171="Micro",G171*(Premissas!$B$31+Premissas!$B$32+4*Premissas!$B$30),G171*(INDEX(Premissas!$B$40:$B$71,MATCH(F171,Premissas!$A$40:$A$71,0))+INDEX(Premissas!$C$40:$C$71,MATCH(F171,Premissas!$A$40:$A$71,0))*Premissas!$B$30)))</f>
        <v/>
      </c>
      <c r="K171" s="24">
        <f>IF(J171&lt;Premissas!$B$36,MAX(Premissas!$B$33,J171*Premissas!$B$34),J171*Premissas!$B$35)</f>
        <v/>
      </c>
      <c r="L171" s="24">
        <f>ROUND(J171+K171,2)</f>
        <v/>
      </c>
      <c r="M171" s="24">
        <f>D171*Premissas!$B$8+Premissas!$B$9+Premissas!$B$10+Premissas!$B$11+Premissas!$B$12+ROUND(Premissas!$B$13*E171,2)</f>
        <v/>
      </c>
      <c r="N171" s="25">
        <f>ROUNDUP((L171+M171-Premissas!$B$5*L171)/(1-Premissas!$B$6-Premissas!$B$7-Premissas!$B$5-Premissas!$B$14),2)</f>
        <v/>
      </c>
      <c r="O171" s="24">
        <f>ROUND(IF(N171&lt;=30000,N171*(1+Premissas!$B$21),N171+Premissas!$B$21*30000*SQRT(N171/30000)),2)</f>
        <v/>
      </c>
      <c r="P171" s="24">
        <f>N171-I171</f>
        <v/>
      </c>
      <c r="Q171" s="26">
        <f>P171/I171</f>
        <v/>
      </c>
      <c r="R171" s="26">
        <f>(I171-L171-Premissas!$B$5*(I171-L171)-(Premissas!$B$6+Premissas!$B$7)*I171-M171)/I171</f>
        <v/>
      </c>
      <c r="S171" s="24">
        <f>ROUND((CEILING((L171*Premissas!$B$17/Premissas!$B$18-97)/100,1)*100+97)*Premissas!$B$18,2)</f>
        <v/>
      </c>
    </row>
    <row r="172">
      <c r="A172" s="17" t="inlineStr">
        <is>
          <t>KIT 37 MOD. 620W + INV. GROWATT 20KW</t>
        </is>
      </c>
      <c r="B172" s="17" t="inlineStr">
        <is>
          <t>GROWATT</t>
        </is>
      </c>
      <c r="C172" s="17" t="inlineStr">
        <is>
          <t>Inversor</t>
        </is>
      </c>
      <c r="D172" s="21" t="n">
        <v>37</v>
      </c>
      <c r="E172" s="30" t="n">
        <v>22.94</v>
      </c>
      <c r="F172" s="20" t="inlineStr">
        <is>
          <t>GROWATT MID 20K TL3-XL LV-TRI 220V</t>
        </is>
      </c>
      <c r="G172" s="21" t="n">
        <v>1</v>
      </c>
      <c r="H172" s="17" t="inlineStr">
        <is>
          <t>Sim</t>
        </is>
      </c>
      <c r="I172" s="23" t="n">
        <v>54596.85</v>
      </c>
      <c r="J172" s="24">
        <f>(D172*Premissas!$B$24+(2*ROUNDUP(D172/2,0))*Premissas!$B$26+INT((2*ROUNDUP(D172/2,0))/4)*Premissas!$B$27+MOD((2*ROUNDUP(D172/2,0)),4)/2*Premissas!$B$28+2*IF(D172&lt;=19,3*D172,IF(D172&lt;=50,ROUNDUP(2.5*D172,0),2*D172))*Premissas!$B$29+IF(C172="Micro",G172*(Premissas!$B$31+Premissas!$B$32+4*Premissas!$B$30),G172*(INDEX(Premissas!$B$40:$B$71,MATCH(F172,Premissas!$A$40:$A$71,0))+INDEX(Premissas!$C$40:$C$71,MATCH(F172,Premissas!$A$40:$A$71,0))*Premissas!$B$30)))</f>
        <v/>
      </c>
      <c r="K172" s="24">
        <f>IF(J172&lt;Premissas!$B$36,MAX(Premissas!$B$33,J172*Premissas!$B$34),J172*Premissas!$B$35)</f>
        <v/>
      </c>
      <c r="L172" s="24">
        <f>ROUND(J172+K172,2)</f>
        <v/>
      </c>
      <c r="M172" s="24">
        <f>D172*Premissas!$B$8+Premissas!$B$9+Premissas!$B$10+Premissas!$B$11+Premissas!$B$12+ROUND(Premissas!$B$13*E172,2)</f>
        <v/>
      </c>
      <c r="N172" s="25">
        <f>ROUNDUP((L172+M172-Premissas!$B$5*L172)/(1-Premissas!$B$6-Premissas!$B$7-Premissas!$B$5-Premissas!$B$14),2)</f>
        <v/>
      </c>
      <c r="O172" s="24">
        <f>ROUND(IF(N172&lt;=30000,N172*(1+Premissas!$B$21),N172+Premissas!$B$21*30000*SQRT(N172/30000)),2)</f>
        <v/>
      </c>
      <c r="P172" s="24">
        <f>N172-I172</f>
        <v/>
      </c>
      <c r="Q172" s="26">
        <f>P172/I172</f>
        <v/>
      </c>
      <c r="R172" s="26">
        <f>(I172-L172-Premissas!$B$5*(I172-L172)-(Premissas!$B$6+Premissas!$B$7)*I172-M172)/I172</f>
        <v/>
      </c>
      <c r="S172" s="24">
        <f>ROUND((CEILING((L172*Premissas!$B$17/Premissas!$B$18-97)/100,1)*100+97)*Premissas!$B$18,2)</f>
        <v/>
      </c>
    </row>
    <row r="173">
      <c r="A173" s="17" t="inlineStr">
        <is>
          <t>KIT 38 MOD. 620W + INV. GROWATT 20KW</t>
        </is>
      </c>
      <c r="B173" s="17" t="inlineStr">
        <is>
          <t>GROWATT</t>
        </is>
      </c>
      <c r="C173" s="17" t="inlineStr">
        <is>
          <t>Inversor</t>
        </is>
      </c>
      <c r="D173" s="21" t="n">
        <v>38</v>
      </c>
      <c r="E173" s="30" t="n">
        <v>23.56</v>
      </c>
      <c r="F173" s="20" t="inlineStr">
        <is>
          <t>GROWATT MID 20K TL3-XL LV-TRI 220V</t>
        </is>
      </c>
      <c r="G173" s="21" t="n">
        <v>1</v>
      </c>
      <c r="H173" s="17" t="inlineStr">
        <is>
          <t>Sim</t>
        </is>
      </c>
      <c r="I173" s="23" t="n">
        <v>55646.85</v>
      </c>
      <c r="J173" s="24">
        <f>(D173*Premissas!$B$24+(2*ROUNDUP(D173/2,0))*Premissas!$B$26+INT((2*ROUNDUP(D173/2,0))/4)*Premissas!$B$27+MOD((2*ROUNDUP(D173/2,0)),4)/2*Premissas!$B$28+2*IF(D173&lt;=19,3*D173,IF(D173&lt;=50,ROUNDUP(2.5*D173,0),2*D173))*Premissas!$B$29+IF(C173="Micro",G173*(Premissas!$B$31+Premissas!$B$32+4*Premissas!$B$30),G173*(INDEX(Premissas!$B$40:$B$71,MATCH(F173,Premissas!$A$40:$A$71,0))+INDEX(Premissas!$C$40:$C$71,MATCH(F173,Premissas!$A$40:$A$71,0))*Premissas!$B$30)))</f>
        <v/>
      </c>
      <c r="K173" s="24">
        <f>IF(J173&lt;Premissas!$B$36,MAX(Premissas!$B$33,J173*Premissas!$B$34),J173*Premissas!$B$35)</f>
        <v/>
      </c>
      <c r="L173" s="24">
        <f>ROUND(J173+K173,2)</f>
        <v/>
      </c>
      <c r="M173" s="24">
        <f>D173*Premissas!$B$8+Premissas!$B$9+Premissas!$B$10+Premissas!$B$11+Premissas!$B$12+ROUND(Premissas!$B$13*E173,2)</f>
        <v/>
      </c>
      <c r="N173" s="25">
        <f>ROUNDUP((L173+M173-Premissas!$B$5*L173)/(1-Premissas!$B$6-Premissas!$B$7-Premissas!$B$5-Premissas!$B$14),2)</f>
        <v/>
      </c>
      <c r="O173" s="24">
        <f>ROUND(IF(N173&lt;=30000,N173*(1+Premissas!$B$21),N173+Premissas!$B$21*30000*SQRT(N173/30000)),2)</f>
        <v/>
      </c>
      <c r="P173" s="24">
        <f>N173-I173</f>
        <v/>
      </c>
      <c r="Q173" s="26">
        <f>P173/I173</f>
        <v/>
      </c>
      <c r="R173" s="26">
        <f>(I173-L173-Premissas!$B$5*(I173-L173)-(Premissas!$B$6+Premissas!$B$7)*I173-M173)/I173</f>
        <v/>
      </c>
      <c r="S173" s="24">
        <f>ROUND((CEILING((L173*Premissas!$B$17/Premissas!$B$18-97)/100,1)*100+97)*Premissas!$B$18,2)</f>
        <v/>
      </c>
    </row>
    <row r="174">
      <c r="A174" s="17" t="inlineStr">
        <is>
          <t>KIT 39 MOD. 620W + INV. GROWATT 20KW</t>
        </is>
      </c>
      <c r="B174" s="17" t="inlineStr">
        <is>
          <t>GROWATT</t>
        </is>
      </c>
      <c r="C174" s="17" t="inlineStr">
        <is>
          <t>Inversor</t>
        </is>
      </c>
      <c r="D174" s="21" t="n">
        <v>39</v>
      </c>
      <c r="E174" s="30" t="n">
        <v>24.18</v>
      </c>
      <c r="F174" s="20" t="inlineStr">
        <is>
          <t>GROWATT MID 20K TL3-XL LV-TRI 220V</t>
        </is>
      </c>
      <c r="G174" s="21" t="n">
        <v>1</v>
      </c>
      <c r="H174" s="17" t="inlineStr">
        <is>
          <t>Sim</t>
        </is>
      </c>
      <c r="I174" s="23" t="n">
        <v>57011.85</v>
      </c>
      <c r="J174" s="24">
        <f>(D174*Premissas!$B$24+(2*ROUNDUP(D174/2,0))*Premissas!$B$26+INT((2*ROUNDUP(D174/2,0))/4)*Premissas!$B$27+MOD((2*ROUNDUP(D174/2,0)),4)/2*Premissas!$B$28+2*IF(D174&lt;=19,3*D174,IF(D174&lt;=50,ROUNDUP(2.5*D174,0),2*D174))*Premissas!$B$29+IF(C174="Micro",G174*(Premissas!$B$31+Premissas!$B$32+4*Premissas!$B$30),G174*(INDEX(Premissas!$B$40:$B$71,MATCH(F174,Premissas!$A$40:$A$71,0))+INDEX(Premissas!$C$40:$C$71,MATCH(F174,Premissas!$A$40:$A$71,0))*Premissas!$B$30)))</f>
        <v/>
      </c>
      <c r="K174" s="24">
        <f>IF(J174&lt;Premissas!$B$36,MAX(Premissas!$B$33,J174*Premissas!$B$34),J174*Premissas!$B$35)</f>
        <v/>
      </c>
      <c r="L174" s="24">
        <f>ROUND(J174+K174,2)</f>
        <v/>
      </c>
      <c r="M174" s="24">
        <f>D174*Premissas!$B$8+Premissas!$B$9+Premissas!$B$10+Premissas!$B$11+Premissas!$B$12+ROUND(Premissas!$B$13*E174,2)</f>
        <v/>
      </c>
      <c r="N174" s="25">
        <f>ROUNDUP((L174+M174-Premissas!$B$5*L174)/(1-Premissas!$B$6-Premissas!$B$7-Premissas!$B$5-Premissas!$B$14),2)</f>
        <v/>
      </c>
      <c r="O174" s="24">
        <f>ROUND(IF(N174&lt;=30000,N174*(1+Premissas!$B$21),N174+Premissas!$B$21*30000*SQRT(N174/30000)),2)</f>
        <v/>
      </c>
      <c r="P174" s="24">
        <f>N174-I174</f>
        <v/>
      </c>
      <c r="Q174" s="26">
        <f>P174/I174</f>
        <v/>
      </c>
      <c r="R174" s="26">
        <f>(I174-L174-Premissas!$B$5*(I174-L174)-(Premissas!$B$6+Premissas!$B$7)*I174-M174)/I174</f>
        <v/>
      </c>
      <c r="S174" s="24">
        <f>ROUND((CEILING((L174*Premissas!$B$17/Premissas!$B$18-97)/100,1)*100+97)*Premissas!$B$18,2)</f>
        <v/>
      </c>
    </row>
    <row r="175">
      <c r="A175" s="17" t="inlineStr">
        <is>
          <t>KIT 40 MOD. 620W + INV. GROWATT 20KW</t>
        </is>
      </c>
      <c r="B175" s="17" t="inlineStr">
        <is>
          <t>GROWATT</t>
        </is>
      </c>
      <c r="C175" s="17" t="inlineStr">
        <is>
          <t>Inversor</t>
        </is>
      </c>
      <c r="D175" s="21" t="n">
        <v>40</v>
      </c>
      <c r="E175" s="30" t="n">
        <v>24.8</v>
      </c>
      <c r="F175" s="20" t="inlineStr">
        <is>
          <t>GROWATT MID 20K TL3-XL LV-TRI 220V</t>
        </is>
      </c>
      <c r="G175" s="21" t="n">
        <v>1</v>
      </c>
      <c r="H175" s="17" t="inlineStr">
        <is>
          <t>Sim</t>
        </is>
      </c>
      <c r="I175" s="23" t="n">
        <v>57956.85</v>
      </c>
      <c r="J175" s="24">
        <f>(D175*Premissas!$B$24+(2*ROUNDUP(D175/2,0))*Premissas!$B$26+INT((2*ROUNDUP(D175/2,0))/4)*Premissas!$B$27+MOD((2*ROUNDUP(D175/2,0)),4)/2*Premissas!$B$28+2*IF(D175&lt;=19,3*D175,IF(D175&lt;=50,ROUNDUP(2.5*D175,0),2*D175))*Premissas!$B$29+IF(C175="Micro",G175*(Premissas!$B$31+Premissas!$B$32+4*Premissas!$B$30),G175*(INDEX(Premissas!$B$40:$B$71,MATCH(F175,Premissas!$A$40:$A$71,0))+INDEX(Premissas!$C$40:$C$71,MATCH(F175,Premissas!$A$40:$A$71,0))*Premissas!$B$30)))</f>
        <v/>
      </c>
      <c r="K175" s="24">
        <f>IF(J175&lt;Premissas!$B$36,MAX(Premissas!$B$33,J175*Premissas!$B$34),J175*Premissas!$B$35)</f>
        <v/>
      </c>
      <c r="L175" s="24">
        <f>ROUND(J175+K175,2)</f>
        <v/>
      </c>
      <c r="M175" s="24">
        <f>D175*Premissas!$B$8+Premissas!$B$9+Premissas!$B$10+Premissas!$B$11+Premissas!$B$12+ROUND(Premissas!$B$13*E175,2)</f>
        <v/>
      </c>
      <c r="N175" s="25">
        <f>ROUNDUP((L175+M175-Premissas!$B$5*L175)/(1-Premissas!$B$6-Premissas!$B$7-Premissas!$B$5-Premissas!$B$14),2)</f>
        <v/>
      </c>
      <c r="O175" s="24">
        <f>ROUND(IF(N175&lt;=30000,N175*(1+Premissas!$B$21),N175+Premissas!$B$21*30000*SQRT(N175/30000)),2)</f>
        <v/>
      </c>
      <c r="P175" s="24">
        <f>N175-I175</f>
        <v/>
      </c>
      <c r="Q175" s="26">
        <f>P175/I175</f>
        <v/>
      </c>
      <c r="R175" s="26">
        <f>(I175-L175-Premissas!$B$5*(I175-L175)-(Premissas!$B$6+Premissas!$B$7)*I175-M175)/I175</f>
        <v/>
      </c>
      <c r="S175" s="24">
        <f>ROUND((CEILING((L175*Premissas!$B$17/Premissas!$B$18-97)/100,1)*100+97)*Premissas!$B$18,2)</f>
        <v/>
      </c>
    </row>
    <row r="176">
      <c r="A176" s="17" t="inlineStr">
        <is>
          <t>KIT 41 MOD. 620W + INV. GROWATT 20KW</t>
        </is>
      </c>
      <c r="B176" s="17" t="inlineStr">
        <is>
          <t>GROWATT</t>
        </is>
      </c>
      <c r="C176" s="17" t="inlineStr">
        <is>
          <t>Inversor</t>
        </is>
      </c>
      <c r="D176" s="21" t="n">
        <v>41</v>
      </c>
      <c r="E176" s="30" t="n">
        <v>25.42</v>
      </c>
      <c r="F176" s="20" t="inlineStr">
        <is>
          <t>GROWATT MID 20K TL3-XL LV-TRI 220V</t>
        </is>
      </c>
      <c r="G176" s="21" t="n">
        <v>1</v>
      </c>
      <c r="H176" s="17" t="inlineStr">
        <is>
          <t>Sim</t>
        </is>
      </c>
      <c r="I176" s="23" t="n">
        <v>59321.85</v>
      </c>
      <c r="J176" s="24">
        <f>(D176*Premissas!$B$24+(2*ROUNDUP(D176/2,0))*Premissas!$B$26+INT((2*ROUNDUP(D176/2,0))/4)*Premissas!$B$27+MOD((2*ROUNDUP(D176/2,0)),4)/2*Premissas!$B$28+2*IF(D176&lt;=19,3*D176,IF(D176&lt;=50,ROUNDUP(2.5*D176,0),2*D176))*Premissas!$B$29+IF(C176="Micro",G176*(Premissas!$B$31+Premissas!$B$32+4*Premissas!$B$30),G176*(INDEX(Premissas!$B$40:$B$71,MATCH(F176,Premissas!$A$40:$A$71,0))+INDEX(Premissas!$C$40:$C$71,MATCH(F176,Premissas!$A$40:$A$71,0))*Premissas!$B$30)))</f>
        <v/>
      </c>
      <c r="K176" s="24">
        <f>IF(J176&lt;Premissas!$B$36,MAX(Premissas!$B$33,J176*Premissas!$B$34),J176*Premissas!$B$35)</f>
        <v/>
      </c>
      <c r="L176" s="24">
        <f>ROUND(J176+K176,2)</f>
        <v/>
      </c>
      <c r="M176" s="24">
        <f>D176*Premissas!$B$8+Premissas!$B$9+Premissas!$B$10+Premissas!$B$11+Premissas!$B$12+ROUND(Premissas!$B$13*E176,2)</f>
        <v/>
      </c>
      <c r="N176" s="25">
        <f>ROUNDUP((L176+M176-Premissas!$B$5*L176)/(1-Premissas!$B$6-Premissas!$B$7-Premissas!$B$5-Premissas!$B$14),2)</f>
        <v/>
      </c>
      <c r="O176" s="24">
        <f>ROUND(IF(N176&lt;=30000,N176*(1+Premissas!$B$21),N176+Premissas!$B$21*30000*SQRT(N176/30000)),2)</f>
        <v/>
      </c>
      <c r="P176" s="24">
        <f>N176-I176</f>
        <v/>
      </c>
      <c r="Q176" s="26">
        <f>P176/I176</f>
        <v/>
      </c>
      <c r="R176" s="26">
        <f>(I176-L176-Premissas!$B$5*(I176-L176)-(Premissas!$B$6+Premissas!$B$7)*I176-M176)/I176</f>
        <v/>
      </c>
      <c r="S176" s="24">
        <f>ROUND((CEILING((L176*Premissas!$B$17/Premissas!$B$18-97)/100,1)*100+97)*Premissas!$B$18,2)</f>
        <v/>
      </c>
    </row>
    <row r="177">
      <c r="A177" s="17" t="inlineStr">
        <is>
          <t>KIT 42 MOD. 620W + INV. GROWATT 20KW</t>
        </is>
      </c>
      <c r="B177" s="17" t="inlineStr">
        <is>
          <t>GROWATT</t>
        </is>
      </c>
      <c r="C177" s="17" t="inlineStr">
        <is>
          <t>Inversor</t>
        </is>
      </c>
      <c r="D177" s="21" t="n">
        <v>42</v>
      </c>
      <c r="E177" s="30" t="n">
        <v>26.04</v>
      </c>
      <c r="F177" s="20" t="inlineStr">
        <is>
          <t>GROWATT MID 20K TL3-XL LV-TRI 220V</t>
        </is>
      </c>
      <c r="G177" s="21" t="n">
        <v>1</v>
      </c>
      <c r="H177" s="17" t="inlineStr">
        <is>
          <t>Sim</t>
        </is>
      </c>
      <c r="I177" s="23" t="n">
        <v>60371.85</v>
      </c>
      <c r="J177" s="24">
        <f>(D177*Premissas!$B$24+(2*ROUNDUP(D177/2,0))*Premissas!$B$26+INT((2*ROUNDUP(D177/2,0))/4)*Premissas!$B$27+MOD((2*ROUNDUP(D177/2,0)),4)/2*Premissas!$B$28+2*IF(D177&lt;=19,3*D177,IF(D177&lt;=50,ROUNDUP(2.5*D177,0),2*D177))*Premissas!$B$29+IF(C177="Micro",G177*(Premissas!$B$31+Premissas!$B$32+4*Premissas!$B$30),G177*(INDEX(Premissas!$B$40:$B$71,MATCH(F177,Premissas!$A$40:$A$71,0))+INDEX(Premissas!$C$40:$C$71,MATCH(F177,Premissas!$A$40:$A$71,0))*Premissas!$B$30)))</f>
        <v/>
      </c>
      <c r="K177" s="24">
        <f>IF(J177&lt;Premissas!$B$36,MAX(Premissas!$B$33,J177*Premissas!$B$34),J177*Premissas!$B$35)</f>
        <v/>
      </c>
      <c r="L177" s="24">
        <f>ROUND(J177+K177,2)</f>
        <v/>
      </c>
      <c r="M177" s="24">
        <f>D177*Premissas!$B$8+Premissas!$B$9+Premissas!$B$10+Premissas!$B$11+Premissas!$B$12+ROUND(Premissas!$B$13*E177,2)</f>
        <v/>
      </c>
      <c r="N177" s="25">
        <f>ROUNDUP((L177+M177-Premissas!$B$5*L177)/(1-Premissas!$B$6-Premissas!$B$7-Premissas!$B$5-Premissas!$B$14),2)</f>
        <v/>
      </c>
      <c r="O177" s="24">
        <f>ROUND(IF(N177&lt;=30000,N177*(1+Premissas!$B$21),N177+Premissas!$B$21*30000*SQRT(N177/30000)),2)</f>
        <v/>
      </c>
      <c r="P177" s="24">
        <f>N177-I177</f>
        <v/>
      </c>
      <c r="Q177" s="26">
        <f>P177/I177</f>
        <v/>
      </c>
      <c r="R177" s="26">
        <f>(I177-L177-Premissas!$B$5*(I177-L177)-(Premissas!$B$6+Premissas!$B$7)*I177-M177)/I177</f>
        <v/>
      </c>
      <c r="S177" s="24">
        <f>ROUND((CEILING((L177*Premissas!$B$17/Premissas!$B$18-97)/100,1)*100+97)*Premissas!$B$18,2)</f>
        <v/>
      </c>
    </row>
    <row r="178">
      <c r="A178" s="17" t="inlineStr">
        <is>
          <t>KIT 43 MOD. 620W + INV. GROWATT 20KW</t>
        </is>
      </c>
      <c r="B178" s="17" t="inlineStr">
        <is>
          <t>GROWATT</t>
        </is>
      </c>
      <c r="C178" s="17" t="inlineStr">
        <is>
          <t>Inversor</t>
        </is>
      </c>
      <c r="D178" s="21" t="n">
        <v>43</v>
      </c>
      <c r="E178" s="30" t="n">
        <v>26.66</v>
      </c>
      <c r="F178" s="20" t="inlineStr">
        <is>
          <t>GROWATT MID 20K TL3-XL LV-TRI 220V</t>
        </is>
      </c>
      <c r="G178" s="21" t="n">
        <v>1</v>
      </c>
      <c r="H178" s="17" t="inlineStr">
        <is>
          <t>Sim</t>
        </is>
      </c>
      <c r="I178" s="23" t="n">
        <v>61736.85</v>
      </c>
      <c r="J178" s="24">
        <f>(D178*Premissas!$B$24+(2*ROUNDUP(D178/2,0))*Premissas!$B$26+INT((2*ROUNDUP(D178/2,0))/4)*Premissas!$B$27+MOD((2*ROUNDUP(D178/2,0)),4)/2*Premissas!$B$28+2*IF(D178&lt;=19,3*D178,IF(D178&lt;=50,ROUNDUP(2.5*D178,0),2*D178))*Premissas!$B$29+IF(C178="Micro",G178*(Premissas!$B$31+Premissas!$B$32+4*Premissas!$B$30),G178*(INDEX(Premissas!$B$40:$B$71,MATCH(F178,Premissas!$A$40:$A$71,0))+INDEX(Premissas!$C$40:$C$71,MATCH(F178,Premissas!$A$40:$A$71,0))*Premissas!$B$30)))</f>
        <v/>
      </c>
      <c r="K178" s="24">
        <f>IF(J178&lt;Premissas!$B$36,MAX(Premissas!$B$33,J178*Premissas!$B$34),J178*Premissas!$B$35)</f>
        <v/>
      </c>
      <c r="L178" s="24">
        <f>ROUND(J178+K178,2)</f>
        <v/>
      </c>
      <c r="M178" s="24">
        <f>D178*Premissas!$B$8+Premissas!$B$9+Premissas!$B$10+Premissas!$B$11+Premissas!$B$12+ROUND(Premissas!$B$13*E178,2)</f>
        <v/>
      </c>
      <c r="N178" s="25">
        <f>ROUNDUP((L178+M178-Premissas!$B$5*L178)/(1-Premissas!$B$6-Premissas!$B$7-Premissas!$B$5-Premissas!$B$14),2)</f>
        <v/>
      </c>
      <c r="O178" s="24">
        <f>ROUND(IF(N178&lt;=30000,N178*(1+Premissas!$B$21),N178+Premissas!$B$21*30000*SQRT(N178/30000)),2)</f>
        <v/>
      </c>
      <c r="P178" s="24">
        <f>N178-I178</f>
        <v/>
      </c>
      <c r="Q178" s="26">
        <f>P178/I178</f>
        <v/>
      </c>
      <c r="R178" s="26">
        <f>(I178-L178-Premissas!$B$5*(I178-L178)-(Premissas!$B$6+Premissas!$B$7)*I178-M178)/I178</f>
        <v/>
      </c>
      <c r="S178" s="24">
        <f>ROUND((CEILING((L178*Premissas!$B$17/Premissas!$B$18-97)/100,1)*100+97)*Premissas!$B$18,2)</f>
        <v/>
      </c>
    </row>
    <row r="179">
      <c r="A179" s="17" t="inlineStr">
        <is>
          <t>KIT 44 MOD. 620W + INV. GROWATT 20KW</t>
        </is>
      </c>
      <c r="B179" s="17" t="inlineStr">
        <is>
          <t>GROWATT</t>
        </is>
      </c>
      <c r="C179" s="17" t="inlineStr">
        <is>
          <t>Inversor</t>
        </is>
      </c>
      <c r="D179" s="21" t="n">
        <v>44</v>
      </c>
      <c r="E179" s="30" t="n">
        <v>27.28</v>
      </c>
      <c r="F179" s="20" t="inlineStr">
        <is>
          <t>GROWATT MID 20K TL3-XL LV-TRI 220V</t>
        </is>
      </c>
      <c r="G179" s="21" t="n">
        <v>1</v>
      </c>
      <c r="H179" s="17" t="inlineStr">
        <is>
          <t>Sim</t>
        </is>
      </c>
      <c r="I179" s="23" t="n">
        <v>62681.85</v>
      </c>
      <c r="J179" s="24">
        <f>(D179*Premissas!$B$24+(2*ROUNDUP(D179/2,0))*Premissas!$B$26+INT((2*ROUNDUP(D179/2,0))/4)*Premissas!$B$27+MOD((2*ROUNDUP(D179/2,0)),4)/2*Premissas!$B$28+2*IF(D179&lt;=19,3*D179,IF(D179&lt;=50,ROUNDUP(2.5*D179,0),2*D179))*Premissas!$B$29+IF(C179="Micro",G179*(Premissas!$B$31+Premissas!$B$32+4*Premissas!$B$30),G179*(INDEX(Premissas!$B$40:$B$71,MATCH(F179,Premissas!$A$40:$A$71,0))+INDEX(Premissas!$C$40:$C$71,MATCH(F179,Premissas!$A$40:$A$71,0))*Premissas!$B$30)))</f>
        <v/>
      </c>
      <c r="K179" s="24">
        <f>IF(J179&lt;Premissas!$B$36,MAX(Premissas!$B$33,J179*Premissas!$B$34),J179*Premissas!$B$35)</f>
        <v/>
      </c>
      <c r="L179" s="24">
        <f>ROUND(J179+K179,2)</f>
        <v/>
      </c>
      <c r="M179" s="24">
        <f>D179*Premissas!$B$8+Premissas!$B$9+Premissas!$B$10+Premissas!$B$11+Premissas!$B$12+ROUND(Premissas!$B$13*E179,2)</f>
        <v/>
      </c>
      <c r="N179" s="25">
        <f>ROUNDUP((L179+M179-Premissas!$B$5*L179)/(1-Premissas!$B$6-Premissas!$B$7-Premissas!$B$5-Premissas!$B$14),2)</f>
        <v/>
      </c>
      <c r="O179" s="24">
        <f>ROUND(IF(N179&lt;=30000,N179*(1+Premissas!$B$21),N179+Premissas!$B$21*30000*SQRT(N179/30000)),2)</f>
        <v/>
      </c>
      <c r="P179" s="24">
        <f>N179-I179</f>
        <v/>
      </c>
      <c r="Q179" s="26">
        <f>P179/I179</f>
        <v/>
      </c>
      <c r="R179" s="26">
        <f>(I179-L179-Premissas!$B$5*(I179-L179)-(Premissas!$B$6+Premissas!$B$7)*I179-M179)/I179</f>
        <v/>
      </c>
      <c r="S179" s="24">
        <f>ROUND((CEILING((L179*Premissas!$B$17/Premissas!$B$18-97)/100,1)*100+97)*Premissas!$B$18,2)</f>
        <v/>
      </c>
    </row>
    <row r="180">
      <c r="A180" s="17" t="inlineStr">
        <is>
          <t>KIT 45 MOD. 620W + INV. GROWATT 20KW</t>
        </is>
      </c>
      <c r="B180" s="17" t="inlineStr">
        <is>
          <t>GROWATT</t>
        </is>
      </c>
      <c r="C180" s="17" t="inlineStr">
        <is>
          <t>Inversor</t>
        </is>
      </c>
      <c r="D180" s="21" t="n">
        <v>45</v>
      </c>
      <c r="E180" s="30" t="n">
        <v>27.9</v>
      </c>
      <c r="F180" s="20" t="inlineStr">
        <is>
          <t>GROWATT MID 20K TL3-XL LV-TRI 220V</t>
        </is>
      </c>
      <c r="G180" s="21" t="n">
        <v>1</v>
      </c>
      <c r="H180" s="17" t="inlineStr">
        <is>
          <t>Sim</t>
        </is>
      </c>
      <c r="I180" s="23" t="n">
        <v>64046.85</v>
      </c>
      <c r="J180" s="24">
        <f>(D180*Premissas!$B$24+(2*ROUNDUP(D180/2,0))*Premissas!$B$26+INT((2*ROUNDUP(D180/2,0))/4)*Premissas!$B$27+MOD((2*ROUNDUP(D180/2,0)),4)/2*Premissas!$B$28+2*IF(D180&lt;=19,3*D180,IF(D180&lt;=50,ROUNDUP(2.5*D180,0),2*D180))*Premissas!$B$29+IF(C180="Micro",G180*(Premissas!$B$31+Premissas!$B$32+4*Premissas!$B$30),G180*(INDEX(Premissas!$B$40:$B$71,MATCH(F180,Premissas!$A$40:$A$71,0))+INDEX(Premissas!$C$40:$C$71,MATCH(F180,Premissas!$A$40:$A$71,0))*Premissas!$B$30)))</f>
        <v/>
      </c>
      <c r="K180" s="24">
        <f>IF(J180&lt;Premissas!$B$36,MAX(Premissas!$B$33,J180*Premissas!$B$34),J180*Premissas!$B$35)</f>
        <v/>
      </c>
      <c r="L180" s="24">
        <f>ROUND(J180+K180,2)</f>
        <v/>
      </c>
      <c r="M180" s="24">
        <f>D180*Premissas!$B$8+Premissas!$B$9+Premissas!$B$10+Premissas!$B$11+Premissas!$B$12+ROUND(Premissas!$B$13*E180,2)</f>
        <v/>
      </c>
      <c r="N180" s="25">
        <f>ROUNDUP((L180+M180-Premissas!$B$5*L180)/(1-Premissas!$B$6-Premissas!$B$7-Premissas!$B$5-Premissas!$B$14),2)</f>
        <v/>
      </c>
      <c r="O180" s="24">
        <f>ROUND(IF(N180&lt;=30000,N180*(1+Premissas!$B$21),N180+Premissas!$B$21*30000*SQRT(N180/30000)),2)</f>
        <v/>
      </c>
      <c r="P180" s="24">
        <f>N180-I180</f>
        <v/>
      </c>
      <c r="Q180" s="26">
        <f>P180/I180</f>
        <v/>
      </c>
      <c r="R180" s="26">
        <f>(I180-L180-Premissas!$B$5*(I180-L180)-(Premissas!$B$6+Premissas!$B$7)*I180-M180)/I180</f>
        <v/>
      </c>
      <c r="S180" s="24">
        <f>ROUND((CEILING((L180*Premissas!$B$17/Premissas!$B$18-97)/100,1)*100+97)*Premissas!$B$18,2)</f>
        <v/>
      </c>
    </row>
    <row r="181">
      <c r="A181" s="17" t="inlineStr">
        <is>
          <t>KIT 46 MOD. 620W + INV. GROWATT 20KW</t>
        </is>
      </c>
      <c r="B181" s="17" t="inlineStr">
        <is>
          <t>GROWATT</t>
        </is>
      </c>
      <c r="C181" s="17" t="inlineStr">
        <is>
          <t>Inversor</t>
        </is>
      </c>
      <c r="D181" s="21" t="n">
        <v>46</v>
      </c>
      <c r="E181" s="30" t="n">
        <v>28.52</v>
      </c>
      <c r="F181" s="20" t="inlineStr">
        <is>
          <t>GROWATT MID 20K TL3-XL LV-TRI 220V</t>
        </is>
      </c>
      <c r="G181" s="21" t="n">
        <v>1</v>
      </c>
      <c r="H181" s="17" t="inlineStr">
        <is>
          <t>Sim</t>
        </is>
      </c>
      <c r="I181" s="23" t="n">
        <v>65096.85</v>
      </c>
      <c r="J181" s="24">
        <f>(D181*Premissas!$B$24+(2*ROUNDUP(D181/2,0))*Premissas!$B$26+INT((2*ROUNDUP(D181/2,0))/4)*Premissas!$B$27+MOD((2*ROUNDUP(D181/2,0)),4)/2*Premissas!$B$28+2*IF(D181&lt;=19,3*D181,IF(D181&lt;=50,ROUNDUP(2.5*D181,0),2*D181))*Premissas!$B$29+IF(C181="Micro",G181*(Premissas!$B$31+Premissas!$B$32+4*Premissas!$B$30),G181*(INDEX(Premissas!$B$40:$B$71,MATCH(F181,Premissas!$A$40:$A$71,0))+INDEX(Premissas!$C$40:$C$71,MATCH(F181,Premissas!$A$40:$A$71,0))*Premissas!$B$30)))</f>
        <v/>
      </c>
      <c r="K181" s="24">
        <f>IF(J181&lt;Premissas!$B$36,MAX(Premissas!$B$33,J181*Premissas!$B$34),J181*Premissas!$B$35)</f>
        <v/>
      </c>
      <c r="L181" s="24">
        <f>ROUND(J181+K181,2)</f>
        <v/>
      </c>
      <c r="M181" s="24">
        <f>D181*Premissas!$B$8+Premissas!$B$9+Premissas!$B$10+Premissas!$B$11+Premissas!$B$12+ROUND(Premissas!$B$13*E181,2)</f>
        <v/>
      </c>
      <c r="N181" s="25">
        <f>ROUNDUP((L181+M181-Premissas!$B$5*L181)/(1-Premissas!$B$6-Premissas!$B$7-Premissas!$B$5-Premissas!$B$14),2)</f>
        <v/>
      </c>
      <c r="O181" s="24">
        <f>ROUND(IF(N181&lt;=30000,N181*(1+Premissas!$B$21),N181+Premissas!$B$21*30000*SQRT(N181/30000)),2)</f>
        <v/>
      </c>
      <c r="P181" s="24">
        <f>N181-I181</f>
        <v/>
      </c>
      <c r="Q181" s="26">
        <f>P181/I181</f>
        <v/>
      </c>
      <c r="R181" s="26">
        <f>(I181-L181-Premissas!$B$5*(I181-L181)-(Premissas!$B$6+Premissas!$B$7)*I181-M181)/I181</f>
        <v/>
      </c>
      <c r="S181" s="24">
        <f>ROUND((CEILING((L181*Premissas!$B$17/Premissas!$B$18-97)/100,1)*100+97)*Premissas!$B$18,2)</f>
        <v/>
      </c>
    </row>
    <row r="182">
      <c r="A182" s="17" t="inlineStr">
        <is>
          <t>KIT 47 MOD. 620W + INV. GROWATT 20KW</t>
        </is>
      </c>
      <c r="B182" s="17" t="inlineStr">
        <is>
          <t>GROWATT</t>
        </is>
      </c>
      <c r="C182" s="17" t="inlineStr">
        <is>
          <t>Inversor</t>
        </is>
      </c>
      <c r="D182" s="21" t="n">
        <v>47</v>
      </c>
      <c r="E182" s="30" t="n">
        <v>29.14</v>
      </c>
      <c r="F182" s="20" t="inlineStr">
        <is>
          <t>GROWATT MID 20K TL3-XL LV-TRI 220V</t>
        </is>
      </c>
      <c r="G182" s="21" t="n">
        <v>1</v>
      </c>
      <c r="H182" s="17" t="inlineStr">
        <is>
          <t>Sim</t>
        </is>
      </c>
      <c r="I182" s="23" t="n">
        <v>66461.85000000001</v>
      </c>
      <c r="J182" s="24">
        <f>(D182*Premissas!$B$24+(2*ROUNDUP(D182/2,0))*Premissas!$B$26+INT((2*ROUNDUP(D182/2,0))/4)*Premissas!$B$27+MOD((2*ROUNDUP(D182/2,0)),4)/2*Premissas!$B$28+2*IF(D182&lt;=19,3*D182,IF(D182&lt;=50,ROUNDUP(2.5*D182,0),2*D182))*Premissas!$B$29+IF(C182="Micro",G182*(Premissas!$B$31+Premissas!$B$32+4*Premissas!$B$30),G182*(INDEX(Premissas!$B$40:$B$71,MATCH(F182,Premissas!$A$40:$A$71,0))+INDEX(Premissas!$C$40:$C$71,MATCH(F182,Premissas!$A$40:$A$71,0))*Premissas!$B$30)))</f>
        <v/>
      </c>
      <c r="K182" s="24">
        <f>IF(J182&lt;Premissas!$B$36,MAX(Premissas!$B$33,J182*Premissas!$B$34),J182*Premissas!$B$35)</f>
        <v/>
      </c>
      <c r="L182" s="24">
        <f>ROUND(J182+K182,2)</f>
        <v/>
      </c>
      <c r="M182" s="24">
        <f>D182*Premissas!$B$8+Premissas!$B$9+Premissas!$B$10+Premissas!$B$11+Premissas!$B$12+ROUND(Premissas!$B$13*E182,2)</f>
        <v/>
      </c>
      <c r="N182" s="25">
        <f>ROUNDUP((L182+M182-Premissas!$B$5*L182)/(1-Premissas!$B$6-Premissas!$B$7-Premissas!$B$5-Premissas!$B$14),2)</f>
        <v/>
      </c>
      <c r="O182" s="24">
        <f>ROUND(IF(N182&lt;=30000,N182*(1+Premissas!$B$21),N182+Premissas!$B$21*30000*SQRT(N182/30000)),2)</f>
        <v/>
      </c>
      <c r="P182" s="24">
        <f>N182-I182</f>
        <v/>
      </c>
      <c r="Q182" s="26">
        <f>P182/I182</f>
        <v/>
      </c>
      <c r="R182" s="26">
        <f>(I182-L182-Premissas!$B$5*(I182-L182)-(Premissas!$B$6+Premissas!$B$7)*I182-M182)/I182</f>
        <v/>
      </c>
      <c r="S182" s="24">
        <f>ROUND((CEILING((L182*Premissas!$B$17/Premissas!$B$18-97)/100,1)*100+97)*Premissas!$B$18,2)</f>
        <v/>
      </c>
    </row>
    <row r="183">
      <c r="A183" s="17" t="inlineStr">
        <is>
          <t>KIT 48 MOD. 620W + INV. GROWATT 20KW</t>
        </is>
      </c>
      <c r="B183" s="17" t="inlineStr">
        <is>
          <t>GROWATT</t>
        </is>
      </c>
      <c r="C183" s="17" t="inlineStr">
        <is>
          <t>Inversor</t>
        </is>
      </c>
      <c r="D183" s="21" t="n">
        <v>48</v>
      </c>
      <c r="E183" s="30" t="n">
        <v>29.76</v>
      </c>
      <c r="F183" s="20" t="inlineStr">
        <is>
          <t>GROWATT MID 20K TL3-XL LV-TRI 220V</t>
        </is>
      </c>
      <c r="G183" s="21" t="n">
        <v>1</v>
      </c>
      <c r="H183" s="17" t="inlineStr">
        <is>
          <t>Sim</t>
        </is>
      </c>
      <c r="I183" s="23" t="n">
        <v>67511.85000000001</v>
      </c>
      <c r="J183" s="24">
        <f>(D183*Premissas!$B$24+(2*ROUNDUP(D183/2,0))*Premissas!$B$26+INT((2*ROUNDUP(D183/2,0))/4)*Premissas!$B$27+MOD((2*ROUNDUP(D183/2,0)),4)/2*Premissas!$B$28+2*IF(D183&lt;=19,3*D183,IF(D183&lt;=50,ROUNDUP(2.5*D183,0),2*D183))*Premissas!$B$29+IF(C183="Micro",G183*(Premissas!$B$31+Premissas!$B$32+4*Premissas!$B$30),G183*(INDEX(Premissas!$B$40:$B$71,MATCH(F183,Premissas!$A$40:$A$71,0))+INDEX(Premissas!$C$40:$C$71,MATCH(F183,Premissas!$A$40:$A$71,0))*Premissas!$B$30)))</f>
        <v/>
      </c>
      <c r="K183" s="24">
        <f>IF(J183&lt;Premissas!$B$36,MAX(Premissas!$B$33,J183*Premissas!$B$34),J183*Premissas!$B$35)</f>
        <v/>
      </c>
      <c r="L183" s="24">
        <f>ROUND(J183+K183,2)</f>
        <v/>
      </c>
      <c r="M183" s="24">
        <f>D183*Premissas!$B$8+Premissas!$B$9+Premissas!$B$10+Premissas!$B$11+Premissas!$B$12+ROUND(Premissas!$B$13*E183,2)</f>
        <v/>
      </c>
      <c r="N183" s="25">
        <f>ROUNDUP((L183+M183-Premissas!$B$5*L183)/(1-Premissas!$B$6-Premissas!$B$7-Premissas!$B$5-Premissas!$B$14),2)</f>
        <v/>
      </c>
      <c r="O183" s="24">
        <f>ROUND(IF(N183&lt;=30000,N183*(1+Premissas!$B$21),N183+Premissas!$B$21*30000*SQRT(N183/30000)),2)</f>
        <v/>
      </c>
      <c r="P183" s="24">
        <f>N183-I183</f>
        <v/>
      </c>
      <c r="Q183" s="26">
        <f>P183/I183</f>
        <v/>
      </c>
      <c r="R183" s="26">
        <f>(I183-L183-Premissas!$B$5*(I183-L183)-(Premissas!$B$6+Premissas!$B$7)*I183-M183)/I183</f>
        <v/>
      </c>
      <c r="S183" s="24">
        <f>ROUND((CEILING((L183*Premissas!$B$17/Premissas!$B$18-97)/100,1)*100+97)*Premissas!$B$18,2)</f>
        <v/>
      </c>
    </row>
    <row r="184">
      <c r="A184" s="17" t="inlineStr">
        <is>
          <t>KIT 49 MOD. 620W + INV. GROWATT 25KW</t>
        </is>
      </c>
      <c r="B184" s="17" t="inlineStr">
        <is>
          <t>GROWATT</t>
        </is>
      </c>
      <c r="C184" s="17" t="inlineStr">
        <is>
          <t>Inversor</t>
        </is>
      </c>
      <c r="D184" s="21" t="n">
        <v>49</v>
      </c>
      <c r="E184" s="30" t="n">
        <v>30.38</v>
      </c>
      <c r="F184" s="20" t="inlineStr">
        <is>
          <t>GROWATT MAC 25KTL3-XL LV-TRI 220V</t>
        </is>
      </c>
      <c r="G184" s="21" t="n">
        <v>1</v>
      </c>
      <c r="H184" s="17" t="inlineStr">
        <is>
          <t>Sim</t>
        </is>
      </c>
      <c r="I184" s="23" t="n">
        <v>69191.85000000001</v>
      </c>
      <c r="J184" s="24">
        <f>(D184*Premissas!$B$24+(2*ROUNDUP(D184/2,0))*Premissas!$B$26+INT((2*ROUNDUP(D184/2,0))/4)*Premissas!$B$27+MOD((2*ROUNDUP(D184/2,0)),4)/2*Premissas!$B$28+2*IF(D184&lt;=19,3*D184,IF(D184&lt;=50,ROUNDUP(2.5*D184,0),2*D184))*Premissas!$B$29+IF(C184="Micro",G184*(Premissas!$B$31+Premissas!$B$32+4*Premissas!$B$30),G184*(INDEX(Premissas!$B$40:$B$71,MATCH(F184,Premissas!$A$40:$A$71,0))+INDEX(Premissas!$C$40:$C$71,MATCH(F184,Premissas!$A$40:$A$71,0))*Premissas!$B$30)))</f>
        <v/>
      </c>
      <c r="K184" s="24">
        <f>IF(J184&lt;Premissas!$B$36,MAX(Premissas!$B$33,J184*Premissas!$B$34),J184*Premissas!$B$35)</f>
        <v/>
      </c>
      <c r="L184" s="24">
        <f>ROUND(J184+K184,2)</f>
        <v/>
      </c>
      <c r="M184" s="24">
        <f>D184*Premissas!$B$8+Premissas!$B$9+Premissas!$B$10+Premissas!$B$11+Premissas!$B$12+ROUND(Premissas!$B$13*E184,2)</f>
        <v/>
      </c>
      <c r="N184" s="25">
        <f>ROUNDUP((L184+M184-Premissas!$B$5*L184)/(1-Premissas!$B$6-Premissas!$B$7-Premissas!$B$5-Premissas!$B$14),2)</f>
        <v/>
      </c>
      <c r="O184" s="24">
        <f>ROUND(IF(N184&lt;=30000,N184*(1+Premissas!$B$21),N184+Premissas!$B$21*30000*SQRT(N184/30000)),2)</f>
        <v/>
      </c>
      <c r="P184" s="24">
        <f>N184-I184</f>
        <v/>
      </c>
      <c r="Q184" s="26">
        <f>P184/I184</f>
        <v/>
      </c>
      <c r="R184" s="26">
        <f>(I184-L184-Premissas!$B$5*(I184-L184)-(Premissas!$B$6+Premissas!$B$7)*I184-M184)/I184</f>
        <v/>
      </c>
      <c r="S184" s="24">
        <f>ROUND((CEILING((L184*Premissas!$B$17/Premissas!$B$18-97)/100,1)*100+97)*Premissas!$B$18,2)</f>
        <v/>
      </c>
    </row>
    <row r="185">
      <c r="A185" s="17" t="inlineStr">
        <is>
          <t>KIT 50 MOD. 620W + INV. GROWATT 25KW</t>
        </is>
      </c>
      <c r="B185" s="17" t="inlineStr">
        <is>
          <t>GROWATT</t>
        </is>
      </c>
      <c r="C185" s="17" t="inlineStr">
        <is>
          <t>Inversor</t>
        </is>
      </c>
      <c r="D185" s="21" t="n">
        <v>50</v>
      </c>
      <c r="E185" s="30" t="n">
        <v>31</v>
      </c>
      <c r="F185" s="20" t="inlineStr">
        <is>
          <t>GROWATT MAC 25KTL3-XL LV-TRI 220V</t>
        </is>
      </c>
      <c r="G185" s="21" t="n">
        <v>1</v>
      </c>
      <c r="H185" s="17" t="inlineStr">
        <is>
          <t>Sim</t>
        </is>
      </c>
      <c r="I185" s="23" t="n">
        <v>70241.85000000001</v>
      </c>
      <c r="J185" s="24">
        <f>(D185*Premissas!$B$24+(2*ROUNDUP(D185/2,0))*Premissas!$B$26+INT((2*ROUNDUP(D185/2,0))/4)*Premissas!$B$27+MOD((2*ROUNDUP(D185/2,0)),4)/2*Premissas!$B$28+2*IF(D185&lt;=19,3*D185,IF(D185&lt;=50,ROUNDUP(2.5*D185,0),2*D185))*Premissas!$B$29+IF(C185="Micro",G185*(Premissas!$B$31+Premissas!$B$32+4*Premissas!$B$30),G185*(INDEX(Premissas!$B$40:$B$71,MATCH(F185,Premissas!$A$40:$A$71,0))+INDEX(Premissas!$C$40:$C$71,MATCH(F185,Premissas!$A$40:$A$71,0))*Premissas!$B$30)))</f>
        <v/>
      </c>
      <c r="K185" s="24">
        <f>IF(J185&lt;Premissas!$B$36,MAX(Premissas!$B$33,J185*Premissas!$B$34),J185*Premissas!$B$35)</f>
        <v/>
      </c>
      <c r="L185" s="24">
        <f>ROUND(J185+K185,2)</f>
        <v/>
      </c>
      <c r="M185" s="24">
        <f>D185*Premissas!$B$8+Premissas!$B$9+Premissas!$B$10+Premissas!$B$11+Premissas!$B$12+ROUND(Premissas!$B$13*E185,2)</f>
        <v/>
      </c>
      <c r="N185" s="25">
        <f>ROUNDUP((L185+M185-Premissas!$B$5*L185)/(1-Premissas!$B$6-Premissas!$B$7-Premissas!$B$5-Premissas!$B$14),2)</f>
        <v/>
      </c>
      <c r="O185" s="24">
        <f>ROUND(IF(N185&lt;=30000,N185*(1+Premissas!$B$21),N185+Premissas!$B$21*30000*SQRT(N185/30000)),2)</f>
        <v/>
      </c>
      <c r="P185" s="24">
        <f>N185-I185</f>
        <v/>
      </c>
      <c r="Q185" s="26">
        <f>P185/I185</f>
        <v/>
      </c>
      <c r="R185" s="26">
        <f>(I185-L185-Premissas!$B$5*(I185-L185)-(Premissas!$B$6+Premissas!$B$7)*I185-M185)/I185</f>
        <v/>
      </c>
      <c r="S185" s="24">
        <f>ROUND((CEILING((L185*Premissas!$B$17/Premissas!$B$18-97)/100,1)*100+97)*Premissas!$B$18,2)</f>
        <v/>
      </c>
    </row>
    <row r="186">
      <c r="A186" s="17" t="inlineStr">
        <is>
          <t>KIT 51 MOD. 620W + INV. GROWATT 25KW</t>
        </is>
      </c>
      <c r="B186" s="17" t="inlineStr">
        <is>
          <t>GROWATT</t>
        </is>
      </c>
      <c r="C186" s="17" t="inlineStr">
        <is>
          <t>Inversor</t>
        </is>
      </c>
      <c r="D186" s="21" t="n">
        <v>51</v>
      </c>
      <c r="E186" s="30" t="n">
        <v>31.62</v>
      </c>
      <c r="F186" s="20" t="inlineStr">
        <is>
          <t>GROWATT MAC 25KTL3-XL LV-TRI 220V</t>
        </is>
      </c>
      <c r="G186" s="21" t="n">
        <v>1</v>
      </c>
      <c r="H186" s="17" t="inlineStr">
        <is>
          <t>Sim</t>
        </is>
      </c>
      <c r="I186" s="23" t="n">
        <v>71186.85000000001</v>
      </c>
      <c r="J186" s="24">
        <f>(D186*Premissas!$B$24+(2*ROUNDUP(D186/2,0))*Premissas!$B$26+INT((2*ROUNDUP(D186/2,0))/4)*Premissas!$B$27+MOD((2*ROUNDUP(D186/2,0)),4)/2*Premissas!$B$28+2*IF(D186&lt;=19,3*D186,IF(D186&lt;=50,ROUNDUP(2.5*D186,0),2*D186))*Premissas!$B$29+IF(C186="Micro",G186*(Premissas!$B$31+Premissas!$B$32+4*Premissas!$B$30),G186*(INDEX(Premissas!$B$40:$B$71,MATCH(F186,Premissas!$A$40:$A$71,0))+INDEX(Premissas!$C$40:$C$71,MATCH(F186,Premissas!$A$40:$A$71,0))*Premissas!$B$30)))</f>
        <v/>
      </c>
      <c r="K186" s="24">
        <f>IF(J186&lt;Premissas!$B$36,MAX(Premissas!$B$33,J186*Premissas!$B$34),J186*Premissas!$B$35)</f>
        <v/>
      </c>
      <c r="L186" s="24">
        <f>ROUND(J186+K186,2)</f>
        <v/>
      </c>
      <c r="M186" s="24">
        <f>D186*Premissas!$B$8+Premissas!$B$9+Premissas!$B$10+Premissas!$B$11+Premissas!$B$12+ROUND(Premissas!$B$13*E186,2)</f>
        <v/>
      </c>
      <c r="N186" s="25">
        <f>ROUNDUP((L186+M186-Premissas!$B$5*L186)/(1-Premissas!$B$6-Premissas!$B$7-Premissas!$B$5-Premissas!$B$14),2)</f>
        <v/>
      </c>
      <c r="O186" s="24">
        <f>ROUND(IF(N186&lt;=30000,N186*(1+Premissas!$B$21),N186+Premissas!$B$21*30000*SQRT(N186/30000)),2)</f>
        <v/>
      </c>
      <c r="P186" s="24">
        <f>N186-I186</f>
        <v/>
      </c>
      <c r="Q186" s="26">
        <f>P186/I186</f>
        <v/>
      </c>
      <c r="R186" s="26">
        <f>(I186-L186-Premissas!$B$5*(I186-L186)-(Premissas!$B$6+Premissas!$B$7)*I186-M186)/I186</f>
        <v/>
      </c>
      <c r="S186" s="24">
        <f>ROUND((CEILING((L186*Premissas!$B$17/Premissas!$B$18-97)/100,1)*100+97)*Premissas!$B$18,2)</f>
        <v/>
      </c>
    </row>
    <row r="187">
      <c r="A187" s="17" t="inlineStr">
        <is>
          <t>KIT 52 MOD. 620W + INV. GROWATT 25KW</t>
        </is>
      </c>
      <c r="B187" s="17" t="inlineStr">
        <is>
          <t>GROWATT</t>
        </is>
      </c>
      <c r="C187" s="17" t="inlineStr">
        <is>
          <t>Inversor</t>
        </is>
      </c>
      <c r="D187" s="21" t="n">
        <v>52</v>
      </c>
      <c r="E187" s="30" t="n">
        <v>32.24</v>
      </c>
      <c r="F187" s="20" t="inlineStr">
        <is>
          <t>GROWATT MAC 25KTL3-XL LV-TRI 220V</t>
        </is>
      </c>
      <c r="G187" s="21" t="n">
        <v>1</v>
      </c>
      <c r="H187" s="17" t="inlineStr">
        <is>
          <t>Sim</t>
        </is>
      </c>
      <c r="I187" s="23" t="n">
        <v>72236.85000000001</v>
      </c>
      <c r="J187" s="24">
        <f>(D187*Premissas!$B$24+(2*ROUNDUP(D187/2,0))*Premissas!$B$26+INT((2*ROUNDUP(D187/2,0))/4)*Premissas!$B$27+MOD((2*ROUNDUP(D187/2,0)),4)/2*Premissas!$B$28+2*IF(D187&lt;=19,3*D187,IF(D187&lt;=50,ROUNDUP(2.5*D187,0),2*D187))*Premissas!$B$29+IF(C187="Micro",G187*(Premissas!$B$31+Premissas!$B$32+4*Premissas!$B$30),G187*(INDEX(Premissas!$B$40:$B$71,MATCH(F187,Premissas!$A$40:$A$71,0))+INDEX(Premissas!$C$40:$C$71,MATCH(F187,Premissas!$A$40:$A$71,0))*Premissas!$B$30)))</f>
        <v/>
      </c>
      <c r="K187" s="24">
        <f>IF(J187&lt;Premissas!$B$36,MAX(Premissas!$B$33,J187*Premissas!$B$34),J187*Premissas!$B$35)</f>
        <v/>
      </c>
      <c r="L187" s="24">
        <f>ROUND(J187+K187,2)</f>
        <v/>
      </c>
      <c r="M187" s="24">
        <f>D187*Premissas!$B$8+Premissas!$B$9+Premissas!$B$10+Premissas!$B$11+Premissas!$B$12+ROUND(Premissas!$B$13*E187,2)</f>
        <v/>
      </c>
      <c r="N187" s="25">
        <f>ROUNDUP((L187+M187-Premissas!$B$5*L187)/(1-Premissas!$B$6-Premissas!$B$7-Premissas!$B$5-Premissas!$B$14),2)</f>
        <v/>
      </c>
      <c r="O187" s="24">
        <f>ROUND(IF(N187&lt;=30000,N187*(1+Premissas!$B$21),N187+Premissas!$B$21*30000*SQRT(N187/30000)),2)</f>
        <v/>
      </c>
      <c r="P187" s="24">
        <f>N187-I187</f>
        <v/>
      </c>
      <c r="Q187" s="26">
        <f>P187/I187</f>
        <v/>
      </c>
      <c r="R187" s="26">
        <f>(I187-L187-Premissas!$B$5*(I187-L187)-(Premissas!$B$6+Premissas!$B$7)*I187-M187)/I187</f>
        <v/>
      </c>
      <c r="S187" s="24">
        <f>ROUND((CEILING((L187*Premissas!$B$17/Premissas!$B$18-97)/100,1)*100+97)*Premissas!$B$18,2)</f>
        <v/>
      </c>
    </row>
    <row r="188">
      <c r="A188" s="17" t="inlineStr">
        <is>
          <t>KIT 53 MOD. 620W + INV. GROWATT 30KW</t>
        </is>
      </c>
      <c r="B188" s="17" t="inlineStr">
        <is>
          <t>GROWATT</t>
        </is>
      </c>
      <c r="C188" s="17" t="inlineStr">
        <is>
          <t>Inversor</t>
        </is>
      </c>
      <c r="D188" s="21" t="n">
        <v>53</v>
      </c>
      <c r="E188" s="30" t="n">
        <v>32.86</v>
      </c>
      <c r="F188" s="20" t="inlineStr">
        <is>
          <t>GROWATT MAC 30KTL3-XL LV-TRI 220V</t>
        </is>
      </c>
      <c r="G188" s="21" t="n">
        <v>1</v>
      </c>
      <c r="H188" s="17" t="inlineStr">
        <is>
          <t>Sim</t>
        </is>
      </c>
      <c r="I188" s="23" t="n">
        <v>77381.85000000001</v>
      </c>
      <c r="J188" s="24">
        <f>(D188*Premissas!$B$24+(2*ROUNDUP(D188/2,0))*Premissas!$B$26+INT((2*ROUNDUP(D188/2,0))/4)*Premissas!$B$27+MOD((2*ROUNDUP(D188/2,0)),4)/2*Premissas!$B$28+2*IF(D188&lt;=19,3*D188,IF(D188&lt;=50,ROUNDUP(2.5*D188,0),2*D188))*Premissas!$B$29+IF(C188="Micro",G188*(Premissas!$B$31+Premissas!$B$32+4*Premissas!$B$30),G188*(INDEX(Premissas!$B$40:$B$71,MATCH(F188,Premissas!$A$40:$A$71,0))+INDEX(Premissas!$C$40:$C$71,MATCH(F188,Premissas!$A$40:$A$71,0))*Premissas!$B$30)))</f>
        <v/>
      </c>
      <c r="K188" s="24">
        <f>IF(J188&lt;Premissas!$B$36,MAX(Premissas!$B$33,J188*Premissas!$B$34),J188*Premissas!$B$35)</f>
        <v/>
      </c>
      <c r="L188" s="24">
        <f>ROUND(J188+K188,2)</f>
        <v/>
      </c>
      <c r="M188" s="24">
        <f>D188*Premissas!$B$8+Premissas!$B$9+Premissas!$B$10+Premissas!$B$11+Premissas!$B$12+ROUND(Premissas!$B$13*E188,2)</f>
        <v/>
      </c>
      <c r="N188" s="25">
        <f>ROUNDUP((L188+M188-Premissas!$B$5*L188)/(1-Premissas!$B$6-Premissas!$B$7-Premissas!$B$5-Premissas!$B$14),2)</f>
        <v/>
      </c>
      <c r="O188" s="24">
        <f>ROUND(IF(N188&lt;=30000,N188*(1+Premissas!$B$21),N188+Premissas!$B$21*30000*SQRT(N188/30000)),2)</f>
        <v/>
      </c>
      <c r="P188" s="24">
        <f>N188-I188</f>
        <v/>
      </c>
      <c r="Q188" s="26">
        <f>P188/I188</f>
        <v/>
      </c>
      <c r="R188" s="26">
        <f>(I188-L188-Premissas!$B$5*(I188-L188)-(Premissas!$B$6+Premissas!$B$7)*I188-M188)/I188</f>
        <v/>
      </c>
      <c r="S188" s="24">
        <f>ROUND((CEILING((L188*Premissas!$B$17/Premissas!$B$18-97)/100,1)*100+97)*Premissas!$B$18,2)</f>
        <v/>
      </c>
    </row>
    <row r="189">
      <c r="A189" s="17" t="inlineStr">
        <is>
          <t>KIT 54 MOD. 620W + INV. GROWATT 30KW</t>
        </is>
      </c>
      <c r="B189" s="17" t="inlineStr">
        <is>
          <t>GROWATT</t>
        </is>
      </c>
      <c r="C189" s="17" t="inlineStr">
        <is>
          <t>Inversor</t>
        </is>
      </c>
      <c r="D189" s="21" t="n">
        <v>54</v>
      </c>
      <c r="E189" s="30" t="n">
        <v>33.48</v>
      </c>
      <c r="F189" s="20" t="inlineStr">
        <is>
          <t>GROWATT MAC 30KTL3-XL LV-TRI 220V</t>
        </is>
      </c>
      <c r="G189" s="21" t="n">
        <v>1</v>
      </c>
      <c r="H189" s="17" t="inlineStr">
        <is>
          <t>Sim</t>
        </is>
      </c>
      <c r="I189" s="23" t="n">
        <v>78431.85000000001</v>
      </c>
      <c r="J189" s="24">
        <f>(D189*Premissas!$B$24+(2*ROUNDUP(D189/2,0))*Premissas!$B$26+INT((2*ROUNDUP(D189/2,0))/4)*Premissas!$B$27+MOD((2*ROUNDUP(D189/2,0)),4)/2*Premissas!$B$28+2*IF(D189&lt;=19,3*D189,IF(D189&lt;=50,ROUNDUP(2.5*D189,0),2*D189))*Premissas!$B$29+IF(C189="Micro",G189*(Premissas!$B$31+Premissas!$B$32+4*Premissas!$B$30),G189*(INDEX(Premissas!$B$40:$B$71,MATCH(F189,Premissas!$A$40:$A$71,0))+INDEX(Premissas!$C$40:$C$71,MATCH(F189,Premissas!$A$40:$A$71,0))*Premissas!$B$30)))</f>
        <v/>
      </c>
      <c r="K189" s="24">
        <f>IF(J189&lt;Premissas!$B$36,MAX(Premissas!$B$33,J189*Premissas!$B$34),J189*Premissas!$B$35)</f>
        <v/>
      </c>
      <c r="L189" s="24">
        <f>ROUND(J189+K189,2)</f>
        <v/>
      </c>
      <c r="M189" s="24">
        <f>D189*Premissas!$B$8+Premissas!$B$9+Premissas!$B$10+Premissas!$B$11+Premissas!$B$12+ROUND(Premissas!$B$13*E189,2)</f>
        <v/>
      </c>
      <c r="N189" s="25">
        <f>ROUNDUP((L189+M189-Premissas!$B$5*L189)/(1-Premissas!$B$6-Premissas!$B$7-Premissas!$B$5-Premissas!$B$14),2)</f>
        <v/>
      </c>
      <c r="O189" s="24">
        <f>ROUND(IF(N189&lt;=30000,N189*(1+Premissas!$B$21),N189+Premissas!$B$21*30000*SQRT(N189/30000)),2)</f>
        <v/>
      </c>
      <c r="P189" s="24">
        <f>N189-I189</f>
        <v/>
      </c>
      <c r="Q189" s="26">
        <f>P189/I189</f>
        <v/>
      </c>
      <c r="R189" s="26">
        <f>(I189-L189-Premissas!$B$5*(I189-L189)-(Premissas!$B$6+Premissas!$B$7)*I189-M189)/I189</f>
        <v/>
      </c>
      <c r="S189" s="24">
        <f>ROUND((CEILING((L189*Premissas!$B$17/Premissas!$B$18-97)/100,1)*100+97)*Premissas!$B$18,2)</f>
        <v/>
      </c>
    </row>
    <row r="190">
      <c r="A190" s="17" t="inlineStr">
        <is>
          <t>KIT 55 MOD. 620W + INV. GROWATT 30KW</t>
        </is>
      </c>
      <c r="B190" s="17" t="inlineStr">
        <is>
          <t>GROWATT</t>
        </is>
      </c>
      <c r="C190" s="17" t="inlineStr">
        <is>
          <t>Inversor</t>
        </is>
      </c>
      <c r="D190" s="21" t="n">
        <v>55</v>
      </c>
      <c r="E190" s="30" t="n">
        <v>34.1</v>
      </c>
      <c r="F190" s="20" t="inlineStr">
        <is>
          <t>GROWATT MAC 30KTL3-XL LV-TRI 220V</t>
        </is>
      </c>
      <c r="G190" s="21" t="n">
        <v>1</v>
      </c>
      <c r="H190" s="17" t="inlineStr">
        <is>
          <t>Sim</t>
        </is>
      </c>
      <c r="I190" s="23" t="n">
        <v>79796.85000000001</v>
      </c>
      <c r="J190" s="24">
        <f>(D190*Premissas!$B$24+(2*ROUNDUP(D190/2,0))*Premissas!$B$26+INT((2*ROUNDUP(D190/2,0))/4)*Premissas!$B$27+MOD((2*ROUNDUP(D190/2,0)),4)/2*Premissas!$B$28+2*IF(D190&lt;=19,3*D190,IF(D190&lt;=50,ROUNDUP(2.5*D190,0),2*D190))*Premissas!$B$29+IF(C190="Micro",G190*(Premissas!$B$31+Premissas!$B$32+4*Premissas!$B$30),G190*(INDEX(Premissas!$B$40:$B$71,MATCH(F190,Premissas!$A$40:$A$71,0))+INDEX(Premissas!$C$40:$C$71,MATCH(F190,Premissas!$A$40:$A$71,0))*Premissas!$B$30)))</f>
        <v/>
      </c>
      <c r="K190" s="24">
        <f>IF(J190&lt;Premissas!$B$36,MAX(Premissas!$B$33,J190*Premissas!$B$34),J190*Premissas!$B$35)</f>
        <v/>
      </c>
      <c r="L190" s="24">
        <f>ROUND(J190+K190,2)</f>
        <v/>
      </c>
      <c r="M190" s="24">
        <f>D190*Premissas!$B$8+Premissas!$B$9+Premissas!$B$10+Premissas!$B$11+Premissas!$B$12+ROUND(Premissas!$B$13*E190,2)</f>
        <v/>
      </c>
      <c r="N190" s="25">
        <f>ROUNDUP((L190+M190-Premissas!$B$5*L190)/(1-Premissas!$B$6-Premissas!$B$7-Premissas!$B$5-Premissas!$B$14),2)</f>
        <v/>
      </c>
      <c r="O190" s="24">
        <f>ROUND(IF(N190&lt;=30000,N190*(1+Premissas!$B$21),N190+Premissas!$B$21*30000*SQRT(N190/30000)),2)</f>
        <v/>
      </c>
      <c r="P190" s="24">
        <f>N190-I190</f>
        <v/>
      </c>
      <c r="Q190" s="26">
        <f>P190/I190</f>
        <v/>
      </c>
      <c r="R190" s="26">
        <f>(I190-L190-Premissas!$B$5*(I190-L190)-(Premissas!$B$6+Premissas!$B$7)*I190-M190)/I190</f>
        <v/>
      </c>
      <c r="S190" s="24">
        <f>ROUND((CEILING((L190*Premissas!$B$17/Premissas!$B$18-97)/100,1)*100+97)*Premissas!$B$18,2)</f>
        <v/>
      </c>
    </row>
    <row r="191">
      <c r="A191" s="17" t="inlineStr">
        <is>
          <t>KIT 56 MOD. 620W + INV. GROWATT 30KW</t>
        </is>
      </c>
      <c r="B191" s="17" t="inlineStr">
        <is>
          <t>GROWATT</t>
        </is>
      </c>
      <c r="C191" s="17" t="inlineStr">
        <is>
          <t>Inversor</t>
        </is>
      </c>
      <c r="D191" s="21" t="n">
        <v>56</v>
      </c>
      <c r="E191" s="30" t="n">
        <v>34.72</v>
      </c>
      <c r="F191" s="20" t="inlineStr">
        <is>
          <t>GROWATT MAC 30KTL3-XL LV-TRI 220V</t>
        </is>
      </c>
      <c r="G191" s="21" t="n">
        <v>1</v>
      </c>
      <c r="H191" s="17" t="inlineStr">
        <is>
          <t>Sim</t>
        </is>
      </c>
      <c r="I191" s="23" t="n">
        <v>80741.85000000001</v>
      </c>
      <c r="J191" s="24">
        <f>(D191*Premissas!$B$24+(2*ROUNDUP(D191/2,0))*Premissas!$B$26+INT((2*ROUNDUP(D191/2,0))/4)*Premissas!$B$27+MOD((2*ROUNDUP(D191/2,0)),4)/2*Premissas!$B$28+2*IF(D191&lt;=19,3*D191,IF(D191&lt;=50,ROUNDUP(2.5*D191,0),2*D191))*Premissas!$B$29+IF(C191="Micro",G191*(Premissas!$B$31+Premissas!$B$32+4*Premissas!$B$30),G191*(INDEX(Premissas!$B$40:$B$71,MATCH(F191,Premissas!$A$40:$A$71,0))+INDEX(Premissas!$C$40:$C$71,MATCH(F191,Premissas!$A$40:$A$71,0))*Premissas!$B$30)))</f>
        <v/>
      </c>
      <c r="K191" s="24">
        <f>IF(J191&lt;Premissas!$B$36,MAX(Premissas!$B$33,J191*Premissas!$B$34),J191*Premissas!$B$35)</f>
        <v/>
      </c>
      <c r="L191" s="24">
        <f>ROUND(J191+K191,2)</f>
        <v/>
      </c>
      <c r="M191" s="24">
        <f>D191*Premissas!$B$8+Premissas!$B$9+Premissas!$B$10+Premissas!$B$11+Premissas!$B$12+ROUND(Premissas!$B$13*E191,2)</f>
        <v/>
      </c>
      <c r="N191" s="25">
        <f>ROUNDUP((L191+M191-Premissas!$B$5*L191)/(1-Premissas!$B$6-Premissas!$B$7-Premissas!$B$5-Premissas!$B$14),2)</f>
        <v/>
      </c>
      <c r="O191" s="24">
        <f>ROUND(IF(N191&lt;=30000,N191*(1+Premissas!$B$21),N191+Premissas!$B$21*30000*SQRT(N191/30000)),2)</f>
        <v/>
      </c>
      <c r="P191" s="24">
        <f>N191-I191</f>
        <v/>
      </c>
      <c r="Q191" s="26">
        <f>P191/I191</f>
        <v/>
      </c>
      <c r="R191" s="26">
        <f>(I191-L191-Premissas!$B$5*(I191-L191)-(Premissas!$B$6+Premissas!$B$7)*I191-M191)/I191</f>
        <v/>
      </c>
      <c r="S191" s="24">
        <f>ROUND((CEILING((L191*Premissas!$B$17/Premissas!$B$18-97)/100,1)*100+97)*Premissas!$B$18,2)</f>
        <v/>
      </c>
    </row>
    <row r="192">
      <c r="A192" s="17" t="inlineStr">
        <is>
          <t>KIT 57 MOD. 620W + INV. GROWATT 30KW</t>
        </is>
      </c>
      <c r="B192" s="17" t="inlineStr">
        <is>
          <t>GROWATT</t>
        </is>
      </c>
      <c r="C192" s="17" t="inlineStr">
        <is>
          <t>Inversor</t>
        </is>
      </c>
      <c r="D192" s="21" t="n">
        <v>57</v>
      </c>
      <c r="E192" s="30" t="n">
        <v>35.34</v>
      </c>
      <c r="F192" s="20" t="inlineStr">
        <is>
          <t>GROWATT MAC 30KTL3-XL LV-TRI 220V</t>
        </is>
      </c>
      <c r="G192" s="21" t="n">
        <v>1</v>
      </c>
      <c r="H192" s="17" t="inlineStr">
        <is>
          <t>Sim</t>
        </is>
      </c>
      <c r="I192" s="23" t="n">
        <v>82106.85000000001</v>
      </c>
      <c r="J192" s="24">
        <f>(D192*Premissas!$B$24+(2*ROUNDUP(D192/2,0))*Premissas!$B$26+INT((2*ROUNDUP(D192/2,0))/4)*Premissas!$B$27+MOD((2*ROUNDUP(D192/2,0)),4)/2*Premissas!$B$28+2*IF(D192&lt;=19,3*D192,IF(D192&lt;=50,ROUNDUP(2.5*D192,0),2*D192))*Premissas!$B$29+IF(C192="Micro",G192*(Premissas!$B$31+Premissas!$B$32+4*Premissas!$B$30),G192*(INDEX(Premissas!$B$40:$B$71,MATCH(F192,Premissas!$A$40:$A$71,0))+INDEX(Premissas!$C$40:$C$71,MATCH(F192,Premissas!$A$40:$A$71,0))*Premissas!$B$30)))</f>
        <v/>
      </c>
      <c r="K192" s="24">
        <f>IF(J192&lt;Premissas!$B$36,MAX(Premissas!$B$33,J192*Premissas!$B$34),J192*Premissas!$B$35)</f>
        <v/>
      </c>
      <c r="L192" s="24">
        <f>ROUND(J192+K192,2)</f>
        <v/>
      </c>
      <c r="M192" s="24">
        <f>D192*Premissas!$B$8+Premissas!$B$9+Premissas!$B$10+Premissas!$B$11+Premissas!$B$12+ROUND(Premissas!$B$13*E192,2)</f>
        <v/>
      </c>
      <c r="N192" s="25">
        <f>ROUNDUP((L192+M192-Premissas!$B$5*L192)/(1-Premissas!$B$6-Premissas!$B$7-Premissas!$B$5-Premissas!$B$14),2)</f>
        <v/>
      </c>
      <c r="O192" s="24">
        <f>ROUND(IF(N192&lt;=30000,N192*(1+Premissas!$B$21),N192+Premissas!$B$21*30000*SQRT(N192/30000)),2)</f>
        <v/>
      </c>
      <c r="P192" s="24">
        <f>N192-I192</f>
        <v/>
      </c>
      <c r="Q192" s="26">
        <f>P192/I192</f>
        <v/>
      </c>
      <c r="R192" s="26">
        <f>(I192-L192-Premissas!$B$5*(I192-L192)-(Premissas!$B$6+Premissas!$B$7)*I192-M192)/I192</f>
        <v/>
      </c>
      <c r="S192" s="24">
        <f>ROUND((CEILING((L192*Premissas!$B$17/Premissas!$B$18-97)/100,1)*100+97)*Premissas!$B$18,2)</f>
        <v/>
      </c>
    </row>
    <row r="193">
      <c r="A193" s="17" t="inlineStr">
        <is>
          <t>KIT 58 MOD. 620W + INV. GROWATT 30KW</t>
        </is>
      </c>
      <c r="B193" s="17" t="inlineStr">
        <is>
          <t>GROWATT</t>
        </is>
      </c>
      <c r="C193" s="17" t="inlineStr">
        <is>
          <t>Inversor</t>
        </is>
      </c>
      <c r="D193" s="21" t="n">
        <v>58</v>
      </c>
      <c r="E193" s="30" t="n">
        <v>35.96</v>
      </c>
      <c r="F193" s="20" t="inlineStr">
        <is>
          <t>GROWATT MAC 30KTL3-XL LV-TRI 220V</t>
        </is>
      </c>
      <c r="G193" s="21" t="n">
        <v>1</v>
      </c>
      <c r="H193" s="17" t="inlineStr">
        <is>
          <t>Sim</t>
        </is>
      </c>
      <c r="I193" s="23" t="n">
        <v>83156.85000000001</v>
      </c>
      <c r="J193" s="24">
        <f>(D193*Premissas!$B$24+(2*ROUNDUP(D193/2,0))*Premissas!$B$26+INT((2*ROUNDUP(D193/2,0))/4)*Premissas!$B$27+MOD((2*ROUNDUP(D193/2,0)),4)/2*Premissas!$B$28+2*IF(D193&lt;=19,3*D193,IF(D193&lt;=50,ROUNDUP(2.5*D193,0),2*D193))*Premissas!$B$29+IF(C193="Micro",G193*(Premissas!$B$31+Premissas!$B$32+4*Premissas!$B$30),G193*(INDEX(Premissas!$B$40:$B$71,MATCH(F193,Premissas!$A$40:$A$71,0))+INDEX(Premissas!$C$40:$C$71,MATCH(F193,Premissas!$A$40:$A$71,0))*Premissas!$B$30)))</f>
        <v/>
      </c>
      <c r="K193" s="24">
        <f>IF(J193&lt;Premissas!$B$36,MAX(Premissas!$B$33,J193*Premissas!$B$34),J193*Premissas!$B$35)</f>
        <v/>
      </c>
      <c r="L193" s="24">
        <f>ROUND(J193+K193,2)</f>
        <v/>
      </c>
      <c r="M193" s="24">
        <f>D193*Premissas!$B$8+Premissas!$B$9+Premissas!$B$10+Premissas!$B$11+Premissas!$B$12+ROUND(Premissas!$B$13*E193,2)</f>
        <v/>
      </c>
      <c r="N193" s="25">
        <f>ROUNDUP((L193+M193-Premissas!$B$5*L193)/(1-Premissas!$B$6-Premissas!$B$7-Premissas!$B$5-Premissas!$B$14),2)</f>
        <v/>
      </c>
      <c r="O193" s="24">
        <f>ROUND(IF(N193&lt;=30000,N193*(1+Premissas!$B$21),N193+Premissas!$B$21*30000*SQRT(N193/30000)),2)</f>
        <v/>
      </c>
      <c r="P193" s="24">
        <f>N193-I193</f>
        <v/>
      </c>
      <c r="Q193" s="26">
        <f>P193/I193</f>
        <v/>
      </c>
      <c r="R193" s="26">
        <f>(I193-L193-Premissas!$B$5*(I193-L193)-(Premissas!$B$6+Premissas!$B$7)*I193-M193)/I193</f>
        <v/>
      </c>
      <c r="S193" s="24">
        <f>ROUND((CEILING((L193*Premissas!$B$17/Premissas!$B$18-97)/100,1)*100+97)*Premissas!$B$18,2)</f>
        <v/>
      </c>
    </row>
    <row r="194">
      <c r="A194" s="17" t="inlineStr">
        <is>
          <t>KIT 59 MOD. 620W + INV. GROWATT 30KW</t>
        </is>
      </c>
      <c r="B194" s="17" t="inlineStr">
        <is>
          <t>GROWATT</t>
        </is>
      </c>
      <c r="C194" s="17" t="inlineStr">
        <is>
          <t>Inversor</t>
        </is>
      </c>
      <c r="D194" s="21" t="n">
        <v>59</v>
      </c>
      <c r="E194" s="30" t="n">
        <v>36.58</v>
      </c>
      <c r="F194" s="20" t="inlineStr">
        <is>
          <t>GROWATT MAC 30KTL3-XL LV-TRI 220V</t>
        </is>
      </c>
      <c r="G194" s="21" t="n">
        <v>1</v>
      </c>
      <c r="H194" s="17" t="inlineStr">
        <is>
          <t>Sim</t>
        </is>
      </c>
      <c r="I194" s="23" t="n">
        <v>84416.85000000001</v>
      </c>
      <c r="J194" s="24">
        <f>(D194*Premissas!$B$24+(2*ROUNDUP(D194/2,0))*Premissas!$B$26+INT((2*ROUNDUP(D194/2,0))/4)*Premissas!$B$27+MOD((2*ROUNDUP(D194/2,0)),4)/2*Premissas!$B$28+2*IF(D194&lt;=19,3*D194,IF(D194&lt;=50,ROUNDUP(2.5*D194,0),2*D194))*Premissas!$B$29+IF(C194="Micro",G194*(Premissas!$B$31+Premissas!$B$32+4*Premissas!$B$30),G194*(INDEX(Premissas!$B$40:$B$71,MATCH(F194,Premissas!$A$40:$A$71,0))+INDEX(Premissas!$C$40:$C$71,MATCH(F194,Premissas!$A$40:$A$71,0))*Premissas!$B$30)))</f>
        <v/>
      </c>
      <c r="K194" s="24">
        <f>IF(J194&lt;Premissas!$B$36,MAX(Premissas!$B$33,J194*Premissas!$B$34),J194*Premissas!$B$35)</f>
        <v/>
      </c>
      <c r="L194" s="24">
        <f>ROUND(J194+K194,2)</f>
        <v/>
      </c>
      <c r="M194" s="24">
        <f>D194*Premissas!$B$8+Premissas!$B$9+Premissas!$B$10+Premissas!$B$11+Premissas!$B$12+ROUND(Premissas!$B$13*E194,2)</f>
        <v/>
      </c>
      <c r="N194" s="25">
        <f>ROUNDUP((L194+M194-Premissas!$B$5*L194)/(1-Premissas!$B$6-Premissas!$B$7-Premissas!$B$5-Premissas!$B$14),2)</f>
        <v/>
      </c>
      <c r="O194" s="24">
        <f>ROUND(IF(N194&lt;=30000,N194*(1+Premissas!$B$21),N194+Premissas!$B$21*30000*SQRT(N194/30000)),2)</f>
        <v/>
      </c>
      <c r="P194" s="24">
        <f>N194-I194</f>
        <v/>
      </c>
      <c r="Q194" s="26">
        <f>P194/I194</f>
        <v/>
      </c>
      <c r="R194" s="26">
        <f>(I194-L194-Premissas!$B$5*(I194-L194)-(Premissas!$B$6+Premissas!$B$7)*I194-M194)/I194</f>
        <v/>
      </c>
      <c r="S194" s="24">
        <f>ROUND((CEILING((L194*Premissas!$B$17/Premissas!$B$18-97)/100,1)*100+97)*Premissas!$B$18,2)</f>
        <v/>
      </c>
    </row>
    <row r="195">
      <c r="A195" s="17" t="inlineStr">
        <is>
          <t>KIT 60 MOD. 620W + INV. GROWATT 30KW</t>
        </is>
      </c>
      <c r="B195" s="17" t="inlineStr">
        <is>
          <t>GROWATT</t>
        </is>
      </c>
      <c r="C195" s="17" t="inlineStr">
        <is>
          <t>Inversor</t>
        </is>
      </c>
      <c r="D195" s="21" t="n">
        <v>60</v>
      </c>
      <c r="E195" s="30" t="n">
        <v>37.2</v>
      </c>
      <c r="F195" s="20" t="inlineStr">
        <is>
          <t>GROWATT MAC 30KTL3-XL LV-TRI 220V</t>
        </is>
      </c>
      <c r="G195" s="21" t="n">
        <v>1</v>
      </c>
      <c r="H195" s="17" t="inlineStr">
        <is>
          <t>Sim</t>
        </is>
      </c>
      <c r="I195" s="23" t="n">
        <v>85466.85000000001</v>
      </c>
      <c r="J195" s="24">
        <f>(D195*Premissas!$B$24+(2*ROUNDUP(D195/2,0))*Premissas!$B$26+INT((2*ROUNDUP(D195/2,0))/4)*Premissas!$B$27+MOD((2*ROUNDUP(D195/2,0)),4)/2*Premissas!$B$28+2*IF(D195&lt;=19,3*D195,IF(D195&lt;=50,ROUNDUP(2.5*D195,0),2*D195))*Premissas!$B$29+IF(C195="Micro",G195*(Premissas!$B$31+Premissas!$B$32+4*Premissas!$B$30),G195*(INDEX(Premissas!$B$40:$B$71,MATCH(F195,Premissas!$A$40:$A$71,0))+INDEX(Premissas!$C$40:$C$71,MATCH(F195,Premissas!$A$40:$A$71,0))*Premissas!$B$30)))</f>
        <v/>
      </c>
      <c r="K195" s="24">
        <f>IF(J195&lt;Premissas!$B$36,MAX(Premissas!$B$33,J195*Premissas!$B$34),J195*Premissas!$B$35)</f>
        <v/>
      </c>
      <c r="L195" s="24">
        <f>ROUND(J195+K195,2)</f>
        <v/>
      </c>
      <c r="M195" s="24">
        <f>D195*Premissas!$B$8+Premissas!$B$9+Premissas!$B$10+Premissas!$B$11+Premissas!$B$12+ROUND(Premissas!$B$13*E195,2)</f>
        <v/>
      </c>
      <c r="N195" s="25">
        <f>ROUNDUP((L195+M195-Premissas!$B$5*L195)/(1-Premissas!$B$6-Premissas!$B$7-Premissas!$B$5-Premissas!$B$14),2)</f>
        <v/>
      </c>
      <c r="O195" s="24">
        <f>ROUND(IF(N195&lt;=30000,N195*(1+Premissas!$B$21),N195+Premissas!$B$21*30000*SQRT(N195/30000)),2)</f>
        <v/>
      </c>
      <c r="P195" s="24">
        <f>N195-I195</f>
        <v/>
      </c>
      <c r="Q195" s="26">
        <f>P195/I195</f>
        <v/>
      </c>
      <c r="R195" s="26">
        <f>(I195-L195-Premissas!$B$5*(I195-L195)-(Premissas!$B$6+Premissas!$B$7)*I195-M195)/I195</f>
        <v/>
      </c>
      <c r="S195" s="24">
        <f>ROUND((CEILING((L195*Premissas!$B$17/Premissas!$B$18-97)/100,1)*100+97)*Premissas!$B$18,2)</f>
        <v/>
      </c>
    </row>
    <row r="196">
      <c r="A196" s="17" t="inlineStr">
        <is>
          <t>KIT 61 MOD. 620W + INV. GROWATT 30KW</t>
        </is>
      </c>
      <c r="B196" s="17" t="inlineStr">
        <is>
          <t>GROWATT</t>
        </is>
      </c>
      <c r="C196" s="17" t="inlineStr">
        <is>
          <t>Inversor</t>
        </is>
      </c>
      <c r="D196" s="21" t="n">
        <v>61</v>
      </c>
      <c r="E196" s="30" t="n">
        <v>37.82</v>
      </c>
      <c r="F196" s="20" t="inlineStr">
        <is>
          <t>GROWATT MAC 30KTL3-XL LV-TRI 220V</t>
        </is>
      </c>
      <c r="G196" s="21" t="n">
        <v>1</v>
      </c>
      <c r="H196" s="17" t="inlineStr">
        <is>
          <t>Sim</t>
        </is>
      </c>
      <c r="I196" s="23" t="n">
        <v>86831.85000000001</v>
      </c>
      <c r="J196" s="24">
        <f>(D196*Premissas!$B$24+(2*ROUNDUP(D196/2,0))*Premissas!$B$26+INT((2*ROUNDUP(D196/2,0))/4)*Premissas!$B$27+MOD((2*ROUNDUP(D196/2,0)),4)/2*Premissas!$B$28+2*IF(D196&lt;=19,3*D196,IF(D196&lt;=50,ROUNDUP(2.5*D196,0),2*D196))*Premissas!$B$29+IF(C196="Micro",G196*(Premissas!$B$31+Premissas!$B$32+4*Premissas!$B$30),G196*(INDEX(Premissas!$B$40:$B$71,MATCH(F196,Premissas!$A$40:$A$71,0))+INDEX(Premissas!$C$40:$C$71,MATCH(F196,Premissas!$A$40:$A$71,0))*Premissas!$B$30)))</f>
        <v/>
      </c>
      <c r="K196" s="24">
        <f>IF(J196&lt;Premissas!$B$36,MAX(Premissas!$B$33,J196*Premissas!$B$34),J196*Premissas!$B$35)</f>
        <v/>
      </c>
      <c r="L196" s="24">
        <f>ROUND(J196+K196,2)</f>
        <v/>
      </c>
      <c r="M196" s="24">
        <f>D196*Premissas!$B$8+Premissas!$B$9+Premissas!$B$10+Premissas!$B$11+Premissas!$B$12+ROUND(Premissas!$B$13*E196,2)</f>
        <v/>
      </c>
      <c r="N196" s="25">
        <f>ROUNDUP((L196+M196-Premissas!$B$5*L196)/(1-Premissas!$B$6-Premissas!$B$7-Premissas!$B$5-Premissas!$B$14),2)</f>
        <v/>
      </c>
      <c r="O196" s="24">
        <f>ROUND(IF(N196&lt;=30000,N196*(1+Premissas!$B$21),N196+Premissas!$B$21*30000*SQRT(N196/30000)),2)</f>
        <v/>
      </c>
      <c r="P196" s="24">
        <f>N196-I196</f>
        <v/>
      </c>
      <c r="Q196" s="26">
        <f>P196/I196</f>
        <v/>
      </c>
      <c r="R196" s="26">
        <f>(I196-L196-Premissas!$B$5*(I196-L196)-(Premissas!$B$6+Premissas!$B$7)*I196-M196)/I196</f>
        <v/>
      </c>
      <c r="S196" s="24">
        <f>ROUND((CEILING((L196*Premissas!$B$17/Premissas!$B$18-97)/100,1)*100+97)*Premissas!$B$18,2)</f>
        <v/>
      </c>
    </row>
    <row r="197">
      <c r="A197" s="17" t="inlineStr">
        <is>
          <t>KIT 62 MOD. 620W + INV. GROWATT 30KW</t>
        </is>
      </c>
      <c r="B197" s="17" t="inlineStr">
        <is>
          <t>GROWATT</t>
        </is>
      </c>
      <c r="C197" s="17" t="inlineStr">
        <is>
          <t>Inversor</t>
        </is>
      </c>
      <c r="D197" s="21" t="n">
        <v>62</v>
      </c>
      <c r="E197" s="30" t="n">
        <v>38.44</v>
      </c>
      <c r="F197" s="20" t="inlineStr">
        <is>
          <t>GROWATT MAC 30KTL3-XL LV-TRI 220V</t>
        </is>
      </c>
      <c r="G197" s="21" t="n">
        <v>1</v>
      </c>
      <c r="H197" s="17" t="inlineStr">
        <is>
          <t>Sim</t>
        </is>
      </c>
      <c r="I197" s="23" t="n">
        <v>87881.85000000001</v>
      </c>
      <c r="J197" s="24">
        <f>(D197*Premissas!$B$24+(2*ROUNDUP(D197/2,0))*Premissas!$B$26+INT((2*ROUNDUP(D197/2,0))/4)*Premissas!$B$27+MOD((2*ROUNDUP(D197/2,0)),4)/2*Premissas!$B$28+2*IF(D197&lt;=19,3*D197,IF(D197&lt;=50,ROUNDUP(2.5*D197,0),2*D197))*Premissas!$B$29+IF(C197="Micro",G197*(Premissas!$B$31+Premissas!$B$32+4*Premissas!$B$30),G197*(INDEX(Premissas!$B$40:$B$71,MATCH(F197,Premissas!$A$40:$A$71,0))+INDEX(Premissas!$C$40:$C$71,MATCH(F197,Premissas!$A$40:$A$71,0))*Premissas!$B$30)))</f>
        <v/>
      </c>
      <c r="K197" s="24">
        <f>IF(J197&lt;Premissas!$B$36,MAX(Premissas!$B$33,J197*Premissas!$B$34),J197*Premissas!$B$35)</f>
        <v/>
      </c>
      <c r="L197" s="24">
        <f>ROUND(J197+K197,2)</f>
        <v/>
      </c>
      <c r="M197" s="24">
        <f>D197*Premissas!$B$8+Premissas!$B$9+Premissas!$B$10+Premissas!$B$11+Premissas!$B$12+ROUND(Premissas!$B$13*E197,2)</f>
        <v/>
      </c>
      <c r="N197" s="25">
        <f>ROUNDUP((L197+M197-Premissas!$B$5*L197)/(1-Premissas!$B$6-Premissas!$B$7-Premissas!$B$5-Premissas!$B$14),2)</f>
        <v/>
      </c>
      <c r="O197" s="24">
        <f>ROUND(IF(N197&lt;=30000,N197*(1+Premissas!$B$21),N197+Premissas!$B$21*30000*SQRT(N197/30000)),2)</f>
        <v/>
      </c>
      <c r="P197" s="24">
        <f>N197-I197</f>
        <v/>
      </c>
      <c r="Q197" s="26">
        <f>P197/I197</f>
        <v/>
      </c>
      <c r="R197" s="26">
        <f>(I197-L197-Premissas!$B$5*(I197-L197)-(Premissas!$B$6+Premissas!$B$7)*I197-M197)/I197</f>
        <v/>
      </c>
      <c r="S197" s="24">
        <f>ROUND((CEILING((L197*Premissas!$B$17/Premissas!$B$18-97)/100,1)*100+97)*Premissas!$B$18,2)</f>
        <v/>
      </c>
    </row>
    <row r="198">
      <c r="A198" s="17" t="inlineStr">
        <is>
          <t>KIT 63 MOD. 620W + INV. GROWATT 36KW</t>
        </is>
      </c>
      <c r="B198" s="17" t="inlineStr">
        <is>
          <t>GROWATT</t>
        </is>
      </c>
      <c r="C198" s="17" t="inlineStr">
        <is>
          <t>Inversor</t>
        </is>
      </c>
      <c r="D198" s="21" t="n">
        <v>63</v>
      </c>
      <c r="E198" s="30" t="n">
        <v>39.06</v>
      </c>
      <c r="F198" s="20" t="inlineStr">
        <is>
          <t>GROWATT MAC 36KTL3-XL LV-TRI 220V</t>
        </is>
      </c>
      <c r="G198" s="21" t="n">
        <v>1</v>
      </c>
      <c r="H198" s="17" t="inlineStr">
        <is>
          <t>Sim</t>
        </is>
      </c>
      <c r="I198" s="23" t="n">
        <v>90191.85000000001</v>
      </c>
      <c r="J198" s="24">
        <f>(D198*Premissas!$B$24+(2*ROUNDUP(D198/2,0))*Premissas!$B$26+INT((2*ROUNDUP(D198/2,0))/4)*Premissas!$B$27+MOD((2*ROUNDUP(D198/2,0)),4)/2*Premissas!$B$28+2*IF(D198&lt;=19,3*D198,IF(D198&lt;=50,ROUNDUP(2.5*D198,0),2*D198))*Premissas!$B$29+IF(C198="Micro",G198*(Premissas!$B$31+Premissas!$B$32+4*Premissas!$B$30),G198*(INDEX(Premissas!$B$40:$B$71,MATCH(F198,Premissas!$A$40:$A$71,0))+INDEX(Premissas!$C$40:$C$71,MATCH(F198,Premissas!$A$40:$A$71,0))*Premissas!$B$30)))</f>
        <v/>
      </c>
      <c r="K198" s="24">
        <f>IF(J198&lt;Premissas!$B$36,MAX(Premissas!$B$33,J198*Premissas!$B$34),J198*Premissas!$B$35)</f>
        <v/>
      </c>
      <c r="L198" s="24">
        <f>ROUND(J198+K198,2)</f>
        <v/>
      </c>
      <c r="M198" s="24">
        <f>D198*Premissas!$B$8+Premissas!$B$9+Premissas!$B$10+Premissas!$B$11+Premissas!$B$12+ROUND(Premissas!$B$13*E198,2)</f>
        <v/>
      </c>
      <c r="N198" s="25">
        <f>ROUNDUP((L198+M198-Premissas!$B$5*L198)/(1-Premissas!$B$6-Premissas!$B$7-Premissas!$B$5-Premissas!$B$14),2)</f>
        <v/>
      </c>
      <c r="O198" s="24">
        <f>ROUND(IF(N198&lt;=30000,N198*(1+Premissas!$B$21),N198+Premissas!$B$21*30000*SQRT(N198/30000)),2)</f>
        <v/>
      </c>
      <c r="P198" s="24">
        <f>N198-I198</f>
        <v/>
      </c>
      <c r="Q198" s="26">
        <f>P198/I198</f>
        <v/>
      </c>
      <c r="R198" s="26">
        <f>(I198-L198-Premissas!$B$5*(I198-L198)-(Premissas!$B$6+Premissas!$B$7)*I198-M198)/I198</f>
        <v/>
      </c>
      <c r="S198" s="24">
        <f>ROUND((CEILING((L198*Premissas!$B$17/Premissas!$B$18-97)/100,1)*100+97)*Premissas!$B$18,2)</f>
        <v/>
      </c>
    </row>
    <row r="199">
      <c r="A199" s="17" t="inlineStr">
        <is>
          <t>KIT 64 MOD. 620W + INV. GROWATT 36KW</t>
        </is>
      </c>
      <c r="B199" s="17" t="inlineStr">
        <is>
          <t>GROWATT</t>
        </is>
      </c>
      <c r="C199" s="17" t="inlineStr">
        <is>
          <t>Inversor</t>
        </is>
      </c>
      <c r="D199" s="21" t="n">
        <v>64</v>
      </c>
      <c r="E199" s="30" t="n">
        <v>39.68</v>
      </c>
      <c r="F199" s="20" t="inlineStr">
        <is>
          <t>GROWATT MAC 36KTL3-XL LV-TRI 220V</t>
        </is>
      </c>
      <c r="G199" s="21" t="n">
        <v>1</v>
      </c>
      <c r="H199" s="17" t="inlineStr">
        <is>
          <t>Sim</t>
        </is>
      </c>
      <c r="I199" s="23" t="n">
        <v>91241.85000000001</v>
      </c>
      <c r="J199" s="24">
        <f>(D199*Premissas!$B$24+(2*ROUNDUP(D199/2,0))*Premissas!$B$26+INT((2*ROUNDUP(D199/2,0))/4)*Premissas!$B$27+MOD((2*ROUNDUP(D199/2,0)),4)/2*Premissas!$B$28+2*IF(D199&lt;=19,3*D199,IF(D199&lt;=50,ROUNDUP(2.5*D199,0),2*D199))*Premissas!$B$29+IF(C199="Micro",G199*(Premissas!$B$31+Premissas!$B$32+4*Premissas!$B$30),G199*(INDEX(Premissas!$B$40:$B$71,MATCH(F199,Premissas!$A$40:$A$71,0))+INDEX(Premissas!$C$40:$C$71,MATCH(F199,Premissas!$A$40:$A$71,0))*Premissas!$B$30)))</f>
        <v/>
      </c>
      <c r="K199" s="24">
        <f>IF(J199&lt;Premissas!$B$36,MAX(Premissas!$B$33,J199*Premissas!$B$34),J199*Premissas!$B$35)</f>
        <v/>
      </c>
      <c r="L199" s="24">
        <f>ROUND(J199+K199,2)</f>
        <v/>
      </c>
      <c r="M199" s="24">
        <f>D199*Premissas!$B$8+Premissas!$B$9+Premissas!$B$10+Premissas!$B$11+Premissas!$B$12+ROUND(Premissas!$B$13*E199,2)</f>
        <v/>
      </c>
      <c r="N199" s="25">
        <f>ROUNDUP((L199+M199-Premissas!$B$5*L199)/(1-Premissas!$B$6-Premissas!$B$7-Premissas!$B$5-Premissas!$B$14),2)</f>
        <v/>
      </c>
      <c r="O199" s="24">
        <f>ROUND(IF(N199&lt;=30000,N199*(1+Premissas!$B$21),N199+Premissas!$B$21*30000*SQRT(N199/30000)),2)</f>
        <v/>
      </c>
      <c r="P199" s="24">
        <f>N199-I199</f>
        <v/>
      </c>
      <c r="Q199" s="26">
        <f>P199/I199</f>
        <v/>
      </c>
      <c r="R199" s="26">
        <f>(I199-L199-Premissas!$B$5*(I199-L199)-(Premissas!$B$6+Premissas!$B$7)*I199-M199)/I199</f>
        <v/>
      </c>
      <c r="S199" s="24">
        <f>ROUND((CEILING((L199*Premissas!$B$17/Premissas!$B$18-97)/100,1)*100+97)*Premissas!$B$18,2)</f>
        <v/>
      </c>
    </row>
    <row r="200">
      <c r="A200" s="17" t="inlineStr">
        <is>
          <t>KIT 65 MOD. 620W + INV. GROWATT 36KW</t>
        </is>
      </c>
      <c r="B200" s="17" t="inlineStr">
        <is>
          <t>GROWATT</t>
        </is>
      </c>
      <c r="C200" s="17" t="inlineStr">
        <is>
          <t>Inversor</t>
        </is>
      </c>
      <c r="D200" s="21" t="n">
        <v>65</v>
      </c>
      <c r="E200" s="30" t="n">
        <v>40.3</v>
      </c>
      <c r="F200" s="20" t="inlineStr">
        <is>
          <t>GROWATT MAC 36KTL3-XL LV-TRI 220V</t>
        </is>
      </c>
      <c r="G200" s="21" t="n">
        <v>1</v>
      </c>
      <c r="H200" s="17" t="inlineStr">
        <is>
          <t>Sim</t>
        </is>
      </c>
      <c r="I200" s="23" t="n">
        <v>92501.85000000001</v>
      </c>
      <c r="J200" s="24">
        <f>(D200*Premissas!$B$24+(2*ROUNDUP(D200/2,0))*Premissas!$B$26+INT((2*ROUNDUP(D200/2,0))/4)*Premissas!$B$27+MOD((2*ROUNDUP(D200/2,0)),4)/2*Premissas!$B$28+2*IF(D200&lt;=19,3*D200,IF(D200&lt;=50,ROUNDUP(2.5*D200,0),2*D200))*Premissas!$B$29+IF(C200="Micro",G200*(Premissas!$B$31+Premissas!$B$32+4*Premissas!$B$30),G200*(INDEX(Premissas!$B$40:$B$71,MATCH(F200,Premissas!$A$40:$A$71,0))+INDEX(Premissas!$C$40:$C$71,MATCH(F200,Premissas!$A$40:$A$71,0))*Premissas!$B$30)))</f>
        <v/>
      </c>
      <c r="K200" s="24">
        <f>IF(J200&lt;Premissas!$B$36,MAX(Premissas!$B$33,J200*Premissas!$B$34),J200*Premissas!$B$35)</f>
        <v/>
      </c>
      <c r="L200" s="24">
        <f>ROUND(J200+K200,2)</f>
        <v/>
      </c>
      <c r="M200" s="24">
        <f>D200*Premissas!$B$8+Premissas!$B$9+Premissas!$B$10+Premissas!$B$11+Premissas!$B$12+ROUND(Premissas!$B$13*E200,2)</f>
        <v/>
      </c>
      <c r="N200" s="25">
        <f>ROUNDUP((L200+M200-Premissas!$B$5*L200)/(1-Premissas!$B$6-Premissas!$B$7-Premissas!$B$5-Premissas!$B$14),2)</f>
        <v/>
      </c>
      <c r="O200" s="24">
        <f>ROUND(IF(N200&lt;=30000,N200*(1+Premissas!$B$21),N200+Premissas!$B$21*30000*SQRT(N200/30000)),2)</f>
        <v/>
      </c>
      <c r="P200" s="24">
        <f>N200-I200</f>
        <v/>
      </c>
      <c r="Q200" s="26">
        <f>P200/I200</f>
        <v/>
      </c>
      <c r="R200" s="26">
        <f>(I200-L200-Premissas!$B$5*(I200-L200)-(Premissas!$B$6+Premissas!$B$7)*I200-M200)/I200</f>
        <v/>
      </c>
      <c r="S200" s="24">
        <f>ROUND((CEILING((L200*Premissas!$B$17/Premissas!$B$18-97)/100,1)*100+97)*Premissas!$B$18,2)</f>
        <v/>
      </c>
    </row>
    <row r="201">
      <c r="A201" s="17" t="inlineStr">
        <is>
          <t>KIT 66 MOD. 620W + INV. GROWATT 36KW</t>
        </is>
      </c>
      <c r="B201" s="17" t="inlineStr">
        <is>
          <t>GROWATT</t>
        </is>
      </c>
      <c r="C201" s="17" t="inlineStr">
        <is>
          <t>Inversor</t>
        </is>
      </c>
      <c r="D201" s="21" t="n">
        <v>66</v>
      </c>
      <c r="E201" s="30" t="n">
        <v>40.92</v>
      </c>
      <c r="F201" s="20" t="inlineStr">
        <is>
          <t>GROWATT MAC 36KTL3-XL LV-TRI 220V</t>
        </is>
      </c>
      <c r="G201" s="21" t="n">
        <v>1</v>
      </c>
      <c r="H201" s="17" t="inlineStr">
        <is>
          <t>Sim</t>
        </is>
      </c>
      <c r="I201" s="23" t="n">
        <v>93551.85000000001</v>
      </c>
      <c r="J201" s="24">
        <f>(D201*Premissas!$B$24+(2*ROUNDUP(D201/2,0))*Premissas!$B$26+INT((2*ROUNDUP(D201/2,0))/4)*Premissas!$B$27+MOD((2*ROUNDUP(D201/2,0)),4)/2*Premissas!$B$28+2*IF(D201&lt;=19,3*D201,IF(D201&lt;=50,ROUNDUP(2.5*D201,0),2*D201))*Premissas!$B$29+IF(C201="Micro",G201*(Premissas!$B$31+Premissas!$B$32+4*Premissas!$B$30),G201*(INDEX(Premissas!$B$40:$B$71,MATCH(F201,Premissas!$A$40:$A$71,0))+INDEX(Premissas!$C$40:$C$71,MATCH(F201,Premissas!$A$40:$A$71,0))*Premissas!$B$30)))</f>
        <v/>
      </c>
      <c r="K201" s="24">
        <f>IF(J201&lt;Premissas!$B$36,MAX(Premissas!$B$33,J201*Premissas!$B$34),J201*Premissas!$B$35)</f>
        <v/>
      </c>
      <c r="L201" s="24">
        <f>ROUND(J201+K201,2)</f>
        <v/>
      </c>
      <c r="M201" s="24">
        <f>D201*Premissas!$B$8+Premissas!$B$9+Premissas!$B$10+Premissas!$B$11+Premissas!$B$12+ROUND(Premissas!$B$13*E201,2)</f>
        <v/>
      </c>
      <c r="N201" s="25">
        <f>ROUNDUP((L201+M201-Premissas!$B$5*L201)/(1-Premissas!$B$6-Premissas!$B$7-Premissas!$B$5-Premissas!$B$14),2)</f>
        <v/>
      </c>
      <c r="O201" s="24">
        <f>ROUND(IF(N201&lt;=30000,N201*(1+Premissas!$B$21),N201+Premissas!$B$21*30000*SQRT(N201/30000)),2)</f>
        <v/>
      </c>
      <c r="P201" s="24">
        <f>N201-I201</f>
        <v/>
      </c>
      <c r="Q201" s="26">
        <f>P201/I201</f>
        <v/>
      </c>
      <c r="R201" s="26">
        <f>(I201-L201-Premissas!$B$5*(I201-L201)-(Premissas!$B$6+Premissas!$B$7)*I201-M201)/I201</f>
        <v/>
      </c>
      <c r="S201" s="24">
        <f>ROUND((CEILING((L201*Premissas!$B$17/Premissas!$B$18-97)/100,1)*100+97)*Premissas!$B$18,2)</f>
        <v/>
      </c>
    </row>
    <row r="202">
      <c r="A202" s="17" t="inlineStr">
        <is>
          <t>KIT 67 MOD. 620W + INV. GROWATT 36KW</t>
        </is>
      </c>
      <c r="B202" s="17" t="inlineStr">
        <is>
          <t>GROWATT</t>
        </is>
      </c>
      <c r="C202" s="17" t="inlineStr">
        <is>
          <t>Inversor</t>
        </is>
      </c>
      <c r="D202" s="21" t="n">
        <v>67</v>
      </c>
      <c r="E202" s="30" t="n">
        <v>41.54</v>
      </c>
      <c r="F202" s="20" t="inlineStr">
        <is>
          <t>GROWATT MAC 36KTL3-XL LV-TRI 220V</t>
        </is>
      </c>
      <c r="G202" s="21" t="n">
        <v>1</v>
      </c>
      <c r="H202" s="17" t="inlineStr">
        <is>
          <t>Sim</t>
        </is>
      </c>
      <c r="I202" s="23" t="n">
        <v>94916.85000000001</v>
      </c>
      <c r="J202" s="24">
        <f>(D202*Premissas!$B$24+(2*ROUNDUP(D202/2,0))*Premissas!$B$26+INT((2*ROUNDUP(D202/2,0))/4)*Premissas!$B$27+MOD((2*ROUNDUP(D202/2,0)),4)/2*Premissas!$B$28+2*IF(D202&lt;=19,3*D202,IF(D202&lt;=50,ROUNDUP(2.5*D202,0),2*D202))*Premissas!$B$29+IF(C202="Micro",G202*(Premissas!$B$31+Premissas!$B$32+4*Premissas!$B$30),G202*(INDEX(Premissas!$B$40:$B$71,MATCH(F202,Premissas!$A$40:$A$71,0))+INDEX(Premissas!$C$40:$C$71,MATCH(F202,Premissas!$A$40:$A$71,0))*Premissas!$B$30)))</f>
        <v/>
      </c>
      <c r="K202" s="24">
        <f>IF(J202&lt;Premissas!$B$36,MAX(Premissas!$B$33,J202*Premissas!$B$34),J202*Premissas!$B$35)</f>
        <v/>
      </c>
      <c r="L202" s="24">
        <f>ROUND(J202+K202,2)</f>
        <v/>
      </c>
      <c r="M202" s="24">
        <f>D202*Premissas!$B$8+Premissas!$B$9+Premissas!$B$10+Premissas!$B$11+Premissas!$B$12+ROUND(Premissas!$B$13*E202,2)</f>
        <v/>
      </c>
      <c r="N202" s="25">
        <f>ROUNDUP((L202+M202-Premissas!$B$5*L202)/(1-Premissas!$B$6-Premissas!$B$7-Premissas!$B$5-Premissas!$B$14),2)</f>
        <v/>
      </c>
      <c r="O202" s="24">
        <f>ROUND(IF(N202&lt;=30000,N202*(1+Premissas!$B$21),N202+Premissas!$B$21*30000*SQRT(N202/30000)),2)</f>
        <v/>
      </c>
      <c r="P202" s="24">
        <f>N202-I202</f>
        <v/>
      </c>
      <c r="Q202" s="26">
        <f>P202/I202</f>
        <v/>
      </c>
      <c r="R202" s="26">
        <f>(I202-L202-Premissas!$B$5*(I202-L202)-(Premissas!$B$6+Premissas!$B$7)*I202-M202)/I202</f>
        <v/>
      </c>
      <c r="S202" s="24">
        <f>ROUND((CEILING((L202*Premissas!$B$17/Premissas!$B$18-97)/100,1)*100+97)*Premissas!$B$18,2)</f>
        <v/>
      </c>
    </row>
    <row r="203">
      <c r="A203" s="17" t="inlineStr">
        <is>
          <t>KIT 68 MOD. 620W + INV. GROWATT 36KW</t>
        </is>
      </c>
      <c r="B203" s="17" t="inlineStr">
        <is>
          <t>GROWATT</t>
        </is>
      </c>
      <c r="C203" s="17" t="inlineStr">
        <is>
          <t>Inversor</t>
        </is>
      </c>
      <c r="D203" s="21" t="n">
        <v>68</v>
      </c>
      <c r="E203" s="30" t="n">
        <v>42.16</v>
      </c>
      <c r="F203" s="20" t="inlineStr">
        <is>
          <t>GROWATT MAC 36KTL3-XL LV-TRI 220V</t>
        </is>
      </c>
      <c r="G203" s="21" t="n">
        <v>1</v>
      </c>
      <c r="H203" s="17" t="inlineStr">
        <is>
          <t>Sim</t>
        </is>
      </c>
      <c r="I203" s="23" t="n">
        <v>95966.85000000001</v>
      </c>
      <c r="J203" s="24">
        <f>(D203*Premissas!$B$24+(2*ROUNDUP(D203/2,0))*Premissas!$B$26+INT((2*ROUNDUP(D203/2,0))/4)*Premissas!$B$27+MOD((2*ROUNDUP(D203/2,0)),4)/2*Premissas!$B$28+2*IF(D203&lt;=19,3*D203,IF(D203&lt;=50,ROUNDUP(2.5*D203,0),2*D203))*Premissas!$B$29+IF(C203="Micro",G203*(Premissas!$B$31+Premissas!$B$32+4*Premissas!$B$30),G203*(INDEX(Premissas!$B$40:$B$71,MATCH(F203,Premissas!$A$40:$A$71,0))+INDEX(Premissas!$C$40:$C$71,MATCH(F203,Premissas!$A$40:$A$71,0))*Premissas!$B$30)))</f>
        <v/>
      </c>
      <c r="K203" s="24">
        <f>IF(J203&lt;Premissas!$B$36,MAX(Premissas!$B$33,J203*Premissas!$B$34),J203*Premissas!$B$35)</f>
        <v/>
      </c>
      <c r="L203" s="24">
        <f>ROUND(J203+K203,2)</f>
        <v/>
      </c>
      <c r="M203" s="24">
        <f>D203*Premissas!$B$8+Premissas!$B$9+Premissas!$B$10+Premissas!$B$11+Premissas!$B$12+ROUND(Premissas!$B$13*E203,2)</f>
        <v/>
      </c>
      <c r="N203" s="25">
        <f>ROUNDUP((L203+M203-Premissas!$B$5*L203)/(1-Premissas!$B$6-Premissas!$B$7-Premissas!$B$5-Premissas!$B$14),2)</f>
        <v/>
      </c>
      <c r="O203" s="24">
        <f>ROUND(IF(N203&lt;=30000,N203*(1+Premissas!$B$21),N203+Premissas!$B$21*30000*SQRT(N203/30000)),2)</f>
        <v/>
      </c>
      <c r="P203" s="24">
        <f>N203-I203</f>
        <v/>
      </c>
      <c r="Q203" s="26">
        <f>P203/I203</f>
        <v/>
      </c>
      <c r="R203" s="26">
        <f>(I203-L203-Premissas!$B$5*(I203-L203)-(Premissas!$B$6+Premissas!$B$7)*I203-M203)/I203</f>
        <v/>
      </c>
      <c r="S203" s="24">
        <f>ROUND((CEILING((L203*Premissas!$B$17/Premissas!$B$18-97)/100,1)*100+97)*Premissas!$B$18,2)</f>
        <v/>
      </c>
    </row>
    <row r="204">
      <c r="A204" s="17" t="inlineStr">
        <is>
          <t>KIT 69 MOD. 620W + INV. GROWATT 36KW</t>
        </is>
      </c>
      <c r="B204" s="17" t="inlineStr">
        <is>
          <t>GROWATT</t>
        </is>
      </c>
      <c r="C204" s="17" t="inlineStr">
        <is>
          <t>Inversor</t>
        </is>
      </c>
      <c r="D204" s="21" t="n">
        <v>69</v>
      </c>
      <c r="E204" s="30" t="n">
        <v>42.78</v>
      </c>
      <c r="F204" s="20" t="inlineStr">
        <is>
          <t>GROWATT MAC 36KTL3-XL LV-TRI 220V</t>
        </is>
      </c>
      <c r="G204" s="21" t="n">
        <v>1</v>
      </c>
      <c r="H204" s="17" t="inlineStr">
        <is>
          <t>Sim</t>
        </is>
      </c>
      <c r="I204" s="23" t="n">
        <v>97226.85000000001</v>
      </c>
      <c r="J204" s="24">
        <f>(D204*Premissas!$B$24+(2*ROUNDUP(D204/2,0))*Premissas!$B$26+INT((2*ROUNDUP(D204/2,0))/4)*Premissas!$B$27+MOD((2*ROUNDUP(D204/2,0)),4)/2*Premissas!$B$28+2*IF(D204&lt;=19,3*D204,IF(D204&lt;=50,ROUNDUP(2.5*D204,0),2*D204))*Premissas!$B$29+IF(C204="Micro",G204*(Premissas!$B$31+Premissas!$B$32+4*Premissas!$B$30),G204*(INDEX(Premissas!$B$40:$B$71,MATCH(F204,Premissas!$A$40:$A$71,0))+INDEX(Premissas!$C$40:$C$71,MATCH(F204,Premissas!$A$40:$A$71,0))*Premissas!$B$30)))</f>
        <v/>
      </c>
      <c r="K204" s="24">
        <f>IF(J204&lt;Premissas!$B$36,MAX(Premissas!$B$33,J204*Premissas!$B$34),J204*Premissas!$B$35)</f>
        <v/>
      </c>
      <c r="L204" s="24">
        <f>ROUND(J204+K204,2)</f>
        <v/>
      </c>
      <c r="M204" s="24">
        <f>D204*Premissas!$B$8+Premissas!$B$9+Premissas!$B$10+Premissas!$B$11+Premissas!$B$12+ROUND(Premissas!$B$13*E204,2)</f>
        <v/>
      </c>
      <c r="N204" s="25">
        <f>ROUNDUP((L204+M204-Premissas!$B$5*L204)/(1-Premissas!$B$6-Premissas!$B$7-Premissas!$B$5-Premissas!$B$14),2)</f>
        <v/>
      </c>
      <c r="O204" s="24">
        <f>ROUND(IF(N204&lt;=30000,N204*(1+Premissas!$B$21),N204+Premissas!$B$21*30000*SQRT(N204/30000)),2)</f>
        <v/>
      </c>
      <c r="P204" s="24">
        <f>N204-I204</f>
        <v/>
      </c>
      <c r="Q204" s="26">
        <f>P204/I204</f>
        <v/>
      </c>
      <c r="R204" s="26">
        <f>(I204-L204-Premissas!$B$5*(I204-L204)-(Premissas!$B$6+Premissas!$B$7)*I204-M204)/I204</f>
        <v/>
      </c>
      <c r="S204" s="24">
        <f>ROUND((CEILING((L204*Premissas!$B$17/Premissas!$B$18-97)/100,1)*100+97)*Premissas!$B$18,2)</f>
        <v/>
      </c>
    </row>
    <row r="205">
      <c r="A205" s="17" t="inlineStr">
        <is>
          <t>KIT 70 MOD. 620W + INV. GROWATT 36KW</t>
        </is>
      </c>
      <c r="B205" s="17" t="inlineStr">
        <is>
          <t>GROWATT</t>
        </is>
      </c>
      <c r="C205" s="17" t="inlineStr">
        <is>
          <t>Inversor</t>
        </is>
      </c>
      <c r="D205" s="21" t="n">
        <v>70</v>
      </c>
      <c r="E205" s="30" t="n">
        <v>43.4</v>
      </c>
      <c r="F205" s="20" t="inlineStr">
        <is>
          <t>GROWATT MAC 36KTL3-XL LV-TRI 220V</t>
        </is>
      </c>
      <c r="G205" s="21" t="n">
        <v>1</v>
      </c>
      <c r="H205" s="17" t="inlineStr">
        <is>
          <t>Sim</t>
        </is>
      </c>
      <c r="I205" s="23" t="n">
        <v>98276.85000000001</v>
      </c>
      <c r="J205" s="24">
        <f>(D205*Premissas!$B$24+(2*ROUNDUP(D205/2,0))*Premissas!$B$26+INT((2*ROUNDUP(D205/2,0))/4)*Premissas!$B$27+MOD((2*ROUNDUP(D205/2,0)),4)/2*Premissas!$B$28+2*IF(D205&lt;=19,3*D205,IF(D205&lt;=50,ROUNDUP(2.5*D205,0),2*D205))*Premissas!$B$29+IF(C205="Micro",G205*(Premissas!$B$31+Premissas!$B$32+4*Premissas!$B$30),G205*(INDEX(Premissas!$B$40:$B$71,MATCH(F205,Premissas!$A$40:$A$71,0))+INDEX(Premissas!$C$40:$C$71,MATCH(F205,Premissas!$A$40:$A$71,0))*Premissas!$B$30)))</f>
        <v/>
      </c>
      <c r="K205" s="24">
        <f>IF(J205&lt;Premissas!$B$36,MAX(Premissas!$B$33,J205*Premissas!$B$34),J205*Premissas!$B$35)</f>
        <v/>
      </c>
      <c r="L205" s="24">
        <f>ROUND(J205+K205,2)</f>
        <v/>
      </c>
      <c r="M205" s="24">
        <f>D205*Premissas!$B$8+Premissas!$B$9+Premissas!$B$10+Premissas!$B$11+Premissas!$B$12+ROUND(Premissas!$B$13*E205,2)</f>
        <v/>
      </c>
      <c r="N205" s="25">
        <f>ROUNDUP((L205+M205-Premissas!$B$5*L205)/(1-Premissas!$B$6-Premissas!$B$7-Premissas!$B$5-Premissas!$B$14),2)</f>
        <v/>
      </c>
      <c r="O205" s="24">
        <f>ROUND(IF(N205&lt;=30000,N205*(1+Premissas!$B$21),N205+Premissas!$B$21*30000*SQRT(N205/30000)),2)</f>
        <v/>
      </c>
      <c r="P205" s="24">
        <f>N205-I205</f>
        <v/>
      </c>
      <c r="Q205" s="26">
        <f>P205/I205</f>
        <v/>
      </c>
      <c r="R205" s="26">
        <f>(I205-L205-Premissas!$B$5*(I205-L205)-(Premissas!$B$6+Premissas!$B$7)*I205-M205)/I205</f>
        <v/>
      </c>
      <c r="S205" s="24">
        <f>ROUND((CEILING((L205*Premissas!$B$17/Premissas!$B$18-97)/100,1)*100+97)*Premissas!$B$18,2)</f>
        <v/>
      </c>
    </row>
    <row r="206">
      <c r="A206" s="17" t="inlineStr">
        <is>
          <t>KIT 71 MOD. 620W + INV. GROWATT 36KW</t>
        </is>
      </c>
      <c r="B206" s="17" t="inlineStr">
        <is>
          <t>GROWATT</t>
        </is>
      </c>
      <c r="C206" s="17" t="inlineStr">
        <is>
          <t>Inversor</t>
        </is>
      </c>
      <c r="D206" s="21" t="n">
        <v>71</v>
      </c>
      <c r="E206" s="30" t="n">
        <v>44.02</v>
      </c>
      <c r="F206" s="20" t="inlineStr">
        <is>
          <t>GROWATT MAC 36KTL3-XL LV-TRI 220V</t>
        </is>
      </c>
      <c r="G206" s="21" t="n">
        <v>1</v>
      </c>
      <c r="H206" s="17" t="inlineStr">
        <is>
          <t>Sim</t>
        </is>
      </c>
      <c r="I206" s="23" t="n">
        <v>99641.85000000001</v>
      </c>
      <c r="J206" s="24">
        <f>(D206*Premissas!$B$24+(2*ROUNDUP(D206/2,0))*Premissas!$B$26+INT((2*ROUNDUP(D206/2,0))/4)*Premissas!$B$27+MOD((2*ROUNDUP(D206/2,0)),4)/2*Premissas!$B$28+2*IF(D206&lt;=19,3*D206,IF(D206&lt;=50,ROUNDUP(2.5*D206,0),2*D206))*Premissas!$B$29+IF(C206="Micro",G206*(Premissas!$B$31+Premissas!$B$32+4*Premissas!$B$30),G206*(INDEX(Premissas!$B$40:$B$71,MATCH(F206,Premissas!$A$40:$A$71,0))+INDEX(Premissas!$C$40:$C$71,MATCH(F206,Premissas!$A$40:$A$71,0))*Premissas!$B$30)))</f>
        <v/>
      </c>
      <c r="K206" s="24">
        <f>IF(J206&lt;Premissas!$B$36,MAX(Premissas!$B$33,J206*Premissas!$B$34),J206*Premissas!$B$35)</f>
        <v/>
      </c>
      <c r="L206" s="24">
        <f>ROUND(J206+K206,2)</f>
        <v/>
      </c>
      <c r="M206" s="24">
        <f>D206*Premissas!$B$8+Premissas!$B$9+Premissas!$B$10+Premissas!$B$11+Premissas!$B$12+ROUND(Premissas!$B$13*E206,2)</f>
        <v/>
      </c>
      <c r="N206" s="25">
        <f>ROUNDUP((L206+M206-Premissas!$B$5*L206)/(1-Premissas!$B$6-Premissas!$B$7-Premissas!$B$5-Premissas!$B$14),2)</f>
        <v/>
      </c>
      <c r="O206" s="24">
        <f>ROUND(IF(N206&lt;=30000,N206*(1+Premissas!$B$21),N206+Premissas!$B$21*30000*SQRT(N206/30000)),2)</f>
        <v/>
      </c>
      <c r="P206" s="24">
        <f>N206-I206</f>
        <v/>
      </c>
      <c r="Q206" s="26">
        <f>P206/I206</f>
        <v/>
      </c>
      <c r="R206" s="26">
        <f>(I206-L206-Premissas!$B$5*(I206-L206)-(Premissas!$B$6+Premissas!$B$7)*I206-M206)/I206</f>
        <v/>
      </c>
      <c r="S206" s="24">
        <f>ROUND((CEILING((L206*Premissas!$B$17/Premissas!$B$18-97)/100,1)*100+97)*Premissas!$B$18,2)</f>
        <v/>
      </c>
    </row>
    <row r="207">
      <c r="A207" s="17" t="inlineStr">
        <is>
          <t>KIT 72 MOD. 620W + INV. GROWATT 36KW</t>
        </is>
      </c>
      <c r="B207" s="17" t="inlineStr">
        <is>
          <t>GROWATT</t>
        </is>
      </c>
      <c r="C207" s="17" t="inlineStr">
        <is>
          <t>Inversor</t>
        </is>
      </c>
      <c r="D207" s="21" t="n">
        <v>72</v>
      </c>
      <c r="E207" s="30" t="n">
        <v>44.64</v>
      </c>
      <c r="F207" s="20" t="inlineStr">
        <is>
          <t>GROWATT MAC 36KTL3-XL LV-TRI 220V</t>
        </is>
      </c>
      <c r="G207" s="21" t="n">
        <v>1</v>
      </c>
      <c r="H207" s="17" t="inlineStr">
        <is>
          <t>Sim</t>
        </is>
      </c>
      <c r="I207" s="23" t="n">
        <v>100586.85</v>
      </c>
      <c r="J207" s="24">
        <f>(D207*Premissas!$B$24+(2*ROUNDUP(D207/2,0))*Premissas!$B$26+INT((2*ROUNDUP(D207/2,0))/4)*Premissas!$B$27+MOD((2*ROUNDUP(D207/2,0)),4)/2*Premissas!$B$28+2*IF(D207&lt;=19,3*D207,IF(D207&lt;=50,ROUNDUP(2.5*D207,0),2*D207))*Premissas!$B$29+IF(C207="Micro",G207*(Premissas!$B$31+Premissas!$B$32+4*Premissas!$B$30),G207*(INDEX(Premissas!$B$40:$B$71,MATCH(F207,Premissas!$A$40:$A$71,0))+INDEX(Premissas!$C$40:$C$71,MATCH(F207,Premissas!$A$40:$A$71,0))*Premissas!$B$30)))</f>
        <v/>
      </c>
      <c r="K207" s="24">
        <f>IF(J207&lt;Premissas!$B$36,MAX(Premissas!$B$33,J207*Premissas!$B$34),J207*Premissas!$B$35)</f>
        <v/>
      </c>
      <c r="L207" s="24">
        <f>ROUND(J207+K207,2)</f>
        <v/>
      </c>
      <c r="M207" s="24">
        <f>D207*Premissas!$B$8+Premissas!$B$9+Premissas!$B$10+Premissas!$B$11+Premissas!$B$12+ROUND(Premissas!$B$13*E207,2)</f>
        <v/>
      </c>
      <c r="N207" s="25">
        <f>ROUNDUP((L207+M207-Premissas!$B$5*L207)/(1-Premissas!$B$6-Premissas!$B$7-Premissas!$B$5-Premissas!$B$14),2)</f>
        <v/>
      </c>
      <c r="O207" s="24">
        <f>ROUND(IF(N207&lt;=30000,N207*(1+Premissas!$B$21),N207+Premissas!$B$21*30000*SQRT(N207/30000)),2)</f>
        <v/>
      </c>
      <c r="P207" s="24">
        <f>N207-I207</f>
        <v/>
      </c>
      <c r="Q207" s="26">
        <f>P207/I207</f>
        <v/>
      </c>
      <c r="R207" s="26">
        <f>(I207-L207-Premissas!$B$5*(I207-L207)-(Premissas!$B$6+Premissas!$B$7)*I207-M207)/I207</f>
        <v/>
      </c>
      <c r="S207" s="24">
        <f>ROUND((CEILING((L207*Premissas!$B$17/Premissas!$B$18-97)/100,1)*100+97)*Premissas!$B$18,2)</f>
        <v/>
      </c>
    </row>
    <row r="208">
      <c r="A208" s="17" t="inlineStr">
        <is>
          <t>KIT 73 MOD. 620W + INV. GROWATT 36KW</t>
        </is>
      </c>
      <c r="B208" s="17" t="inlineStr">
        <is>
          <t>GROWATT</t>
        </is>
      </c>
      <c r="C208" s="17" t="inlineStr">
        <is>
          <t>Inversor</t>
        </is>
      </c>
      <c r="D208" s="21" t="n">
        <v>73</v>
      </c>
      <c r="E208" s="30" t="n">
        <v>45.26</v>
      </c>
      <c r="F208" s="20" t="inlineStr">
        <is>
          <t>GROWATT MAC 36KTL3-XL LV-TRI 220V</t>
        </is>
      </c>
      <c r="G208" s="21" t="n">
        <v>1</v>
      </c>
      <c r="H208" s="17" t="inlineStr">
        <is>
          <t>Sim</t>
        </is>
      </c>
      <c r="I208" s="23" t="n">
        <v>101951.85</v>
      </c>
      <c r="J208" s="24">
        <f>(D208*Premissas!$B$24+(2*ROUNDUP(D208/2,0))*Premissas!$B$26+INT((2*ROUNDUP(D208/2,0))/4)*Premissas!$B$27+MOD((2*ROUNDUP(D208/2,0)),4)/2*Premissas!$B$28+2*IF(D208&lt;=19,3*D208,IF(D208&lt;=50,ROUNDUP(2.5*D208,0),2*D208))*Premissas!$B$29+IF(C208="Micro",G208*(Premissas!$B$31+Premissas!$B$32+4*Premissas!$B$30),G208*(INDEX(Premissas!$B$40:$B$71,MATCH(F208,Premissas!$A$40:$A$71,0))+INDEX(Premissas!$C$40:$C$71,MATCH(F208,Premissas!$A$40:$A$71,0))*Premissas!$B$30)))</f>
        <v/>
      </c>
      <c r="K208" s="24">
        <f>IF(J208&lt;Premissas!$B$36,MAX(Premissas!$B$33,J208*Premissas!$B$34),J208*Premissas!$B$35)</f>
        <v/>
      </c>
      <c r="L208" s="24">
        <f>ROUND(J208+K208,2)</f>
        <v/>
      </c>
      <c r="M208" s="24">
        <f>D208*Premissas!$B$8+Premissas!$B$9+Premissas!$B$10+Premissas!$B$11+Premissas!$B$12+ROUND(Premissas!$B$13*E208,2)</f>
        <v/>
      </c>
      <c r="N208" s="25">
        <f>ROUNDUP((L208+M208-Premissas!$B$5*L208)/(1-Premissas!$B$6-Premissas!$B$7-Premissas!$B$5-Premissas!$B$14),2)</f>
        <v/>
      </c>
      <c r="O208" s="24">
        <f>ROUND(IF(N208&lt;=30000,N208*(1+Premissas!$B$21),N208+Premissas!$B$21*30000*SQRT(N208/30000)),2)</f>
        <v/>
      </c>
      <c r="P208" s="24">
        <f>N208-I208</f>
        <v/>
      </c>
      <c r="Q208" s="26">
        <f>P208/I208</f>
        <v/>
      </c>
      <c r="R208" s="26">
        <f>(I208-L208-Premissas!$B$5*(I208-L208)-(Premissas!$B$6+Premissas!$B$7)*I208-M208)/I208</f>
        <v/>
      </c>
      <c r="S208" s="24">
        <f>ROUND((CEILING((L208*Premissas!$B$17/Premissas!$B$18-97)/100,1)*100+97)*Premissas!$B$18,2)</f>
        <v/>
      </c>
    </row>
    <row r="209">
      <c r="A209" s="17" t="inlineStr">
        <is>
          <t>KIT 74 MOD. 620W + INV. GROWATT 36KW</t>
        </is>
      </c>
      <c r="B209" s="17" t="inlineStr">
        <is>
          <t>GROWATT</t>
        </is>
      </c>
      <c r="C209" s="17" t="inlineStr">
        <is>
          <t>Inversor</t>
        </is>
      </c>
      <c r="D209" s="21" t="n">
        <v>74</v>
      </c>
      <c r="E209" s="30" t="n">
        <v>45.88</v>
      </c>
      <c r="F209" s="20" t="inlineStr">
        <is>
          <t>GROWATT MAC 36KTL3-XL LV-TRI 220V</t>
        </is>
      </c>
      <c r="G209" s="21" t="n">
        <v>1</v>
      </c>
      <c r="H209" s="17" t="inlineStr">
        <is>
          <t>Sim</t>
        </is>
      </c>
      <c r="I209" s="23" t="n">
        <v>103001.85</v>
      </c>
      <c r="J209" s="24">
        <f>(D209*Premissas!$B$24+(2*ROUNDUP(D209/2,0))*Premissas!$B$26+INT((2*ROUNDUP(D209/2,0))/4)*Premissas!$B$27+MOD((2*ROUNDUP(D209/2,0)),4)/2*Premissas!$B$28+2*IF(D209&lt;=19,3*D209,IF(D209&lt;=50,ROUNDUP(2.5*D209,0),2*D209))*Premissas!$B$29+IF(C209="Micro",G209*(Premissas!$B$31+Premissas!$B$32+4*Premissas!$B$30),G209*(INDEX(Premissas!$B$40:$B$71,MATCH(F209,Premissas!$A$40:$A$71,0))+INDEX(Premissas!$C$40:$C$71,MATCH(F209,Premissas!$A$40:$A$71,0))*Premissas!$B$30)))</f>
        <v/>
      </c>
      <c r="K209" s="24">
        <f>IF(J209&lt;Premissas!$B$36,MAX(Premissas!$B$33,J209*Premissas!$B$34),J209*Premissas!$B$35)</f>
        <v/>
      </c>
      <c r="L209" s="24">
        <f>ROUND(J209+K209,2)</f>
        <v/>
      </c>
      <c r="M209" s="24">
        <f>D209*Premissas!$B$8+Premissas!$B$9+Premissas!$B$10+Premissas!$B$11+Premissas!$B$12+ROUND(Premissas!$B$13*E209,2)</f>
        <v/>
      </c>
      <c r="N209" s="25">
        <f>ROUNDUP((L209+M209-Premissas!$B$5*L209)/(1-Premissas!$B$6-Premissas!$B$7-Premissas!$B$5-Premissas!$B$14),2)</f>
        <v/>
      </c>
      <c r="O209" s="24">
        <f>ROUND(IF(N209&lt;=30000,N209*(1+Premissas!$B$21),N209+Premissas!$B$21*30000*SQRT(N209/30000)),2)</f>
        <v/>
      </c>
      <c r="P209" s="24">
        <f>N209-I209</f>
        <v/>
      </c>
      <c r="Q209" s="26">
        <f>P209/I209</f>
        <v/>
      </c>
      <c r="R209" s="26">
        <f>(I209-L209-Premissas!$B$5*(I209-L209)-(Premissas!$B$6+Premissas!$B$7)*I209-M209)/I209</f>
        <v/>
      </c>
      <c r="S209" s="24">
        <f>ROUND((CEILING((L209*Premissas!$B$17/Premissas!$B$18-97)/100,1)*100+97)*Premissas!$B$18,2)</f>
        <v/>
      </c>
    </row>
    <row r="210">
      <c r="A210" s="17" t="inlineStr">
        <is>
          <t>KIT 75 MOD. 620W + INV. GROWATT 36KW</t>
        </is>
      </c>
      <c r="B210" s="17" t="inlineStr">
        <is>
          <t>GROWATT</t>
        </is>
      </c>
      <c r="C210" s="17" t="inlineStr">
        <is>
          <t>Inversor</t>
        </is>
      </c>
      <c r="D210" s="21" t="n">
        <v>75</v>
      </c>
      <c r="E210" s="30" t="n">
        <v>46.5</v>
      </c>
      <c r="F210" s="20" t="inlineStr">
        <is>
          <t>GROWATT MAC 36KTL3-XL LV-TRI 220V</t>
        </is>
      </c>
      <c r="G210" s="21" t="n">
        <v>1</v>
      </c>
      <c r="H210" s="17" t="inlineStr">
        <is>
          <t>Sim</t>
        </is>
      </c>
      <c r="I210" s="23" t="n">
        <v>104261.85</v>
      </c>
      <c r="J210" s="24">
        <f>(D210*Premissas!$B$24+(2*ROUNDUP(D210/2,0))*Premissas!$B$26+INT((2*ROUNDUP(D210/2,0))/4)*Premissas!$B$27+MOD((2*ROUNDUP(D210/2,0)),4)/2*Premissas!$B$28+2*IF(D210&lt;=19,3*D210,IF(D210&lt;=50,ROUNDUP(2.5*D210,0),2*D210))*Premissas!$B$29+IF(C210="Micro",G210*(Premissas!$B$31+Premissas!$B$32+4*Premissas!$B$30),G210*(INDEX(Premissas!$B$40:$B$71,MATCH(F210,Premissas!$A$40:$A$71,0))+INDEX(Premissas!$C$40:$C$71,MATCH(F210,Premissas!$A$40:$A$71,0))*Premissas!$B$30)))</f>
        <v/>
      </c>
      <c r="K210" s="24">
        <f>IF(J210&lt;Premissas!$B$36,MAX(Premissas!$B$33,J210*Premissas!$B$34),J210*Premissas!$B$35)</f>
        <v/>
      </c>
      <c r="L210" s="24">
        <f>ROUND(J210+K210,2)</f>
        <v/>
      </c>
      <c r="M210" s="24">
        <f>D210*Premissas!$B$8+Premissas!$B$9+Premissas!$B$10+Premissas!$B$11+Premissas!$B$12+ROUND(Premissas!$B$13*E210,2)</f>
        <v/>
      </c>
      <c r="N210" s="25">
        <f>ROUNDUP((L210+M210-Premissas!$B$5*L210)/(1-Premissas!$B$6-Premissas!$B$7-Premissas!$B$5-Premissas!$B$14),2)</f>
        <v/>
      </c>
      <c r="O210" s="24">
        <f>ROUND(IF(N210&lt;=30000,N210*(1+Premissas!$B$21),N210+Premissas!$B$21*30000*SQRT(N210/30000)),2)</f>
        <v/>
      </c>
      <c r="P210" s="24">
        <f>N210-I210</f>
        <v/>
      </c>
      <c r="Q210" s="26">
        <f>P210/I210</f>
        <v/>
      </c>
      <c r="R210" s="26">
        <f>(I210-L210-Premissas!$B$5*(I210-L210)-(Premissas!$B$6+Premissas!$B$7)*I210-M210)/I210</f>
        <v/>
      </c>
      <c r="S210" s="24">
        <f>ROUND((CEILING((L210*Premissas!$B$17/Premissas!$B$18-97)/100,1)*100+97)*Premissas!$B$18,2)</f>
        <v/>
      </c>
    </row>
    <row r="211">
      <c r="A211" s="17" t="inlineStr">
        <is>
          <t>KIT 76 MOD. 620W + INV. GROWATT 50KW</t>
        </is>
      </c>
      <c r="B211" s="17" t="inlineStr">
        <is>
          <t>GROWATT</t>
        </is>
      </c>
      <c r="C211" s="17" t="inlineStr">
        <is>
          <t>Inversor</t>
        </is>
      </c>
      <c r="D211" s="21" t="n">
        <v>76</v>
      </c>
      <c r="E211" s="30" t="n">
        <v>47.12</v>
      </c>
      <c r="F211" s="20" t="inlineStr">
        <is>
          <t>GROWATT MAX 50K TL3-XL2 LV-TRI 220V</t>
        </is>
      </c>
      <c r="G211" s="21" t="n">
        <v>1</v>
      </c>
      <c r="H211" s="17" t="inlineStr">
        <is>
          <t>Sim</t>
        </is>
      </c>
      <c r="I211" s="23" t="n">
        <v>115286.85</v>
      </c>
      <c r="J211" s="24">
        <f>(D211*Premissas!$B$24+(2*ROUNDUP(D211/2,0))*Premissas!$B$26+INT((2*ROUNDUP(D211/2,0))/4)*Premissas!$B$27+MOD((2*ROUNDUP(D211/2,0)),4)/2*Premissas!$B$28+2*IF(D211&lt;=19,3*D211,IF(D211&lt;=50,ROUNDUP(2.5*D211,0),2*D211))*Premissas!$B$29+IF(C211="Micro",G211*(Premissas!$B$31+Premissas!$B$32+4*Premissas!$B$30),G211*(INDEX(Premissas!$B$40:$B$71,MATCH(F211,Premissas!$A$40:$A$71,0))+INDEX(Premissas!$C$40:$C$71,MATCH(F211,Premissas!$A$40:$A$71,0))*Premissas!$B$30)))</f>
        <v/>
      </c>
      <c r="K211" s="24">
        <f>IF(J211&lt;Premissas!$B$36,MAX(Premissas!$B$33,J211*Premissas!$B$34),J211*Premissas!$B$35)</f>
        <v/>
      </c>
      <c r="L211" s="24">
        <f>ROUND(J211+K211,2)</f>
        <v/>
      </c>
      <c r="M211" s="24">
        <f>D211*Premissas!$B$8+Premissas!$B$9+Premissas!$B$10+Premissas!$B$11+Premissas!$B$12+ROUND(Premissas!$B$13*E211,2)</f>
        <v/>
      </c>
      <c r="N211" s="25">
        <f>ROUNDUP((L211+M211-Premissas!$B$5*L211)/(1-Premissas!$B$6-Premissas!$B$7-Premissas!$B$5-Premissas!$B$14),2)</f>
        <v/>
      </c>
      <c r="O211" s="24">
        <f>ROUND(IF(N211&lt;=30000,N211*(1+Premissas!$B$21),N211+Premissas!$B$21*30000*SQRT(N211/30000)),2)</f>
        <v/>
      </c>
      <c r="P211" s="24">
        <f>N211-I211</f>
        <v/>
      </c>
      <c r="Q211" s="26">
        <f>P211/I211</f>
        <v/>
      </c>
      <c r="R211" s="26">
        <f>(I211-L211-Premissas!$B$5*(I211-L211)-(Premissas!$B$6+Premissas!$B$7)*I211-M211)/I211</f>
        <v/>
      </c>
      <c r="S211" s="24">
        <f>ROUND((CEILING((L211*Premissas!$B$17/Premissas!$B$18-97)/100,1)*100+97)*Premissas!$B$18,2)</f>
        <v/>
      </c>
    </row>
    <row r="212">
      <c r="A212" s="17" t="inlineStr">
        <is>
          <t>KIT 77 MOD. 620W + INV. GROWATT 50KW</t>
        </is>
      </c>
      <c r="B212" s="17" t="inlineStr">
        <is>
          <t>GROWATT</t>
        </is>
      </c>
      <c r="C212" s="17" t="inlineStr">
        <is>
          <t>Inversor</t>
        </is>
      </c>
      <c r="D212" s="21" t="n">
        <v>77</v>
      </c>
      <c r="E212" s="30" t="n">
        <v>47.74</v>
      </c>
      <c r="F212" s="20" t="inlineStr">
        <is>
          <t>GROWATT MAX 50K TL3-XL2 LV-TRI 220V</t>
        </is>
      </c>
      <c r="G212" s="21" t="n">
        <v>1</v>
      </c>
      <c r="H212" s="17" t="inlineStr">
        <is>
          <t>Sim</t>
        </is>
      </c>
      <c r="I212" s="23" t="n">
        <v>116651.85</v>
      </c>
      <c r="J212" s="24">
        <f>(D212*Premissas!$B$24+(2*ROUNDUP(D212/2,0))*Premissas!$B$26+INT((2*ROUNDUP(D212/2,0))/4)*Premissas!$B$27+MOD((2*ROUNDUP(D212/2,0)),4)/2*Premissas!$B$28+2*IF(D212&lt;=19,3*D212,IF(D212&lt;=50,ROUNDUP(2.5*D212,0),2*D212))*Premissas!$B$29+IF(C212="Micro",G212*(Premissas!$B$31+Premissas!$B$32+4*Premissas!$B$30),G212*(INDEX(Premissas!$B$40:$B$71,MATCH(F212,Premissas!$A$40:$A$71,0))+INDEX(Premissas!$C$40:$C$71,MATCH(F212,Premissas!$A$40:$A$71,0))*Premissas!$B$30)))</f>
        <v/>
      </c>
      <c r="K212" s="24">
        <f>IF(J212&lt;Premissas!$B$36,MAX(Premissas!$B$33,J212*Premissas!$B$34),J212*Premissas!$B$35)</f>
        <v/>
      </c>
      <c r="L212" s="24">
        <f>ROUND(J212+K212,2)</f>
        <v/>
      </c>
      <c r="M212" s="24">
        <f>D212*Premissas!$B$8+Premissas!$B$9+Premissas!$B$10+Premissas!$B$11+Premissas!$B$12+ROUND(Premissas!$B$13*E212,2)</f>
        <v/>
      </c>
      <c r="N212" s="25">
        <f>ROUNDUP((L212+M212-Premissas!$B$5*L212)/(1-Premissas!$B$6-Premissas!$B$7-Premissas!$B$5-Premissas!$B$14),2)</f>
        <v/>
      </c>
      <c r="O212" s="24">
        <f>ROUND(IF(N212&lt;=30000,N212*(1+Premissas!$B$21),N212+Premissas!$B$21*30000*SQRT(N212/30000)),2)</f>
        <v/>
      </c>
      <c r="P212" s="24">
        <f>N212-I212</f>
        <v/>
      </c>
      <c r="Q212" s="26">
        <f>P212/I212</f>
        <v/>
      </c>
      <c r="R212" s="26">
        <f>(I212-L212-Premissas!$B$5*(I212-L212)-(Premissas!$B$6+Premissas!$B$7)*I212-M212)/I212</f>
        <v/>
      </c>
      <c r="S212" s="24">
        <f>ROUND((CEILING((L212*Premissas!$B$17/Premissas!$B$18-97)/100,1)*100+97)*Premissas!$B$18,2)</f>
        <v/>
      </c>
    </row>
    <row r="213">
      <c r="A213" s="17" t="inlineStr">
        <is>
          <t>KIT 78 MOD. 620W + INV. GROWATT 50KW</t>
        </is>
      </c>
      <c r="B213" s="17" t="inlineStr">
        <is>
          <t>GROWATT</t>
        </is>
      </c>
      <c r="C213" s="17" t="inlineStr">
        <is>
          <t>Inversor</t>
        </is>
      </c>
      <c r="D213" s="21" t="n">
        <v>78</v>
      </c>
      <c r="E213" s="30" t="n">
        <v>48.36</v>
      </c>
      <c r="F213" s="20" t="inlineStr">
        <is>
          <t>GROWATT MAX 50K TL3-XL2 LV-TRI 220V</t>
        </is>
      </c>
      <c r="G213" s="21" t="n">
        <v>1</v>
      </c>
      <c r="H213" s="17" t="inlineStr">
        <is>
          <t>Sim</t>
        </is>
      </c>
      <c r="I213" s="23" t="n">
        <v>117701.85</v>
      </c>
      <c r="J213" s="24">
        <f>(D213*Premissas!$B$24+(2*ROUNDUP(D213/2,0))*Premissas!$B$26+INT((2*ROUNDUP(D213/2,0))/4)*Premissas!$B$27+MOD((2*ROUNDUP(D213/2,0)),4)/2*Premissas!$B$28+2*IF(D213&lt;=19,3*D213,IF(D213&lt;=50,ROUNDUP(2.5*D213,0),2*D213))*Premissas!$B$29+IF(C213="Micro",G213*(Premissas!$B$31+Premissas!$B$32+4*Premissas!$B$30),G213*(INDEX(Premissas!$B$40:$B$71,MATCH(F213,Premissas!$A$40:$A$71,0))+INDEX(Premissas!$C$40:$C$71,MATCH(F213,Premissas!$A$40:$A$71,0))*Premissas!$B$30)))</f>
        <v/>
      </c>
      <c r="K213" s="24">
        <f>IF(J213&lt;Premissas!$B$36,MAX(Premissas!$B$33,J213*Premissas!$B$34),J213*Premissas!$B$35)</f>
        <v/>
      </c>
      <c r="L213" s="24">
        <f>ROUND(J213+K213,2)</f>
        <v/>
      </c>
      <c r="M213" s="24">
        <f>D213*Premissas!$B$8+Premissas!$B$9+Premissas!$B$10+Premissas!$B$11+Premissas!$B$12+ROUND(Premissas!$B$13*E213,2)</f>
        <v/>
      </c>
      <c r="N213" s="25">
        <f>ROUNDUP((L213+M213-Premissas!$B$5*L213)/(1-Premissas!$B$6-Premissas!$B$7-Premissas!$B$5-Premissas!$B$14),2)</f>
        <v/>
      </c>
      <c r="O213" s="24">
        <f>ROUND(IF(N213&lt;=30000,N213*(1+Premissas!$B$21),N213+Premissas!$B$21*30000*SQRT(N213/30000)),2)</f>
        <v/>
      </c>
      <c r="P213" s="24">
        <f>N213-I213</f>
        <v/>
      </c>
      <c r="Q213" s="26">
        <f>P213/I213</f>
        <v/>
      </c>
      <c r="R213" s="26">
        <f>(I213-L213-Premissas!$B$5*(I213-L213)-(Premissas!$B$6+Premissas!$B$7)*I213-M213)/I213</f>
        <v/>
      </c>
      <c r="S213" s="24">
        <f>ROUND((CEILING((L213*Premissas!$B$17/Premissas!$B$18-97)/100,1)*100+97)*Premissas!$B$18,2)</f>
        <v/>
      </c>
    </row>
    <row r="214">
      <c r="A214" s="17" t="inlineStr">
        <is>
          <t>KIT 79 MOD. 620W + INV. GROWATT 50KW</t>
        </is>
      </c>
      <c r="B214" s="17" t="inlineStr">
        <is>
          <t>GROWATT</t>
        </is>
      </c>
      <c r="C214" s="17" t="inlineStr">
        <is>
          <t>Inversor</t>
        </is>
      </c>
      <c r="D214" s="21" t="n">
        <v>79</v>
      </c>
      <c r="E214" s="30" t="n">
        <v>48.98</v>
      </c>
      <c r="F214" s="20" t="inlineStr">
        <is>
          <t>GROWATT MAX 50K TL3-XL2 LV-TRI 220V</t>
        </is>
      </c>
      <c r="G214" s="21" t="n">
        <v>1</v>
      </c>
      <c r="H214" s="17" t="inlineStr">
        <is>
          <t>Sim</t>
        </is>
      </c>
      <c r="I214" s="23" t="n">
        <v>118961.85</v>
      </c>
      <c r="J214" s="24">
        <f>(D214*Premissas!$B$24+(2*ROUNDUP(D214/2,0))*Premissas!$B$26+INT((2*ROUNDUP(D214/2,0))/4)*Premissas!$B$27+MOD((2*ROUNDUP(D214/2,0)),4)/2*Premissas!$B$28+2*IF(D214&lt;=19,3*D214,IF(D214&lt;=50,ROUNDUP(2.5*D214,0),2*D214))*Premissas!$B$29+IF(C214="Micro",G214*(Premissas!$B$31+Premissas!$B$32+4*Premissas!$B$30),G214*(INDEX(Premissas!$B$40:$B$71,MATCH(F214,Premissas!$A$40:$A$71,0))+INDEX(Premissas!$C$40:$C$71,MATCH(F214,Premissas!$A$40:$A$71,0))*Premissas!$B$30)))</f>
        <v/>
      </c>
      <c r="K214" s="24">
        <f>IF(J214&lt;Premissas!$B$36,MAX(Premissas!$B$33,J214*Premissas!$B$34),J214*Premissas!$B$35)</f>
        <v/>
      </c>
      <c r="L214" s="24">
        <f>ROUND(J214+K214,2)</f>
        <v/>
      </c>
      <c r="M214" s="24">
        <f>D214*Premissas!$B$8+Premissas!$B$9+Premissas!$B$10+Premissas!$B$11+Premissas!$B$12+ROUND(Premissas!$B$13*E214,2)</f>
        <v/>
      </c>
      <c r="N214" s="25">
        <f>ROUNDUP((L214+M214-Premissas!$B$5*L214)/(1-Premissas!$B$6-Premissas!$B$7-Premissas!$B$5-Premissas!$B$14),2)</f>
        <v/>
      </c>
      <c r="O214" s="24">
        <f>ROUND(IF(N214&lt;=30000,N214*(1+Premissas!$B$21),N214+Premissas!$B$21*30000*SQRT(N214/30000)),2)</f>
        <v/>
      </c>
      <c r="P214" s="24">
        <f>N214-I214</f>
        <v/>
      </c>
      <c r="Q214" s="26">
        <f>P214/I214</f>
        <v/>
      </c>
      <c r="R214" s="26">
        <f>(I214-L214-Premissas!$B$5*(I214-L214)-(Premissas!$B$6+Premissas!$B$7)*I214-M214)/I214</f>
        <v/>
      </c>
      <c r="S214" s="24">
        <f>ROUND((CEILING((L214*Premissas!$B$17/Premissas!$B$18-97)/100,1)*100+97)*Premissas!$B$18,2)</f>
        <v/>
      </c>
    </row>
    <row r="215">
      <c r="A215" s="17" t="inlineStr">
        <is>
          <t>KIT 80 MOD. 620W + INV. GROWATT 50KW</t>
        </is>
      </c>
      <c r="B215" s="17" t="inlineStr">
        <is>
          <t>GROWATT</t>
        </is>
      </c>
      <c r="C215" s="17" t="inlineStr">
        <is>
          <t>Inversor</t>
        </is>
      </c>
      <c r="D215" s="21" t="n">
        <v>80</v>
      </c>
      <c r="E215" s="30" t="n">
        <v>49.6</v>
      </c>
      <c r="F215" s="20" t="inlineStr">
        <is>
          <t>GROWATT MAX 50K TL3-XL2 LV-TRI 220V</t>
        </is>
      </c>
      <c r="G215" s="21" t="n">
        <v>1</v>
      </c>
      <c r="H215" s="17" t="inlineStr">
        <is>
          <t>Sim</t>
        </is>
      </c>
      <c r="I215" s="23" t="n">
        <v>120011.85</v>
      </c>
      <c r="J215" s="24">
        <f>(D215*Premissas!$B$24+(2*ROUNDUP(D215/2,0))*Premissas!$B$26+INT((2*ROUNDUP(D215/2,0))/4)*Premissas!$B$27+MOD((2*ROUNDUP(D215/2,0)),4)/2*Premissas!$B$28+2*IF(D215&lt;=19,3*D215,IF(D215&lt;=50,ROUNDUP(2.5*D215,0),2*D215))*Premissas!$B$29+IF(C215="Micro",G215*(Premissas!$B$31+Premissas!$B$32+4*Premissas!$B$30),G215*(INDEX(Premissas!$B$40:$B$71,MATCH(F215,Premissas!$A$40:$A$71,0))+INDEX(Premissas!$C$40:$C$71,MATCH(F215,Premissas!$A$40:$A$71,0))*Premissas!$B$30)))</f>
        <v/>
      </c>
      <c r="K215" s="24">
        <f>IF(J215&lt;Premissas!$B$36,MAX(Premissas!$B$33,J215*Premissas!$B$34),J215*Premissas!$B$35)</f>
        <v/>
      </c>
      <c r="L215" s="24">
        <f>ROUND(J215+K215,2)</f>
        <v/>
      </c>
      <c r="M215" s="24">
        <f>D215*Premissas!$B$8+Premissas!$B$9+Premissas!$B$10+Premissas!$B$11+Premissas!$B$12+ROUND(Premissas!$B$13*E215,2)</f>
        <v/>
      </c>
      <c r="N215" s="25">
        <f>ROUNDUP((L215+M215-Premissas!$B$5*L215)/(1-Premissas!$B$6-Premissas!$B$7-Premissas!$B$5-Premissas!$B$14),2)</f>
        <v/>
      </c>
      <c r="O215" s="24">
        <f>ROUND(IF(N215&lt;=30000,N215*(1+Premissas!$B$21),N215+Premissas!$B$21*30000*SQRT(N215/30000)),2)</f>
        <v/>
      </c>
      <c r="P215" s="24">
        <f>N215-I215</f>
        <v/>
      </c>
      <c r="Q215" s="26">
        <f>P215/I215</f>
        <v/>
      </c>
      <c r="R215" s="26">
        <f>(I215-L215-Premissas!$B$5*(I215-L215)-(Premissas!$B$6+Premissas!$B$7)*I215-M215)/I215</f>
        <v/>
      </c>
      <c r="S215" s="24">
        <f>ROUND((CEILING((L215*Premissas!$B$17/Premissas!$B$18-97)/100,1)*100+97)*Premissas!$B$18,2)</f>
        <v/>
      </c>
    </row>
    <row r="216">
      <c r="A216" s="17" t="inlineStr">
        <is>
          <t>KIT 81 MOD. 620W + INV. GROWATT 50KW</t>
        </is>
      </c>
      <c r="B216" s="17" t="inlineStr">
        <is>
          <t>GROWATT</t>
        </is>
      </c>
      <c r="C216" s="17" t="inlineStr">
        <is>
          <t>Inversor</t>
        </is>
      </c>
      <c r="D216" s="21" t="n">
        <v>81</v>
      </c>
      <c r="E216" s="30" t="n">
        <v>50.22</v>
      </c>
      <c r="F216" s="20" t="inlineStr">
        <is>
          <t>GROWATT MAX 50K TL3-XL2 LV-TRI 220V</t>
        </is>
      </c>
      <c r="G216" s="21" t="n">
        <v>1</v>
      </c>
      <c r="H216" s="17" t="inlineStr">
        <is>
          <t>Sim</t>
        </is>
      </c>
      <c r="I216" s="23" t="n">
        <v>121376.85</v>
      </c>
      <c r="J216" s="24">
        <f>(D216*Premissas!$B$24+(2*ROUNDUP(D216/2,0))*Premissas!$B$26+INT((2*ROUNDUP(D216/2,0))/4)*Premissas!$B$27+MOD((2*ROUNDUP(D216/2,0)),4)/2*Premissas!$B$28+2*IF(D216&lt;=19,3*D216,IF(D216&lt;=50,ROUNDUP(2.5*D216,0),2*D216))*Premissas!$B$29+IF(C216="Micro",G216*(Premissas!$B$31+Premissas!$B$32+4*Premissas!$B$30),G216*(INDEX(Premissas!$B$40:$B$71,MATCH(F216,Premissas!$A$40:$A$71,0))+INDEX(Premissas!$C$40:$C$71,MATCH(F216,Premissas!$A$40:$A$71,0))*Premissas!$B$30)))</f>
        <v/>
      </c>
      <c r="K216" s="24">
        <f>IF(J216&lt;Premissas!$B$36,MAX(Premissas!$B$33,J216*Premissas!$B$34),J216*Premissas!$B$35)</f>
        <v/>
      </c>
      <c r="L216" s="24">
        <f>ROUND(J216+K216,2)</f>
        <v/>
      </c>
      <c r="M216" s="24">
        <f>D216*Premissas!$B$8+Premissas!$B$9+Premissas!$B$10+Premissas!$B$11+Premissas!$B$12+ROUND(Premissas!$B$13*E216,2)</f>
        <v/>
      </c>
      <c r="N216" s="25">
        <f>ROUNDUP((L216+M216-Premissas!$B$5*L216)/(1-Premissas!$B$6-Premissas!$B$7-Premissas!$B$5-Premissas!$B$14),2)</f>
        <v/>
      </c>
      <c r="O216" s="24">
        <f>ROUND(IF(N216&lt;=30000,N216*(1+Premissas!$B$21),N216+Premissas!$B$21*30000*SQRT(N216/30000)),2)</f>
        <v/>
      </c>
      <c r="P216" s="24">
        <f>N216-I216</f>
        <v/>
      </c>
      <c r="Q216" s="26">
        <f>P216/I216</f>
        <v/>
      </c>
      <c r="R216" s="26">
        <f>(I216-L216-Premissas!$B$5*(I216-L216)-(Premissas!$B$6+Premissas!$B$7)*I216-M216)/I216</f>
        <v/>
      </c>
      <c r="S216" s="24">
        <f>ROUND((CEILING((L216*Premissas!$B$17/Premissas!$B$18-97)/100,1)*100+97)*Premissas!$B$18,2)</f>
        <v/>
      </c>
    </row>
    <row r="217">
      <c r="A217" s="17" t="inlineStr">
        <is>
          <t>KIT 82 MOD. 620W + INV. GROWATT 50KW</t>
        </is>
      </c>
      <c r="B217" s="17" t="inlineStr">
        <is>
          <t>GROWATT</t>
        </is>
      </c>
      <c r="C217" s="17" t="inlineStr">
        <is>
          <t>Inversor</t>
        </is>
      </c>
      <c r="D217" s="21" t="n">
        <v>82</v>
      </c>
      <c r="E217" s="30" t="n">
        <v>50.84</v>
      </c>
      <c r="F217" s="20" t="inlineStr">
        <is>
          <t>GROWATT MAX 50K TL3-XL2 LV-TRI 220V</t>
        </is>
      </c>
      <c r="G217" s="21" t="n">
        <v>1</v>
      </c>
      <c r="H217" s="17" t="inlineStr">
        <is>
          <t>Sim</t>
        </is>
      </c>
      <c r="I217" s="23" t="n">
        <v>122426.85</v>
      </c>
      <c r="J217" s="24">
        <f>(D217*Premissas!$B$24+(2*ROUNDUP(D217/2,0))*Premissas!$B$26+INT((2*ROUNDUP(D217/2,0))/4)*Premissas!$B$27+MOD((2*ROUNDUP(D217/2,0)),4)/2*Premissas!$B$28+2*IF(D217&lt;=19,3*D217,IF(D217&lt;=50,ROUNDUP(2.5*D217,0),2*D217))*Premissas!$B$29+IF(C217="Micro",G217*(Premissas!$B$31+Premissas!$B$32+4*Premissas!$B$30),G217*(INDEX(Premissas!$B$40:$B$71,MATCH(F217,Premissas!$A$40:$A$71,0))+INDEX(Premissas!$C$40:$C$71,MATCH(F217,Premissas!$A$40:$A$71,0))*Premissas!$B$30)))</f>
        <v/>
      </c>
      <c r="K217" s="24">
        <f>IF(J217&lt;Premissas!$B$36,MAX(Premissas!$B$33,J217*Premissas!$B$34),J217*Premissas!$B$35)</f>
        <v/>
      </c>
      <c r="L217" s="24">
        <f>ROUND(J217+K217,2)</f>
        <v/>
      </c>
      <c r="M217" s="24">
        <f>D217*Premissas!$B$8+Premissas!$B$9+Premissas!$B$10+Premissas!$B$11+Premissas!$B$12+ROUND(Premissas!$B$13*E217,2)</f>
        <v/>
      </c>
      <c r="N217" s="25">
        <f>ROUNDUP((L217+M217-Premissas!$B$5*L217)/(1-Premissas!$B$6-Premissas!$B$7-Premissas!$B$5-Premissas!$B$14),2)</f>
        <v/>
      </c>
      <c r="O217" s="24">
        <f>ROUND(IF(N217&lt;=30000,N217*(1+Premissas!$B$21),N217+Premissas!$B$21*30000*SQRT(N217/30000)),2)</f>
        <v/>
      </c>
      <c r="P217" s="24">
        <f>N217-I217</f>
        <v/>
      </c>
      <c r="Q217" s="26">
        <f>P217/I217</f>
        <v/>
      </c>
      <c r="R217" s="26">
        <f>(I217-L217-Premissas!$B$5*(I217-L217)-(Premissas!$B$6+Premissas!$B$7)*I217-M217)/I217</f>
        <v/>
      </c>
      <c r="S217" s="24">
        <f>ROUND((CEILING((L217*Premissas!$B$17/Premissas!$B$18-97)/100,1)*100+97)*Premissas!$B$18,2)</f>
        <v/>
      </c>
    </row>
    <row r="218">
      <c r="A218" s="17" t="inlineStr">
        <is>
          <t>KIT 83 MOD. 620W + INV. GROWATT 50KW</t>
        </is>
      </c>
      <c r="B218" s="17" t="inlineStr">
        <is>
          <t>GROWATT</t>
        </is>
      </c>
      <c r="C218" s="17" t="inlineStr">
        <is>
          <t>Inversor</t>
        </is>
      </c>
      <c r="D218" s="21" t="n">
        <v>83</v>
      </c>
      <c r="E218" s="30" t="n">
        <v>51.46</v>
      </c>
      <c r="F218" s="20" t="inlineStr">
        <is>
          <t>GROWATT MAX 50K TL3-XL2 LV-TRI 220V</t>
        </is>
      </c>
      <c r="G218" s="21" t="n">
        <v>1</v>
      </c>
      <c r="H218" s="17" t="inlineStr">
        <is>
          <t>Sim</t>
        </is>
      </c>
      <c r="I218" s="23" t="n">
        <v>123686.85</v>
      </c>
      <c r="J218" s="24">
        <f>(D218*Premissas!$B$24+(2*ROUNDUP(D218/2,0))*Premissas!$B$26+INT((2*ROUNDUP(D218/2,0))/4)*Premissas!$B$27+MOD((2*ROUNDUP(D218/2,0)),4)/2*Premissas!$B$28+2*IF(D218&lt;=19,3*D218,IF(D218&lt;=50,ROUNDUP(2.5*D218,0),2*D218))*Premissas!$B$29+IF(C218="Micro",G218*(Premissas!$B$31+Premissas!$B$32+4*Premissas!$B$30),G218*(INDEX(Premissas!$B$40:$B$71,MATCH(F218,Premissas!$A$40:$A$71,0))+INDEX(Premissas!$C$40:$C$71,MATCH(F218,Premissas!$A$40:$A$71,0))*Premissas!$B$30)))</f>
        <v/>
      </c>
      <c r="K218" s="24">
        <f>IF(J218&lt;Premissas!$B$36,MAX(Premissas!$B$33,J218*Premissas!$B$34),J218*Premissas!$B$35)</f>
        <v/>
      </c>
      <c r="L218" s="24">
        <f>ROUND(J218+K218,2)</f>
        <v/>
      </c>
      <c r="M218" s="24">
        <f>D218*Premissas!$B$8+Premissas!$B$9+Premissas!$B$10+Premissas!$B$11+Premissas!$B$12+ROUND(Premissas!$B$13*E218,2)</f>
        <v/>
      </c>
      <c r="N218" s="25">
        <f>ROUNDUP((L218+M218-Premissas!$B$5*L218)/(1-Premissas!$B$6-Premissas!$B$7-Premissas!$B$5-Premissas!$B$14),2)</f>
        <v/>
      </c>
      <c r="O218" s="24">
        <f>ROUND(IF(N218&lt;=30000,N218*(1+Premissas!$B$21),N218+Premissas!$B$21*30000*SQRT(N218/30000)),2)</f>
        <v/>
      </c>
      <c r="P218" s="24">
        <f>N218-I218</f>
        <v/>
      </c>
      <c r="Q218" s="26">
        <f>P218/I218</f>
        <v/>
      </c>
      <c r="R218" s="26">
        <f>(I218-L218-Premissas!$B$5*(I218-L218)-(Premissas!$B$6+Premissas!$B$7)*I218-M218)/I218</f>
        <v/>
      </c>
      <c r="S218" s="24">
        <f>ROUND((CEILING((L218*Premissas!$B$17/Premissas!$B$18-97)/100,1)*100+97)*Premissas!$B$18,2)</f>
        <v/>
      </c>
    </row>
    <row r="219">
      <c r="A219" s="17" t="inlineStr">
        <is>
          <t>KIT 84 MOD. 620W + INV. GROWATT 50KW</t>
        </is>
      </c>
      <c r="B219" s="17" t="inlineStr">
        <is>
          <t>GROWATT</t>
        </is>
      </c>
      <c r="C219" s="17" t="inlineStr">
        <is>
          <t>Inversor</t>
        </is>
      </c>
      <c r="D219" s="21" t="n">
        <v>84</v>
      </c>
      <c r="E219" s="30" t="n">
        <v>52.08</v>
      </c>
      <c r="F219" s="20" t="inlineStr">
        <is>
          <t>GROWATT MAX 50K TL3-XL2 LV-TRI 220V</t>
        </is>
      </c>
      <c r="G219" s="21" t="n">
        <v>1</v>
      </c>
      <c r="H219" s="17" t="inlineStr">
        <is>
          <t>Sim</t>
        </is>
      </c>
      <c r="I219" s="23" t="n">
        <v>124736.85</v>
      </c>
      <c r="J219" s="24">
        <f>(D219*Premissas!$B$24+(2*ROUNDUP(D219/2,0))*Premissas!$B$26+INT((2*ROUNDUP(D219/2,0))/4)*Premissas!$B$27+MOD((2*ROUNDUP(D219/2,0)),4)/2*Premissas!$B$28+2*IF(D219&lt;=19,3*D219,IF(D219&lt;=50,ROUNDUP(2.5*D219,0),2*D219))*Premissas!$B$29+IF(C219="Micro",G219*(Premissas!$B$31+Premissas!$B$32+4*Premissas!$B$30),G219*(INDEX(Premissas!$B$40:$B$71,MATCH(F219,Premissas!$A$40:$A$71,0))+INDEX(Premissas!$C$40:$C$71,MATCH(F219,Premissas!$A$40:$A$71,0))*Premissas!$B$30)))</f>
        <v/>
      </c>
      <c r="K219" s="24">
        <f>IF(J219&lt;Premissas!$B$36,MAX(Premissas!$B$33,J219*Premissas!$B$34),J219*Premissas!$B$35)</f>
        <v/>
      </c>
      <c r="L219" s="24">
        <f>ROUND(J219+K219,2)</f>
        <v/>
      </c>
      <c r="M219" s="24">
        <f>D219*Premissas!$B$8+Premissas!$B$9+Premissas!$B$10+Premissas!$B$11+Premissas!$B$12+ROUND(Premissas!$B$13*E219,2)</f>
        <v/>
      </c>
      <c r="N219" s="25">
        <f>ROUNDUP((L219+M219-Premissas!$B$5*L219)/(1-Premissas!$B$6-Premissas!$B$7-Premissas!$B$5-Premissas!$B$14),2)</f>
        <v/>
      </c>
      <c r="O219" s="24">
        <f>ROUND(IF(N219&lt;=30000,N219*(1+Premissas!$B$21),N219+Premissas!$B$21*30000*SQRT(N219/30000)),2)</f>
        <v/>
      </c>
      <c r="P219" s="24">
        <f>N219-I219</f>
        <v/>
      </c>
      <c r="Q219" s="26">
        <f>P219/I219</f>
        <v/>
      </c>
      <c r="R219" s="26">
        <f>(I219-L219-Premissas!$B$5*(I219-L219)-(Premissas!$B$6+Premissas!$B$7)*I219-M219)/I219</f>
        <v/>
      </c>
      <c r="S219" s="24">
        <f>ROUND((CEILING((L219*Premissas!$B$17/Premissas!$B$18-97)/100,1)*100+97)*Premissas!$B$18,2)</f>
        <v/>
      </c>
    </row>
    <row r="220">
      <c r="A220" s="17" t="inlineStr">
        <is>
          <t>KIT 85 MOD. 620W + INV. GROWATT 50KW</t>
        </is>
      </c>
      <c r="B220" s="17" t="inlineStr">
        <is>
          <t>GROWATT</t>
        </is>
      </c>
      <c r="C220" s="17" t="inlineStr">
        <is>
          <t>Inversor</t>
        </is>
      </c>
      <c r="D220" s="21" t="n">
        <v>85</v>
      </c>
      <c r="E220" s="30" t="n">
        <v>52.7</v>
      </c>
      <c r="F220" s="20" t="inlineStr">
        <is>
          <t>GROWATT MAX 50K TL3-XL2 LV-TRI 220V</t>
        </is>
      </c>
      <c r="G220" s="21" t="n">
        <v>1</v>
      </c>
      <c r="H220" s="17" t="inlineStr">
        <is>
          <t>Sim</t>
        </is>
      </c>
      <c r="I220" s="23" t="n">
        <v>126101.85</v>
      </c>
      <c r="J220" s="24">
        <f>(D220*Premissas!$B$24+(2*ROUNDUP(D220/2,0))*Premissas!$B$26+INT((2*ROUNDUP(D220/2,0))/4)*Premissas!$B$27+MOD((2*ROUNDUP(D220/2,0)),4)/2*Premissas!$B$28+2*IF(D220&lt;=19,3*D220,IF(D220&lt;=50,ROUNDUP(2.5*D220,0),2*D220))*Premissas!$B$29+IF(C220="Micro",G220*(Premissas!$B$31+Premissas!$B$32+4*Premissas!$B$30),G220*(INDEX(Premissas!$B$40:$B$71,MATCH(F220,Premissas!$A$40:$A$71,0))+INDEX(Premissas!$C$40:$C$71,MATCH(F220,Premissas!$A$40:$A$71,0))*Premissas!$B$30)))</f>
        <v/>
      </c>
      <c r="K220" s="24">
        <f>IF(J220&lt;Premissas!$B$36,MAX(Premissas!$B$33,J220*Premissas!$B$34),J220*Premissas!$B$35)</f>
        <v/>
      </c>
      <c r="L220" s="24">
        <f>ROUND(J220+K220,2)</f>
        <v/>
      </c>
      <c r="M220" s="24">
        <f>D220*Premissas!$B$8+Premissas!$B$9+Premissas!$B$10+Premissas!$B$11+Premissas!$B$12+ROUND(Premissas!$B$13*E220,2)</f>
        <v/>
      </c>
      <c r="N220" s="25">
        <f>ROUNDUP((L220+M220-Premissas!$B$5*L220)/(1-Premissas!$B$6-Premissas!$B$7-Premissas!$B$5-Premissas!$B$14),2)</f>
        <v/>
      </c>
      <c r="O220" s="24">
        <f>ROUND(IF(N220&lt;=30000,N220*(1+Premissas!$B$21),N220+Premissas!$B$21*30000*SQRT(N220/30000)),2)</f>
        <v/>
      </c>
      <c r="P220" s="24">
        <f>N220-I220</f>
        <v/>
      </c>
      <c r="Q220" s="26">
        <f>P220/I220</f>
        <v/>
      </c>
      <c r="R220" s="26">
        <f>(I220-L220-Premissas!$B$5*(I220-L220)-(Premissas!$B$6+Premissas!$B$7)*I220-M220)/I220</f>
        <v/>
      </c>
      <c r="S220" s="24">
        <f>ROUND((CEILING((L220*Premissas!$B$17/Premissas!$B$18-97)/100,1)*100+97)*Premissas!$B$18,2)</f>
        <v/>
      </c>
    </row>
    <row r="221">
      <c r="A221" s="17" t="inlineStr">
        <is>
          <t>KIT 86 MOD. 620W + INV. GROWATT 50KW</t>
        </is>
      </c>
      <c r="B221" s="17" t="inlineStr">
        <is>
          <t>GROWATT</t>
        </is>
      </c>
      <c r="C221" s="17" t="inlineStr">
        <is>
          <t>Inversor</t>
        </is>
      </c>
      <c r="D221" s="21" t="n">
        <v>86</v>
      </c>
      <c r="E221" s="30" t="n">
        <v>53.32</v>
      </c>
      <c r="F221" s="20" t="inlineStr">
        <is>
          <t>GROWATT MAX 50K TL3-XL2 LV-TRI 220V</t>
        </is>
      </c>
      <c r="G221" s="21" t="n">
        <v>1</v>
      </c>
      <c r="H221" s="17" t="inlineStr">
        <is>
          <t>Sim</t>
        </is>
      </c>
      <c r="I221" s="23" t="n">
        <v>127046.85</v>
      </c>
      <c r="J221" s="24">
        <f>(D221*Premissas!$B$24+(2*ROUNDUP(D221/2,0))*Premissas!$B$26+INT((2*ROUNDUP(D221/2,0))/4)*Premissas!$B$27+MOD((2*ROUNDUP(D221/2,0)),4)/2*Premissas!$B$28+2*IF(D221&lt;=19,3*D221,IF(D221&lt;=50,ROUNDUP(2.5*D221,0),2*D221))*Premissas!$B$29+IF(C221="Micro",G221*(Premissas!$B$31+Premissas!$B$32+4*Premissas!$B$30),G221*(INDEX(Premissas!$B$40:$B$71,MATCH(F221,Premissas!$A$40:$A$71,0))+INDEX(Premissas!$C$40:$C$71,MATCH(F221,Premissas!$A$40:$A$71,0))*Premissas!$B$30)))</f>
        <v/>
      </c>
      <c r="K221" s="24">
        <f>IF(J221&lt;Premissas!$B$36,MAX(Premissas!$B$33,J221*Premissas!$B$34),J221*Premissas!$B$35)</f>
        <v/>
      </c>
      <c r="L221" s="24">
        <f>ROUND(J221+K221,2)</f>
        <v/>
      </c>
      <c r="M221" s="24">
        <f>D221*Premissas!$B$8+Premissas!$B$9+Premissas!$B$10+Premissas!$B$11+Premissas!$B$12+ROUND(Premissas!$B$13*E221,2)</f>
        <v/>
      </c>
      <c r="N221" s="25">
        <f>ROUNDUP((L221+M221-Premissas!$B$5*L221)/(1-Premissas!$B$6-Premissas!$B$7-Premissas!$B$5-Premissas!$B$14),2)</f>
        <v/>
      </c>
      <c r="O221" s="24">
        <f>ROUND(IF(N221&lt;=30000,N221*(1+Premissas!$B$21),N221+Premissas!$B$21*30000*SQRT(N221/30000)),2)</f>
        <v/>
      </c>
      <c r="P221" s="24">
        <f>N221-I221</f>
        <v/>
      </c>
      <c r="Q221" s="26">
        <f>P221/I221</f>
        <v/>
      </c>
      <c r="R221" s="26">
        <f>(I221-L221-Premissas!$B$5*(I221-L221)-(Premissas!$B$6+Premissas!$B$7)*I221-M221)/I221</f>
        <v/>
      </c>
      <c r="S221" s="24">
        <f>ROUND((CEILING((L221*Premissas!$B$17/Premissas!$B$18-97)/100,1)*100+97)*Premissas!$B$18,2)</f>
        <v/>
      </c>
    </row>
    <row r="222">
      <c r="A222" s="17" t="inlineStr">
        <is>
          <t>KIT 87 MOD. 620W + INV. GROWATT 50KW</t>
        </is>
      </c>
      <c r="B222" s="17" t="inlineStr">
        <is>
          <t>GROWATT</t>
        </is>
      </c>
      <c r="C222" s="17" t="inlineStr">
        <is>
          <t>Inversor</t>
        </is>
      </c>
      <c r="D222" s="21" t="n">
        <v>87</v>
      </c>
      <c r="E222" s="30" t="n">
        <v>53.94</v>
      </c>
      <c r="F222" s="20" t="inlineStr">
        <is>
          <t>GROWATT MAX 50K TL3-XL2 LV-TRI 220V</t>
        </is>
      </c>
      <c r="G222" s="21" t="n">
        <v>1</v>
      </c>
      <c r="H222" s="17" t="inlineStr">
        <is>
          <t>Sim</t>
        </is>
      </c>
      <c r="I222" s="23" t="n">
        <v>128411.85</v>
      </c>
      <c r="J222" s="24">
        <f>(D222*Premissas!$B$24+(2*ROUNDUP(D222/2,0))*Premissas!$B$26+INT((2*ROUNDUP(D222/2,0))/4)*Premissas!$B$27+MOD((2*ROUNDUP(D222/2,0)),4)/2*Premissas!$B$28+2*IF(D222&lt;=19,3*D222,IF(D222&lt;=50,ROUNDUP(2.5*D222,0),2*D222))*Premissas!$B$29+IF(C222="Micro",G222*(Premissas!$B$31+Premissas!$B$32+4*Premissas!$B$30),G222*(INDEX(Premissas!$B$40:$B$71,MATCH(F222,Premissas!$A$40:$A$71,0))+INDEX(Premissas!$C$40:$C$71,MATCH(F222,Premissas!$A$40:$A$71,0))*Premissas!$B$30)))</f>
        <v/>
      </c>
      <c r="K222" s="24">
        <f>IF(J222&lt;Premissas!$B$36,MAX(Premissas!$B$33,J222*Premissas!$B$34),J222*Premissas!$B$35)</f>
        <v/>
      </c>
      <c r="L222" s="24">
        <f>ROUND(J222+K222,2)</f>
        <v/>
      </c>
      <c r="M222" s="24">
        <f>D222*Premissas!$B$8+Premissas!$B$9+Premissas!$B$10+Premissas!$B$11+Premissas!$B$12+ROUND(Premissas!$B$13*E222,2)</f>
        <v/>
      </c>
      <c r="N222" s="25">
        <f>ROUNDUP((L222+M222-Premissas!$B$5*L222)/(1-Premissas!$B$6-Premissas!$B$7-Premissas!$B$5-Premissas!$B$14),2)</f>
        <v/>
      </c>
      <c r="O222" s="24">
        <f>ROUND(IF(N222&lt;=30000,N222*(1+Premissas!$B$21),N222+Premissas!$B$21*30000*SQRT(N222/30000)),2)</f>
        <v/>
      </c>
      <c r="P222" s="24">
        <f>N222-I222</f>
        <v/>
      </c>
      <c r="Q222" s="26">
        <f>P222/I222</f>
        <v/>
      </c>
      <c r="R222" s="26">
        <f>(I222-L222-Premissas!$B$5*(I222-L222)-(Premissas!$B$6+Premissas!$B$7)*I222-M222)/I222</f>
        <v/>
      </c>
      <c r="S222" s="24">
        <f>ROUND((CEILING((L222*Premissas!$B$17/Premissas!$B$18-97)/100,1)*100+97)*Premissas!$B$18,2)</f>
        <v/>
      </c>
    </row>
    <row r="223">
      <c r="A223" s="17" t="inlineStr">
        <is>
          <t>KIT 88 MOD. 620W + INV. GROWATT 50KW</t>
        </is>
      </c>
      <c r="B223" s="17" t="inlineStr">
        <is>
          <t>GROWATT</t>
        </is>
      </c>
      <c r="C223" s="17" t="inlineStr">
        <is>
          <t>Inversor</t>
        </is>
      </c>
      <c r="D223" s="21" t="n">
        <v>88</v>
      </c>
      <c r="E223" s="30" t="n">
        <v>54.56</v>
      </c>
      <c r="F223" s="20" t="inlineStr">
        <is>
          <t>GROWATT MAX 50K TL3-XL2 LV-TRI 220V</t>
        </is>
      </c>
      <c r="G223" s="21" t="n">
        <v>1</v>
      </c>
      <c r="H223" s="17" t="inlineStr">
        <is>
          <t>Sim</t>
        </is>
      </c>
      <c r="I223" s="23" t="n">
        <v>129461.85</v>
      </c>
      <c r="J223" s="24">
        <f>(D223*Premissas!$B$24+(2*ROUNDUP(D223/2,0))*Premissas!$B$26+INT((2*ROUNDUP(D223/2,0))/4)*Premissas!$B$27+MOD((2*ROUNDUP(D223/2,0)),4)/2*Premissas!$B$28+2*IF(D223&lt;=19,3*D223,IF(D223&lt;=50,ROUNDUP(2.5*D223,0),2*D223))*Premissas!$B$29+IF(C223="Micro",G223*(Premissas!$B$31+Premissas!$B$32+4*Premissas!$B$30),G223*(INDEX(Premissas!$B$40:$B$71,MATCH(F223,Premissas!$A$40:$A$71,0))+INDEX(Premissas!$C$40:$C$71,MATCH(F223,Premissas!$A$40:$A$71,0))*Premissas!$B$30)))</f>
        <v/>
      </c>
      <c r="K223" s="24">
        <f>IF(J223&lt;Premissas!$B$36,MAX(Premissas!$B$33,J223*Premissas!$B$34),J223*Premissas!$B$35)</f>
        <v/>
      </c>
      <c r="L223" s="24">
        <f>ROUND(J223+K223,2)</f>
        <v/>
      </c>
      <c r="M223" s="24">
        <f>D223*Premissas!$B$8+Premissas!$B$9+Premissas!$B$10+Premissas!$B$11+Premissas!$B$12+ROUND(Premissas!$B$13*E223,2)</f>
        <v/>
      </c>
      <c r="N223" s="25">
        <f>ROUNDUP((L223+M223-Premissas!$B$5*L223)/(1-Premissas!$B$6-Premissas!$B$7-Premissas!$B$5-Premissas!$B$14),2)</f>
        <v/>
      </c>
      <c r="O223" s="24">
        <f>ROUND(IF(N223&lt;=30000,N223*(1+Premissas!$B$21),N223+Premissas!$B$21*30000*SQRT(N223/30000)),2)</f>
        <v/>
      </c>
      <c r="P223" s="24">
        <f>N223-I223</f>
        <v/>
      </c>
      <c r="Q223" s="26">
        <f>P223/I223</f>
        <v/>
      </c>
      <c r="R223" s="26">
        <f>(I223-L223-Premissas!$B$5*(I223-L223)-(Premissas!$B$6+Premissas!$B$7)*I223-M223)/I223</f>
        <v/>
      </c>
      <c r="S223" s="24">
        <f>ROUND((CEILING((L223*Premissas!$B$17/Premissas!$B$18-97)/100,1)*100+97)*Premissas!$B$18,2)</f>
        <v/>
      </c>
    </row>
    <row r="224">
      <c r="A224" s="17" t="inlineStr">
        <is>
          <t>KIT 89 MOD. 620W + INV. GROWATT 50KW</t>
        </is>
      </c>
      <c r="B224" s="17" t="inlineStr">
        <is>
          <t>GROWATT</t>
        </is>
      </c>
      <c r="C224" s="17" t="inlineStr">
        <is>
          <t>Inversor</t>
        </is>
      </c>
      <c r="D224" s="21" t="n">
        <v>89</v>
      </c>
      <c r="E224" s="30" t="n">
        <v>55.18</v>
      </c>
      <c r="F224" s="20" t="inlineStr">
        <is>
          <t>GROWATT MAX 50K TL3-XL2 LV-TRI 220V</t>
        </is>
      </c>
      <c r="G224" s="21" t="n">
        <v>1</v>
      </c>
      <c r="H224" s="17" t="inlineStr">
        <is>
          <t>Sim</t>
        </is>
      </c>
      <c r="I224" s="23" t="n">
        <v>130721.85</v>
      </c>
      <c r="J224" s="24">
        <f>(D224*Premissas!$B$24+(2*ROUNDUP(D224/2,0))*Premissas!$B$26+INT((2*ROUNDUP(D224/2,0))/4)*Premissas!$B$27+MOD((2*ROUNDUP(D224/2,0)),4)/2*Premissas!$B$28+2*IF(D224&lt;=19,3*D224,IF(D224&lt;=50,ROUNDUP(2.5*D224,0),2*D224))*Premissas!$B$29+IF(C224="Micro",G224*(Premissas!$B$31+Premissas!$B$32+4*Premissas!$B$30),G224*(INDEX(Premissas!$B$40:$B$71,MATCH(F224,Premissas!$A$40:$A$71,0))+INDEX(Premissas!$C$40:$C$71,MATCH(F224,Premissas!$A$40:$A$71,0))*Premissas!$B$30)))</f>
        <v/>
      </c>
      <c r="K224" s="24">
        <f>IF(J224&lt;Premissas!$B$36,MAX(Premissas!$B$33,J224*Premissas!$B$34),J224*Premissas!$B$35)</f>
        <v/>
      </c>
      <c r="L224" s="24">
        <f>ROUND(J224+K224,2)</f>
        <v/>
      </c>
      <c r="M224" s="24">
        <f>D224*Premissas!$B$8+Premissas!$B$9+Premissas!$B$10+Premissas!$B$11+Premissas!$B$12+ROUND(Premissas!$B$13*E224,2)</f>
        <v/>
      </c>
      <c r="N224" s="25">
        <f>ROUNDUP((L224+M224-Premissas!$B$5*L224)/(1-Premissas!$B$6-Premissas!$B$7-Premissas!$B$5-Premissas!$B$14),2)</f>
        <v/>
      </c>
      <c r="O224" s="24">
        <f>ROUND(IF(N224&lt;=30000,N224*(1+Premissas!$B$21),N224+Premissas!$B$21*30000*SQRT(N224/30000)),2)</f>
        <v/>
      </c>
      <c r="P224" s="24">
        <f>N224-I224</f>
        <v/>
      </c>
      <c r="Q224" s="26">
        <f>P224/I224</f>
        <v/>
      </c>
      <c r="R224" s="26">
        <f>(I224-L224-Premissas!$B$5*(I224-L224)-(Premissas!$B$6+Premissas!$B$7)*I224-M224)/I224</f>
        <v/>
      </c>
      <c r="S224" s="24">
        <f>ROUND((CEILING((L224*Premissas!$B$17/Premissas!$B$18-97)/100,1)*100+97)*Premissas!$B$18,2)</f>
        <v/>
      </c>
    </row>
    <row r="225">
      <c r="A225" s="17" t="inlineStr">
        <is>
          <t>KIT 90 MOD. 620W + INV. GROWATT 50KW</t>
        </is>
      </c>
      <c r="B225" s="17" t="inlineStr">
        <is>
          <t>GROWATT</t>
        </is>
      </c>
      <c r="C225" s="17" t="inlineStr">
        <is>
          <t>Inversor</t>
        </is>
      </c>
      <c r="D225" s="21" t="n">
        <v>90</v>
      </c>
      <c r="E225" s="30" t="n">
        <v>55.8</v>
      </c>
      <c r="F225" s="20" t="inlineStr">
        <is>
          <t>GROWATT MAX 50K TL3-XL2 LV-TRI 220V</t>
        </is>
      </c>
      <c r="G225" s="21" t="n">
        <v>1</v>
      </c>
      <c r="H225" s="17" t="inlineStr">
        <is>
          <t>Sim</t>
        </is>
      </c>
      <c r="I225" s="23" t="n">
        <v>131771.85</v>
      </c>
      <c r="J225" s="24">
        <f>(D225*Premissas!$B$24+(2*ROUNDUP(D225/2,0))*Premissas!$B$26+INT((2*ROUNDUP(D225/2,0))/4)*Premissas!$B$27+MOD((2*ROUNDUP(D225/2,0)),4)/2*Premissas!$B$28+2*IF(D225&lt;=19,3*D225,IF(D225&lt;=50,ROUNDUP(2.5*D225,0),2*D225))*Premissas!$B$29+IF(C225="Micro",G225*(Premissas!$B$31+Premissas!$B$32+4*Premissas!$B$30),G225*(INDEX(Premissas!$B$40:$B$71,MATCH(F225,Premissas!$A$40:$A$71,0))+INDEX(Premissas!$C$40:$C$71,MATCH(F225,Premissas!$A$40:$A$71,0))*Premissas!$B$30)))</f>
        <v/>
      </c>
      <c r="K225" s="24">
        <f>IF(J225&lt;Premissas!$B$36,MAX(Premissas!$B$33,J225*Premissas!$B$34),J225*Premissas!$B$35)</f>
        <v/>
      </c>
      <c r="L225" s="24">
        <f>ROUND(J225+K225,2)</f>
        <v/>
      </c>
      <c r="M225" s="24">
        <f>D225*Premissas!$B$8+Premissas!$B$9+Premissas!$B$10+Premissas!$B$11+Premissas!$B$12+ROUND(Premissas!$B$13*E225,2)</f>
        <v/>
      </c>
      <c r="N225" s="25">
        <f>ROUNDUP((L225+M225-Premissas!$B$5*L225)/(1-Premissas!$B$6-Premissas!$B$7-Premissas!$B$5-Premissas!$B$14),2)</f>
        <v/>
      </c>
      <c r="O225" s="24">
        <f>ROUND(IF(N225&lt;=30000,N225*(1+Premissas!$B$21),N225+Premissas!$B$21*30000*SQRT(N225/30000)),2)</f>
        <v/>
      </c>
      <c r="P225" s="24">
        <f>N225-I225</f>
        <v/>
      </c>
      <c r="Q225" s="26">
        <f>P225/I225</f>
        <v/>
      </c>
      <c r="R225" s="26">
        <f>(I225-L225-Premissas!$B$5*(I225-L225)-(Premissas!$B$6+Premissas!$B$7)*I225-M225)/I225</f>
        <v/>
      </c>
      <c r="S225" s="24">
        <f>ROUND((CEILING((L225*Premissas!$B$17/Premissas!$B$18-97)/100,1)*100+97)*Premissas!$B$18,2)</f>
        <v/>
      </c>
    </row>
    <row r="226">
      <c r="A226" s="17" t="inlineStr">
        <is>
          <t>KIT 91 MOD. 620W + INV. GROWATT 50KW</t>
        </is>
      </c>
      <c r="B226" s="17" t="inlineStr">
        <is>
          <t>GROWATT</t>
        </is>
      </c>
      <c r="C226" s="17" t="inlineStr">
        <is>
          <t>Inversor</t>
        </is>
      </c>
      <c r="D226" s="21" t="n">
        <v>91</v>
      </c>
      <c r="E226" s="30" t="n">
        <v>56.42</v>
      </c>
      <c r="F226" s="20" t="inlineStr">
        <is>
          <t>GROWATT MAX 50K TL3-XL2 LV-TRI 220V</t>
        </is>
      </c>
      <c r="G226" s="21" t="n">
        <v>1</v>
      </c>
      <c r="H226" s="17" t="inlineStr">
        <is>
          <t>Sim</t>
        </is>
      </c>
      <c r="I226" s="23" t="n">
        <v>133136.85</v>
      </c>
      <c r="J226" s="24">
        <f>(D226*Premissas!$B$24+(2*ROUNDUP(D226/2,0))*Premissas!$B$26+INT((2*ROUNDUP(D226/2,0))/4)*Premissas!$B$27+MOD((2*ROUNDUP(D226/2,0)),4)/2*Premissas!$B$28+2*IF(D226&lt;=19,3*D226,IF(D226&lt;=50,ROUNDUP(2.5*D226,0),2*D226))*Premissas!$B$29+IF(C226="Micro",G226*(Premissas!$B$31+Premissas!$B$32+4*Premissas!$B$30),G226*(INDEX(Premissas!$B$40:$B$71,MATCH(F226,Premissas!$A$40:$A$71,0))+INDEX(Premissas!$C$40:$C$71,MATCH(F226,Premissas!$A$40:$A$71,0))*Premissas!$B$30)))</f>
        <v/>
      </c>
      <c r="K226" s="24">
        <f>IF(J226&lt;Premissas!$B$36,MAX(Premissas!$B$33,J226*Premissas!$B$34),J226*Premissas!$B$35)</f>
        <v/>
      </c>
      <c r="L226" s="24">
        <f>ROUND(J226+K226,2)</f>
        <v/>
      </c>
      <c r="M226" s="24">
        <f>D226*Premissas!$B$8+Premissas!$B$9+Premissas!$B$10+Premissas!$B$11+Premissas!$B$12+ROUND(Premissas!$B$13*E226,2)</f>
        <v/>
      </c>
      <c r="N226" s="25">
        <f>ROUNDUP((L226+M226-Premissas!$B$5*L226)/(1-Premissas!$B$6-Premissas!$B$7-Premissas!$B$5-Premissas!$B$14),2)</f>
        <v/>
      </c>
      <c r="O226" s="24">
        <f>ROUND(IF(N226&lt;=30000,N226*(1+Premissas!$B$21),N226+Premissas!$B$21*30000*SQRT(N226/30000)),2)</f>
        <v/>
      </c>
      <c r="P226" s="24">
        <f>N226-I226</f>
        <v/>
      </c>
      <c r="Q226" s="26">
        <f>P226/I226</f>
        <v/>
      </c>
      <c r="R226" s="26">
        <f>(I226-L226-Premissas!$B$5*(I226-L226)-(Premissas!$B$6+Premissas!$B$7)*I226-M226)/I226</f>
        <v/>
      </c>
      <c r="S226" s="24">
        <f>ROUND((CEILING((L226*Premissas!$B$17/Premissas!$B$18-97)/100,1)*100+97)*Premissas!$B$18,2)</f>
        <v/>
      </c>
    </row>
    <row r="227">
      <c r="A227" s="17" t="inlineStr">
        <is>
          <t>KIT 92 MOD. 620W + INV. GROWATT 50KW</t>
        </is>
      </c>
      <c r="B227" s="17" t="inlineStr">
        <is>
          <t>GROWATT</t>
        </is>
      </c>
      <c r="C227" s="17" t="inlineStr">
        <is>
          <t>Inversor</t>
        </is>
      </c>
      <c r="D227" s="21" t="n">
        <v>92</v>
      </c>
      <c r="E227" s="30" t="n">
        <v>57.04</v>
      </c>
      <c r="F227" s="20" t="inlineStr">
        <is>
          <t>GROWATT MAX 50K TL3-XL2 LV-TRI 220V</t>
        </is>
      </c>
      <c r="G227" s="21" t="n">
        <v>1</v>
      </c>
      <c r="H227" s="17" t="inlineStr">
        <is>
          <t>Sim</t>
        </is>
      </c>
      <c r="I227" s="23" t="n">
        <v>134186.85</v>
      </c>
      <c r="J227" s="24">
        <f>(D227*Premissas!$B$24+(2*ROUNDUP(D227/2,0))*Premissas!$B$26+INT((2*ROUNDUP(D227/2,0))/4)*Premissas!$B$27+MOD((2*ROUNDUP(D227/2,0)),4)/2*Premissas!$B$28+2*IF(D227&lt;=19,3*D227,IF(D227&lt;=50,ROUNDUP(2.5*D227,0),2*D227))*Premissas!$B$29+IF(C227="Micro",G227*(Premissas!$B$31+Premissas!$B$32+4*Premissas!$B$30),G227*(INDEX(Premissas!$B$40:$B$71,MATCH(F227,Premissas!$A$40:$A$71,0))+INDEX(Premissas!$C$40:$C$71,MATCH(F227,Premissas!$A$40:$A$71,0))*Premissas!$B$30)))</f>
        <v/>
      </c>
      <c r="K227" s="24">
        <f>IF(J227&lt;Premissas!$B$36,MAX(Premissas!$B$33,J227*Premissas!$B$34),J227*Premissas!$B$35)</f>
        <v/>
      </c>
      <c r="L227" s="24">
        <f>ROUND(J227+K227,2)</f>
        <v/>
      </c>
      <c r="M227" s="24">
        <f>D227*Premissas!$B$8+Premissas!$B$9+Premissas!$B$10+Premissas!$B$11+Premissas!$B$12+ROUND(Premissas!$B$13*E227,2)</f>
        <v/>
      </c>
      <c r="N227" s="25">
        <f>ROUNDUP((L227+M227-Premissas!$B$5*L227)/(1-Premissas!$B$6-Premissas!$B$7-Premissas!$B$5-Premissas!$B$14),2)</f>
        <v/>
      </c>
      <c r="O227" s="24">
        <f>ROUND(IF(N227&lt;=30000,N227*(1+Premissas!$B$21),N227+Premissas!$B$21*30000*SQRT(N227/30000)),2)</f>
        <v/>
      </c>
      <c r="P227" s="24">
        <f>N227-I227</f>
        <v/>
      </c>
      <c r="Q227" s="26">
        <f>P227/I227</f>
        <v/>
      </c>
      <c r="R227" s="26">
        <f>(I227-L227-Premissas!$B$5*(I227-L227)-(Premissas!$B$6+Premissas!$B$7)*I227-M227)/I227</f>
        <v/>
      </c>
      <c r="S227" s="24">
        <f>ROUND((CEILING((L227*Premissas!$B$17/Premissas!$B$18-97)/100,1)*100+97)*Premissas!$B$18,2)</f>
        <v/>
      </c>
    </row>
    <row r="228">
      <c r="A228" s="17" t="inlineStr">
        <is>
          <t>KIT 93 MOD. 620W + INV. GROWATT 50KW</t>
        </is>
      </c>
      <c r="B228" s="17" t="inlineStr">
        <is>
          <t>GROWATT</t>
        </is>
      </c>
      <c r="C228" s="17" t="inlineStr">
        <is>
          <t>Inversor</t>
        </is>
      </c>
      <c r="D228" s="21" t="n">
        <v>93</v>
      </c>
      <c r="E228" s="30" t="n">
        <v>57.66</v>
      </c>
      <c r="F228" s="20" t="inlineStr">
        <is>
          <t>GROWATT MAX 50K TL3-XL2 LV-TRI 220V</t>
        </is>
      </c>
      <c r="G228" s="21" t="n">
        <v>1</v>
      </c>
      <c r="H228" s="17" t="inlineStr">
        <is>
          <t>Sim</t>
        </is>
      </c>
      <c r="I228" s="23" t="n">
        <v>135446.85</v>
      </c>
      <c r="J228" s="24">
        <f>(D228*Premissas!$B$24+(2*ROUNDUP(D228/2,0))*Premissas!$B$26+INT((2*ROUNDUP(D228/2,0))/4)*Premissas!$B$27+MOD((2*ROUNDUP(D228/2,0)),4)/2*Premissas!$B$28+2*IF(D228&lt;=19,3*D228,IF(D228&lt;=50,ROUNDUP(2.5*D228,0),2*D228))*Premissas!$B$29+IF(C228="Micro",G228*(Premissas!$B$31+Premissas!$B$32+4*Premissas!$B$30),G228*(INDEX(Premissas!$B$40:$B$71,MATCH(F228,Premissas!$A$40:$A$71,0))+INDEX(Premissas!$C$40:$C$71,MATCH(F228,Premissas!$A$40:$A$71,0))*Premissas!$B$30)))</f>
        <v/>
      </c>
      <c r="K228" s="24">
        <f>IF(J228&lt;Premissas!$B$36,MAX(Premissas!$B$33,J228*Premissas!$B$34),J228*Premissas!$B$35)</f>
        <v/>
      </c>
      <c r="L228" s="24">
        <f>ROUND(J228+K228,2)</f>
        <v/>
      </c>
      <c r="M228" s="24">
        <f>D228*Premissas!$B$8+Premissas!$B$9+Premissas!$B$10+Premissas!$B$11+Premissas!$B$12+ROUND(Premissas!$B$13*E228,2)</f>
        <v/>
      </c>
      <c r="N228" s="25">
        <f>ROUNDUP((L228+M228-Premissas!$B$5*L228)/(1-Premissas!$B$6-Premissas!$B$7-Premissas!$B$5-Premissas!$B$14),2)</f>
        <v/>
      </c>
      <c r="O228" s="24">
        <f>ROUND(IF(N228&lt;=30000,N228*(1+Premissas!$B$21),N228+Premissas!$B$21*30000*SQRT(N228/30000)),2)</f>
        <v/>
      </c>
      <c r="P228" s="24">
        <f>N228-I228</f>
        <v/>
      </c>
      <c r="Q228" s="26">
        <f>P228/I228</f>
        <v/>
      </c>
      <c r="R228" s="26">
        <f>(I228-L228-Premissas!$B$5*(I228-L228)-(Premissas!$B$6+Premissas!$B$7)*I228-M228)/I228</f>
        <v/>
      </c>
      <c r="S228" s="24">
        <f>ROUND((CEILING((L228*Premissas!$B$17/Premissas!$B$18-97)/100,1)*100+97)*Premissas!$B$18,2)</f>
        <v/>
      </c>
    </row>
    <row r="229">
      <c r="A229" s="17" t="inlineStr">
        <is>
          <t>KIT 94 MOD. 620W + INV. GROWATT 50KW</t>
        </is>
      </c>
      <c r="B229" s="17" t="inlineStr">
        <is>
          <t>GROWATT</t>
        </is>
      </c>
      <c r="C229" s="17" t="inlineStr">
        <is>
          <t>Inversor</t>
        </is>
      </c>
      <c r="D229" s="21" t="n">
        <v>94</v>
      </c>
      <c r="E229" s="30" t="n">
        <v>58.28</v>
      </c>
      <c r="F229" s="20" t="inlineStr">
        <is>
          <t>GROWATT MAX 50K TL3-XL2 LV-TRI 220V</t>
        </is>
      </c>
      <c r="G229" s="21" t="n">
        <v>1</v>
      </c>
      <c r="H229" s="17" t="inlineStr">
        <is>
          <t>Sim</t>
        </is>
      </c>
      <c r="I229" s="23" t="n">
        <v>136496.85</v>
      </c>
      <c r="J229" s="24">
        <f>(D229*Premissas!$B$24+(2*ROUNDUP(D229/2,0))*Premissas!$B$26+INT((2*ROUNDUP(D229/2,0))/4)*Premissas!$B$27+MOD((2*ROUNDUP(D229/2,0)),4)/2*Premissas!$B$28+2*IF(D229&lt;=19,3*D229,IF(D229&lt;=50,ROUNDUP(2.5*D229,0),2*D229))*Premissas!$B$29+IF(C229="Micro",G229*(Premissas!$B$31+Premissas!$B$32+4*Premissas!$B$30),G229*(INDEX(Premissas!$B$40:$B$71,MATCH(F229,Premissas!$A$40:$A$71,0))+INDEX(Premissas!$C$40:$C$71,MATCH(F229,Premissas!$A$40:$A$71,0))*Premissas!$B$30)))</f>
        <v/>
      </c>
      <c r="K229" s="24">
        <f>IF(J229&lt;Premissas!$B$36,MAX(Premissas!$B$33,J229*Premissas!$B$34),J229*Premissas!$B$35)</f>
        <v/>
      </c>
      <c r="L229" s="24">
        <f>ROUND(J229+K229,2)</f>
        <v/>
      </c>
      <c r="M229" s="24">
        <f>D229*Premissas!$B$8+Premissas!$B$9+Premissas!$B$10+Premissas!$B$11+Premissas!$B$12+ROUND(Premissas!$B$13*E229,2)</f>
        <v/>
      </c>
      <c r="N229" s="25">
        <f>ROUNDUP((L229+M229-Premissas!$B$5*L229)/(1-Premissas!$B$6-Premissas!$B$7-Premissas!$B$5-Premissas!$B$14),2)</f>
        <v/>
      </c>
      <c r="O229" s="24">
        <f>ROUND(IF(N229&lt;=30000,N229*(1+Premissas!$B$21),N229+Premissas!$B$21*30000*SQRT(N229/30000)),2)</f>
        <v/>
      </c>
      <c r="P229" s="24">
        <f>N229-I229</f>
        <v/>
      </c>
      <c r="Q229" s="26">
        <f>P229/I229</f>
        <v/>
      </c>
      <c r="R229" s="26">
        <f>(I229-L229-Premissas!$B$5*(I229-L229)-(Premissas!$B$6+Premissas!$B$7)*I229-M229)/I229</f>
        <v/>
      </c>
      <c r="S229" s="24">
        <f>ROUND((CEILING((L229*Premissas!$B$17/Premissas!$B$18-97)/100,1)*100+97)*Premissas!$B$18,2)</f>
        <v/>
      </c>
    </row>
    <row r="230">
      <c r="A230" s="17" t="inlineStr">
        <is>
          <t>KIT 95 MOD. 620W + INV. GROWATT 50KW</t>
        </is>
      </c>
      <c r="B230" s="17" t="inlineStr">
        <is>
          <t>GROWATT</t>
        </is>
      </c>
      <c r="C230" s="17" t="inlineStr">
        <is>
          <t>Inversor</t>
        </is>
      </c>
      <c r="D230" s="21" t="n">
        <v>95</v>
      </c>
      <c r="E230" s="30" t="n">
        <v>58.9</v>
      </c>
      <c r="F230" s="20" t="inlineStr">
        <is>
          <t>GROWATT MAX 50K TL3-XL2 LV-TRI 220V</t>
        </is>
      </c>
      <c r="G230" s="21" t="n">
        <v>1</v>
      </c>
      <c r="H230" s="17" t="inlineStr">
        <is>
          <t>Sim</t>
        </is>
      </c>
      <c r="I230" s="23" t="n">
        <v>137861.85</v>
      </c>
      <c r="J230" s="24">
        <f>(D230*Premissas!$B$24+(2*ROUNDUP(D230/2,0))*Premissas!$B$26+INT((2*ROUNDUP(D230/2,0))/4)*Premissas!$B$27+MOD((2*ROUNDUP(D230/2,0)),4)/2*Premissas!$B$28+2*IF(D230&lt;=19,3*D230,IF(D230&lt;=50,ROUNDUP(2.5*D230,0),2*D230))*Premissas!$B$29+IF(C230="Micro",G230*(Premissas!$B$31+Premissas!$B$32+4*Premissas!$B$30),G230*(INDEX(Premissas!$B$40:$B$71,MATCH(F230,Premissas!$A$40:$A$71,0))+INDEX(Premissas!$C$40:$C$71,MATCH(F230,Premissas!$A$40:$A$71,0))*Premissas!$B$30)))</f>
        <v/>
      </c>
      <c r="K230" s="24">
        <f>IF(J230&lt;Premissas!$B$36,MAX(Premissas!$B$33,J230*Premissas!$B$34),J230*Premissas!$B$35)</f>
        <v/>
      </c>
      <c r="L230" s="24">
        <f>ROUND(J230+K230,2)</f>
        <v/>
      </c>
      <c r="M230" s="24">
        <f>D230*Premissas!$B$8+Premissas!$B$9+Premissas!$B$10+Premissas!$B$11+Premissas!$B$12+ROUND(Premissas!$B$13*E230,2)</f>
        <v/>
      </c>
      <c r="N230" s="25">
        <f>ROUNDUP((L230+M230-Premissas!$B$5*L230)/(1-Premissas!$B$6-Premissas!$B$7-Premissas!$B$5-Premissas!$B$14),2)</f>
        <v/>
      </c>
      <c r="O230" s="24">
        <f>ROUND(IF(N230&lt;=30000,N230*(1+Premissas!$B$21),N230+Premissas!$B$21*30000*SQRT(N230/30000)),2)</f>
        <v/>
      </c>
      <c r="P230" s="24">
        <f>N230-I230</f>
        <v/>
      </c>
      <c r="Q230" s="26">
        <f>P230/I230</f>
        <v/>
      </c>
      <c r="R230" s="26">
        <f>(I230-L230-Premissas!$B$5*(I230-L230)-(Premissas!$B$6+Premissas!$B$7)*I230-M230)/I230</f>
        <v/>
      </c>
      <c r="S230" s="24">
        <f>ROUND((CEILING((L230*Premissas!$B$17/Premissas!$B$18-97)/100,1)*100+97)*Premissas!$B$18,2)</f>
        <v/>
      </c>
    </row>
    <row r="231">
      <c r="A231" s="17" t="inlineStr">
        <is>
          <t>KIT 96 MOD. 620W + INV. GROWATT 50KW</t>
        </is>
      </c>
      <c r="B231" s="17" t="inlineStr">
        <is>
          <t>GROWATT</t>
        </is>
      </c>
      <c r="C231" s="17" t="inlineStr">
        <is>
          <t>Inversor</t>
        </is>
      </c>
      <c r="D231" s="21" t="n">
        <v>96</v>
      </c>
      <c r="E231" s="30" t="n">
        <v>59.52</v>
      </c>
      <c r="F231" s="20" t="inlineStr">
        <is>
          <t>GROWATT MAX 50K TL3-XL2 LV-TRI 220V</t>
        </is>
      </c>
      <c r="G231" s="21" t="n">
        <v>1</v>
      </c>
      <c r="H231" s="17" t="inlineStr">
        <is>
          <t>Sim</t>
        </is>
      </c>
      <c r="I231" s="23" t="n">
        <v>138806.85</v>
      </c>
      <c r="J231" s="24">
        <f>(D231*Premissas!$B$24+(2*ROUNDUP(D231/2,0))*Premissas!$B$26+INT((2*ROUNDUP(D231/2,0))/4)*Premissas!$B$27+MOD((2*ROUNDUP(D231/2,0)),4)/2*Premissas!$B$28+2*IF(D231&lt;=19,3*D231,IF(D231&lt;=50,ROUNDUP(2.5*D231,0),2*D231))*Premissas!$B$29+IF(C231="Micro",G231*(Premissas!$B$31+Premissas!$B$32+4*Premissas!$B$30),G231*(INDEX(Premissas!$B$40:$B$71,MATCH(F231,Premissas!$A$40:$A$71,0))+INDEX(Premissas!$C$40:$C$71,MATCH(F231,Premissas!$A$40:$A$71,0))*Premissas!$B$30)))</f>
        <v/>
      </c>
      <c r="K231" s="24">
        <f>IF(J231&lt;Premissas!$B$36,MAX(Premissas!$B$33,J231*Premissas!$B$34),J231*Premissas!$B$35)</f>
        <v/>
      </c>
      <c r="L231" s="24">
        <f>ROUND(J231+K231,2)</f>
        <v/>
      </c>
      <c r="M231" s="24">
        <f>D231*Premissas!$B$8+Premissas!$B$9+Premissas!$B$10+Premissas!$B$11+Premissas!$B$12+ROUND(Premissas!$B$13*E231,2)</f>
        <v/>
      </c>
      <c r="N231" s="25">
        <f>ROUNDUP((L231+M231-Premissas!$B$5*L231)/(1-Premissas!$B$6-Premissas!$B$7-Premissas!$B$5-Premissas!$B$14),2)</f>
        <v/>
      </c>
      <c r="O231" s="24">
        <f>ROUND(IF(N231&lt;=30000,N231*(1+Premissas!$B$21),N231+Premissas!$B$21*30000*SQRT(N231/30000)),2)</f>
        <v/>
      </c>
      <c r="P231" s="24">
        <f>N231-I231</f>
        <v/>
      </c>
      <c r="Q231" s="26">
        <f>P231/I231</f>
        <v/>
      </c>
      <c r="R231" s="26">
        <f>(I231-L231-Premissas!$B$5*(I231-L231)-(Premissas!$B$6+Premissas!$B$7)*I231-M231)/I231</f>
        <v/>
      </c>
      <c r="S231" s="24">
        <f>ROUND((CEILING((L231*Premissas!$B$17/Premissas!$B$18-97)/100,1)*100+97)*Premissas!$B$18,2)</f>
        <v/>
      </c>
    </row>
    <row r="232">
      <c r="A232" s="17" t="inlineStr">
        <is>
          <t>KIT 97 MOD. 620W + INV. GROWATT 50KW</t>
        </is>
      </c>
      <c r="B232" s="17" t="inlineStr">
        <is>
          <t>GROWATT</t>
        </is>
      </c>
      <c r="C232" s="17" t="inlineStr">
        <is>
          <t>Inversor</t>
        </is>
      </c>
      <c r="D232" s="21" t="n">
        <v>97</v>
      </c>
      <c r="E232" s="30" t="n">
        <v>60.14</v>
      </c>
      <c r="F232" s="20" t="inlineStr">
        <is>
          <t>GROWATT MAX 50K TL3-XL2 LV-TRI 220V</t>
        </is>
      </c>
      <c r="G232" s="21" t="n">
        <v>1</v>
      </c>
      <c r="H232" s="17" t="inlineStr">
        <is>
          <t>Sim</t>
        </is>
      </c>
      <c r="I232" s="23" t="n">
        <v>140171.85</v>
      </c>
      <c r="J232" s="24">
        <f>(D232*Premissas!$B$24+(2*ROUNDUP(D232/2,0))*Premissas!$B$26+INT((2*ROUNDUP(D232/2,0))/4)*Premissas!$B$27+MOD((2*ROUNDUP(D232/2,0)),4)/2*Premissas!$B$28+2*IF(D232&lt;=19,3*D232,IF(D232&lt;=50,ROUNDUP(2.5*D232,0),2*D232))*Premissas!$B$29+IF(C232="Micro",G232*(Premissas!$B$31+Premissas!$B$32+4*Premissas!$B$30),G232*(INDEX(Premissas!$B$40:$B$71,MATCH(F232,Premissas!$A$40:$A$71,0))+INDEX(Premissas!$C$40:$C$71,MATCH(F232,Premissas!$A$40:$A$71,0))*Premissas!$B$30)))</f>
        <v/>
      </c>
      <c r="K232" s="24">
        <f>IF(J232&lt;Premissas!$B$36,MAX(Premissas!$B$33,J232*Premissas!$B$34),J232*Premissas!$B$35)</f>
        <v/>
      </c>
      <c r="L232" s="24">
        <f>ROUND(J232+K232,2)</f>
        <v/>
      </c>
      <c r="M232" s="24">
        <f>D232*Premissas!$B$8+Premissas!$B$9+Premissas!$B$10+Premissas!$B$11+Premissas!$B$12+ROUND(Premissas!$B$13*E232,2)</f>
        <v/>
      </c>
      <c r="N232" s="25">
        <f>ROUNDUP((L232+M232-Premissas!$B$5*L232)/(1-Premissas!$B$6-Premissas!$B$7-Premissas!$B$5-Premissas!$B$14),2)</f>
        <v/>
      </c>
      <c r="O232" s="24">
        <f>ROUND(IF(N232&lt;=30000,N232*(1+Premissas!$B$21),N232+Premissas!$B$21*30000*SQRT(N232/30000)),2)</f>
        <v/>
      </c>
      <c r="P232" s="24">
        <f>N232-I232</f>
        <v/>
      </c>
      <c r="Q232" s="26">
        <f>P232/I232</f>
        <v/>
      </c>
      <c r="R232" s="26">
        <f>(I232-L232-Premissas!$B$5*(I232-L232)-(Premissas!$B$6+Premissas!$B$7)*I232-M232)/I232</f>
        <v/>
      </c>
      <c r="S232" s="24">
        <f>ROUND((CEILING((L232*Premissas!$B$17/Premissas!$B$18-97)/100,1)*100+97)*Premissas!$B$18,2)</f>
        <v/>
      </c>
    </row>
    <row r="233">
      <c r="A233" s="17" t="inlineStr">
        <is>
          <t>KIT 98 MOD. 620W + INV. GROWATT 50KW</t>
        </is>
      </c>
      <c r="B233" s="17" t="inlineStr">
        <is>
          <t>GROWATT</t>
        </is>
      </c>
      <c r="C233" s="17" t="inlineStr">
        <is>
          <t>Inversor</t>
        </is>
      </c>
      <c r="D233" s="21" t="n">
        <v>98</v>
      </c>
      <c r="E233" s="30" t="n">
        <v>60.76</v>
      </c>
      <c r="F233" s="20" t="inlineStr">
        <is>
          <t>GROWATT MAX 50K TL3-XL2 LV-TRI 220V</t>
        </is>
      </c>
      <c r="G233" s="21" t="n">
        <v>1</v>
      </c>
      <c r="H233" s="17" t="inlineStr">
        <is>
          <t>Sim</t>
        </is>
      </c>
      <c r="I233" s="23" t="n">
        <v>141221.85</v>
      </c>
      <c r="J233" s="24">
        <f>(D233*Premissas!$B$24+(2*ROUNDUP(D233/2,0))*Premissas!$B$26+INT((2*ROUNDUP(D233/2,0))/4)*Premissas!$B$27+MOD((2*ROUNDUP(D233/2,0)),4)/2*Premissas!$B$28+2*IF(D233&lt;=19,3*D233,IF(D233&lt;=50,ROUNDUP(2.5*D233,0),2*D233))*Premissas!$B$29+IF(C233="Micro",G233*(Premissas!$B$31+Premissas!$B$32+4*Premissas!$B$30),G233*(INDEX(Premissas!$B$40:$B$71,MATCH(F233,Premissas!$A$40:$A$71,0))+INDEX(Premissas!$C$40:$C$71,MATCH(F233,Premissas!$A$40:$A$71,0))*Premissas!$B$30)))</f>
        <v/>
      </c>
      <c r="K233" s="24">
        <f>IF(J233&lt;Premissas!$B$36,MAX(Premissas!$B$33,J233*Premissas!$B$34),J233*Premissas!$B$35)</f>
        <v/>
      </c>
      <c r="L233" s="24">
        <f>ROUND(J233+K233,2)</f>
        <v/>
      </c>
      <c r="M233" s="24">
        <f>D233*Premissas!$B$8+Premissas!$B$9+Premissas!$B$10+Premissas!$B$11+Premissas!$B$12+ROUND(Premissas!$B$13*E233,2)</f>
        <v/>
      </c>
      <c r="N233" s="25">
        <f>ROUNDUP((L233+M233-Premissas!$B$5*L233)/(1-Premissas!$B$6-Premissas!$B$7-Premissas!$B$5-Premissas!$B$14),2)</f>
        <v/>
      </c>
      <c r="O233" s="24">
        <f>ROUND(IF(N233&lt;=30000,N233*(1+Premissas!$B$21),N233+Premissas!$B$21*30000*SQRT(N233/30000)),2)</f>
        <v/>
      </c>
      <c r="P233" s="24">
        <f>N233-I233</f>
        <v/>
      </c>
      <c r="Q233" s="26">
        <f>P233/I233</f>
        <v/>
      </c>
      <c r="R233" s="26">
        <f>(I233-L233-Premissas!$B$5*(I233-L233)-(Premissas!$B$6+Premissas!$B$7)*I233-M233)/I233</f>
        <v/>
      </c>
      <c r="S233" s="24">
        <f>ROUND((CEILING((L233*Premissas!$B$17/Premissas!$B$18-97)/100,1)*100+97)*Premissas!$B$18,2)</f>
        <v/>
      </c>
    </row>
    <row r="234">
      <c r="A234" s="17" t="inlineStr">
        <is>
          <t>KIT 99 MOD. 620W + INV. GROWATT 50KW</t>
        </is>
      </c>
      <c r="B234" s="17" t="inlineStr">
        <is>
          <t>GROWATT</t>
        </is>
      </c>
      <c r="C234" s="17" t="inlineStr">
        <is>
          <t>Inversor</t>
        </is>
      </c>
      <c r="D234" s="21" t="n">
        <v>99</v>
      </c>
      <c r="E234" s="30" t="n">
        <v>61.38</v>
      </c>
      <c r="F234" s="20" t="inlineStr">
        <is>
          <t>GROWATT MAX 50K TL3-XL2 LV-TRI 220V</t>
        </is>
      </c>
      <c r="G234" s="21" t="n">
        <v>1</v>
      </c>
      <c r="H234" s="17" t="inlineStr">
        <is>
          <t>Sim</t>
        </is>
      </c>
      <c r="I234" s="23" t="n">
        <v>142481.85</v>
      </c>
      <c r="J234" s="24">
        <f>(D234*Premissas!$B$24+(2*ROUNDUP(D234/2,0))*Premissas!$B$26+INT((2*ROUNDUP(D234/2,0))/4)*Premissas!$B$27+MOD((2*ROUNDUP(D234/2,0)),4)/2*Premissas!$B$28+2*IF(D234&lt;=19,3*D234,IF(D234&lt;=50,ROUNDUP(2.5*D234,0),2*D234))*Premissas!$B$29+IF(C234="Micro",G234*(Premissas!$B$31+Premissas!$B$32+4*Premissas!$B$30),G234*(INDEX(Premissas!$B$40:$B$71,MATCH(F234,Premissas!$A$40:$A$71,0))+INDEX(Premissas!$C$40:$C$71,MATCH(F234,Premissas!$A$40:$A$71,0))*Premissas!$B$30)))</f>
        <v/>
      </c>
      <c r="K234" s="24">
        <f>IF(J234&lt;Premissas!$B$36,MAX(Premissas!$B$33,J234*Premissas!$B$34),J234*Premissas!$B$35)</f>
        <v/>
      </c>
      <c r="L234" s="24">
        <f>ROUND(J234+K234,2)</f>
        <v/>
      </c>
      <c r="M234" s="24">
        <f>D234*Premissas!$B$8+Premissas!$B$9+Premissas!$B$10+Premissas!$B$11+Premissas!$B$12+ROUND(Premissas!$B$13*E234,2)</f>
        <v/>
      </c>
      <c r="N234" s="25">
        <f>ROUNDUP((L234+M234-Premissas!$B$5*L234)/(1-Premissas!$B$6-Premissas!$B$7-Premissas!$B$5-Premissas!$B$14),2)</f>
        <v/>
      </c>
      <c r="O234" s="24">
        <f>ROUND(IF(N234&lt;=30000,N234*(1+Premissas!$B$21),N234+Premissas!$B$21*30000*SQRT(N234/30000)),2)</f>
        <v/>
      </c>
      <c r="P234" s="24">
        <f>N234-I234</f>
        <v/>
      </c>
      <c r="Q234" s="26">
        <f>P234/I234</f>
        <v/>
      </c>
      <c r="R234" s="26">
        <f>(I234-L234-Premissas!$B$5*(I234-L234)-(Premissas!$B$6+Premissas!$B$7)*I234-M234)/I234</f>
        <v/>
      </c>
      <c r="S234" s="24">
        <f>ROUND((CEILING((L234*Premissas!$B$17/Premissas!$B$18-97)/100,1)*100+97)*Premissas!$B$18,2)</f>
        <v/>
      </c>
    </row>
    <row r="235">
      <c r="A235" s="17" t="inlineStr">
        <is>
          <t>KIT 100 MOD. 620W + INV. GROWATT 50KW</t>
        </is>
      </c>
      <c r="B235" s="17" t="inlineStr">
        <is>
          <t>GROWATT</t>
        </is>
      </c>
      <c r="C235" s="17" t="inlineStr">
        <is>
          <t>Inversor</t>
        </is>
      </c>
      <c r="D235" s="21" t="n">
        <v>100</v>
      </c>
      <c r="E235" s="30" t="n">
        <v>62</v>
      </c>
      <c r="F235" s="20" t="inlineStr">
        <is>
          <t>GROWATT MAX 50K TL3-XL2 LV-TRI 220V</t>
        </is>
      </c>
      <c r="G235" s="21" t="n">
        <v>1</v>
      </c>
      <c r="H235" s="17" t="inlineStr">
        <is>
          <t>Sim</t>
        </is>
      </c>
      <c r="I235" s="23" t="n">
        <v>143531.85</v>
      </c>
      <c r="J235" s="24">
        <f>(D235*Premissas!$B$24+(2*ROUNDUP(D235/2,0))*Premissas!$B$26+INT((2*ROUNDUP(D235/2,0))/4)*Premissas!$B$27+MOD((2*ROUNDUP(D235/2,0)),4)/2*Premissas!$B$28+2*IF(D235&lt;=19,3*D235,IF(D235&lt;=50,ROUNDUP(2.5*D235,0),2*D235))*Premissas!$B$29+IF(C235="Micro",G235*(Premissas!$B$31+Premissas!$B$32+4*Premissas!$B$30),G235*(INDEX(Premissas!$B$40:$B$71,MATCH(F235,Premissas!$A$40:$A$71,0))+INDEX(Premissas!$C$40:$C$71,MATCH(F235,Premissas!$A$40:$A$71,0))*Premissas!$B$30)))</f>
        <v/>
      </c>
      <c r="K235" s="24">
        <f>IF(J235&lt;Premissas!$B$36,MAX(Premissas!$B$33,J235*Premissas!$B$34),J235*Premissas!$B$35)</f>
        <v/>
      </c>
      <c r="L235" s="24">
        <f>ROUND(J235+K235,2)</f>
        <v/>
      </c>
      <c r="M235" s="24">
        <f>D235*Premissas!$B$8+Premissas!$B$9+Premissas!$B$10+Premissas!$B$11+Premissas!$B$12+ROUND(Premissas!$B$13*E235,2)</f>
        <v/>
      </c>
      <c r="N235" s="25">
        <f>ROUNDUP((L235+M235-Premissas!$B$5*L235)/(1-Premissas!$B$6-Premissas!$B$7-Premissas!$B$5-Premissas!$B$14),2)</f>
        <v/>
      </c>
      <c r="O235" s="24">
        <f>ROUND(IF(N235&lt;=30000,N235*(1+Premissas!$B$21),N235+Premissas!$B$21*30000*SQRT(N235/30000)),2)</f>
        <v/>
      </c>
      <c r="P235" s="24">
        <f>N235-I235</f>
        <v/>
      </c>
      <c r="Q235" s="26">
        <f>P235/I235</f>
        <v/>
      </c>
      <c r="R235" s="26">
        <f>(I235-L235-Premissas!$B$5*(I235-L235)-(Premissas!$B$6+Premissas!$B$7)*I235-M235)/I235</f>
        <v/>
      </c>
      <c r="S235" s="24">
        <f>ROUND((CEILING((L235*Premissas!$B$17/Premissas!$B$18-97)/100,1)*100+97)*Premissas!$B$18,2)</f>
        <v/>
      </c>
    </row>
    <row r="236">
      <c r="A236" s="17" t="inlineStr">
        <is>
          <t>KIT 101 MOD. 620W + INV. GROWATT 50KW</t>
        </is>
      </c>
      <c r="B236" s="17" t="inlineStr">
        <is>
          <t>GROWATT</t>
        </is>
      </c>
      <c r="C236" s="17" t="inlineStr">
        <is>
          <t>Inversor</t>
        </is>
      </c>
      <c r="D236" s="21" t="n">
        <v>101</v>
      </c>
      <c r="E236" s="30" t="n">
        <v>62.62</v>
      </c>
      <c r="F236" s="20" t="inlineStr">
        <is>
          <t>GROWATT MAX 50K TL3-XL2 LV-TRI 220V</t>
        </is>
      </c>
      <c r="G236" s="21" t="n">
        <v>1</v>
      </c>
      <c r="H236" s="17" t="inlineStr">
        <is>
          <t>Sim</t>
        </is>
      </c>
      <c r="I236" s="23" t="n">
        <v>144896.85</v>
      </c>
      <c r="J236" s="24">
        <f>(D236*Premissas!$B$24+(2*ROUNDUP(D236/2,0))*Premissas!$B$26+INT((2*ROUNDUP(D236/2,0))/4)*Premissas!$B$27+MOD((2*ROUNDUP(D236/2,0)),4)/2*Premissas!$B$28+2*IF(D236&lt;=19,3*D236,IF(D236&lt;=50,ROUNDUP(2.5*D236,0),2*D236))*Premissas!$B$29+IF(C236="Micro",G236*(Premissas!$B$31+Premissas!$B$32+4*Premissas!$B$30),G236*(INDEX(Premissas!$B$40:$B$71,MATCH(F236,Premissas!$A$40:$A$71,0))+INDEX(Premissas!$C$40:$C$71,MATCH(F236,Premissas!$A$40:$A$71,0))*Premissas!$B$30)))</f>
        <v/>
      </c>
      <c r="K236" s="24">
        <f>IF(J236&lt;Premissas!$B$36,MAX(Premissas!$B$33,J236*Premissas!$B$34),J236*Premissas!$B$35)</f>
        <v/>
      </c>
      <c r="L236" s="24">
        <f>ROUND(J236+K236,2)</f>
        <v/>
      </c>
      <c r="M236" s="24">
        <f>D236*Premissas!$B$8+Premissas!$B$9+Premissas!$B$10+Premissas!$B$11+Premissas!$B$12+ROUND(Premissas!$B$13*E236,2)</f>
        <v/>
      </c>
      <c r="N236" s="25">
        <f>ROUNDUP((L236+M236-Premissas!$B$5*L236)/(1-Premissas!$B$6-Premissas!$B$7-Premissas!$B$5-Premissas!$B$14),2)</f>
        <v/>
      </c>
      <c r="O236" s="24">
        <f>ROUND(IF(N236&lt;=30000,N236*(1+Premissas!$B$21),N236+Premissas!$B$21*30000*SQRT(N236/30000)),2)</f>
        <v/>
      </c>
      <c r="P236" s="24">
        <f>N236-I236</f>
        <v/>
      </c>
      <c r="Q236" s="26">
        <f>P236/I236</f>
        <v/>
      </c>
      <c r="R236" s="26">
        <f>(I236-L236-Premissas!$B$5*(I236-L236)-(Premissas!$B$6+Premissas!$B$7)*I236-M236)/I236</f>
        <v/>
      </c>
      <c r="S236" s="24">
        <f>ROUND((CEILING((L236*Premissas!$B$17/Premissas!$B$18-97)/100,1)*100+97)*Premissas!$B$18,2)</f>
        <v/>
      </c>
    </row>
    <row r="237">
      <c r="A237" s="17" t="inlineStr">
        <is>
          <t>KIT 102 MOD. 620W + INV. GROWATT 50KW</t>
        </is>
      </c>
      <c r="B237" s="17" t="inlineStr">
        <is>
          <t>GROWATT</t>
        </is>
      </c>
      <c r="C237" s="17" t="inlineStr">
        <is>
          <t>Inversor</t>
        </is>
      </c>
      <c r="D237" s="21" t="n">
        <v>102</v>
      </c>
      <c r="E237" s="30" t="n">
        <v>63.24</v>
      </c>
      <c r="F237" s="20" t="inlineStr">
        <is>
          <t>GROWATT MAX 50K TL3-XL2 LV-TRI 220V</t>
        </is>
      </c>
      <c r="G237" s="21" t="n">
        <v>1</v>
      </c>
      <c r="H237" s="17" t="inlineStr">
        <is>
          <t>Sim</t>
        </is>
      </c>
      <c r="I237" s="23" t="n">
        <v>145946.85</v>
      </c>
      <c r="J237" s="24">
        <f>(D237*Premissas!$B$24+(2*ROUNDUP(D237/2,0))*Premissas!$B$26+INT((2*ROUNDUP(D237/2,0))/4)*Premissas!$B$27+MOD((2*ROUNDUP(D237/2,0)),4)/2*Premissas!$B$28+2*IF(D237&lt;=19,3*D237,IF(D237&lt;=50,ROUNDUP(2.5*D237,0),2*D237))*Premissas!$B$29+IF(C237="Micro",G237*(Premissas!$B$31+Premissas!$B$32+4*Premissas!$B$30),G237*(INDEX(Premissas!$B$40:$B$71,MATCH(F237,Premissas!$A$40:$A$71,0))+INDEX(Premissas!$C$40:$C$71,MATCH(F237,Premissas!$A$40:$A$71,0))*Premissas!$B$30)))</f>
        <v/>
      </c>
      <c r="K237" s="24">
        <f>IF(J237&lt;Premissas!$B$36,MAX(Premissas!$B$33,J237*Premissas!$B$34),J237*Premissas!$B$35)</f>
        <v/>
      </c>
      <c r="L237" s="24">
        <f>ROUND(J237+K237,2)</f>
        <v/>
      </c>
      <c r="M237" s="24">
        <f>D237*Premissas!$B$8+Premissas!$B$9+Premissas!$B$10+Premissas!$B$11+Premissas!$B$12+ROUND(Premissas!$B$13*E237,2)</f>
        <v/>
      </c>
      <c r="N237" s="25">
        <f>ROUNDUP((L237+M237-Premissas!$B$5*L237)/(1-Premissas!$B$6-Premissas!$B$7-Premissas!$B$5-Premissas!$B$14),2)</f>
        <v/>
      </c>
      <c r="O237" s="24">
        <f>ROUND(IF(N237&lt;=30000,N237*(1+Premissas!$B$21),N237+Premissas!$B$21*30000*SQRT(N237/30000)),2)</f>
        <v/>
      </c>
      <c r="P237" s="24">
        <f>N237-I237</f>
        <v/>
      </c>
      <c r="Q237" s="26">
        <f>P237/I237</f>
        <v/>
      </c>
      <c r="R237" s="26">
        <f>(I237-L237-Premissas!$B$5*(I237-L237)-(Premissas!$B$6+Premissas!$B$7)*I237-M237)/I237</f>
        <v/>
      </c>
      <c r="S237" s="24">
        <f>ROUND((CEILING((L237*Premissas!$B$17/Premissas!$B$18-97)/100,1)*100+97)*Premissas!$B$18,2)</f>
        <v/>
      </c>
    </row>
    <row r="238">
      <c r="A238" s="17" t="inlineStr">
        <is>
          <t>KIT 103 MOD. 620W + INV. GROWATT 50KW</t>
        </is>
      </c>
      <c r="B238" s="17" t="inlineStr">
        <is>
          <t>GROWATT</t>
        </is>
      </c>
      <c r="C238" s="17" t="inlineStr">
        <is>
          <t>Inversor</t>
        </is>
      </c>
      <c r="D238" s="21" t="n">
        <v>103</v>
      </c>
      <c r="E238" s="30" t="n">
        <v>63.86</v>
      </c>
      <c r="F238" s="20" t="inlineStr">
        <is>
          <t>GROWATT MAX 50K TL3-XL2 LV-TRI 220V</t>
        </is>
      </c>
      <c r="G238" s="21" t="n">
        <v>1</v>
      </c>
      <c r="H238" s="17" t="inlineStr">
        <is>
          <t>Sim</t>
        </is>
      </c>
      <c r="I238" s="23" t="n">
        <v>147206.85</v>
      </c>
      <c r="J238" s="24">
        <f>(D238*Premissas!$B$24+(2*ROUNDUP(D238/2,0))*Premissas!$B$26+INT((2*ROUNDUP(D238/2,0))/4)*Premissas!$B$27+MOD((2*ROUNDUP(D238/2,0)),4)/2*Premissas!$B$28+2*IF(D238&lt;=19,3*D238,IF(D238&lt;=50,ROUNDUP(2.5*D238,0),2*D238))*Premissas!$B$29+IF(C238="Micro",G238*(Premissas!$B$31+Premissas!$B$32+4*Premissas!$B$30),G238*(INDEX(Premissas!$B$40:$B$71,MATCH(F238,Premissas!$A$40:$A$71,0))+INDEX(Premissas!$C$40:$C$71,MATCH(F238,Premissas!$A$40:$A$71,0))*Premissas!$B$30)))</f>
        <v/>
      </c>
      <c r="K238" s="24">
        <f>IF(J238&lt;Premissas!$B$36,MAX(Premissas!$B$33,J238*Premissas!$B$34),J238*Premissas!$B$35)</f>
        <v/>
      </c>
      <c r="L238" s="24">
        <f>ROUND(J238+K238,2)</f>
        <v/>
      </c>
      <c r="M238" s="24">
        <f>D238*Premissas!$B$8+Premissas!$B$9+Premissas!$B$10+Premissas!$B$11+Premissas!$B$12+ROUND(Premissas!$B$13*E238,2)</f>
        <v/>
      </c>
      <c r="N238" s="25">
        <f>ROUNDUP((L238+M238-Premissas!$B$5*L238)/(1-Premissas!$B$6-Premissas!$B$7-Premissas!$B$5-Premissas!$B$14),2)</f>
        <v/>
      </c>
      <c r="O238" s="24">
        <f>ROUND(IF(N238&lt;=30000,N238*(1+Premissas!$B$21),N238+Premissas!$B$21*30000*SQRT(N238/30000)),2)</f>
        <v/>
      </c>
      <c r="P238" s="24">
        <f>N238-I238</f>
        <v/>
      </c>
      <c r="Q238" s="26">
        <f>P238/I238</f>
        <v/>
      </c>
      <c r="R238" s="26">
        <f>(I238-L238-Premissas!$B$5*(I238-L238)-(Premissas!$B$6+Premissas!$B$7)*I238-M238)/I238</f>
        <v/>
      </c>
      <c r="S238" s="24">
        <f>ROUND((CEILING((L238*Premissas!$B$17/Premissas!$B$18-97)/100,1)*100+97)*Premissas!$B$18,2)</f>
        <v/>
      </c>
    </row>
    <row r="239">
      <c r="A239" s="17" t="inlineStr">
        <is>
          <t>KIT 104 MOD. 620W + INV. GROWATT 50KW</t>
        </is>
      </c>
      <c r="B239" s="17" t="inlineStr">
        <is>
          <t>GROWATT</t>
        </is>
      </c>
      <c r="C239" s="17" t="inlineStr">
        <is>
          <t>Inversor</t>
        </is>
      </c>
      <c r="D239" s="21" t="n">
        <v>104</v>
      </c>
      <c r="E239" s="30" t="n">
        <v>64.48</v>
      </c>
      <c r="F239" s="20" t="inlineStr">
        <is>
          <t>GROWATT MAX 50K TL3-XL2 LV-TRI 220V</t>
        </is>
      </c>
      <c r="G239" s="21" t="n">
        <v>1</v>
      </c>
      <c r="H239" s="17" t="inlineStr">
        <is>
          <t>Sim</t>
        </is>
      </c>
      <c r="I239" s="23" t="n">
        <v>148256.85</v>
      </c>
      <c r="J239" s="24">
        <f>(D239*Premissas!$B$24+(2*ROUNDUP(D239/2,0))*Premissas!$B$26+INT((2*ROUNDUP(D239/2,0))/4)*Premissas!$B$27+MOD((2*ROUNDUP(D239/2,0)),4)/2*Premissas!$B$28+2*IF(D239&lt;=19,3*D239,IF(D239&lt;=50,ROUNDUP(2.5*D239,0),2*D239))*Premissas!$B$29+IF(C239="Micro",G239*(Premissas!$B$31+Premissas!$B$32+4*Premissas!$B$30),G239*(INDEX(Premissas!$B$40:$B$71,MATCH(F239,Premissas!$A$40:$A$71,0))+INDEX(Premissas!$C$40:$C$71,MATCH(F239,Premissas!$A$40:$A$71,0))*Premissas!$B$30)))</f>
        <v/>
      </c>
      <c r="K239" s="24">
        <f>IF(J239&lt;Premissas!$B$36,MAX(Premissas!$B$33,J239*Premissas!$B$34),J239*Premissas!$B$35)</f>
        <v/>
      </c>
      <c r="L239" s="24">
        <f>ROUND(J239+K239,2)</f>
        <v/>
      </c>
      <c r="M239" s="24">
        <f>D239*Premissas!$B$8+Premissas!$B$9+Premissas!$B$10+Premissas!$B$11+Premissas!$B$12+ROUND(Premissas!$B$13*E239,2)</f>
        <v/>
      </c>
      <c r="N239" s="25">
        <f>ROUNDUP((L239+M239-Premissas!$B$5*L239)/(1-Premissas!$B$6-Premissas!$B$7-Premissas!$B$5-Premissas!$B$14),2)</f>
        <v/>
      </c>
      <c r="O239" s="24">
        <f>ROUND(IF(N239&lt;=30000,N239*(1+Premissas!$B$21),N239+Premissas!$B$21*30000*SQRT(N239/30000)),2)</f>
        <v/>
      </c>
      <c r="P239" s="24">
        <f>N239-I239</f>
        <v/>
      </c>
      <c r="Q239" s="26">
        <f>P239/I239</f>
        <v/>
      </c>
      <c r="R239" s="26">
        <f>(I239-L239-Premissas!$B$5*(I239-L239)-(Premissas!$B$6+Premissas!$B$7)*I239-M239)/I239</f>
        <v/>
      </c>
      <c r="S239" s="24">
        <f>ROUND((CEILING((L239*Premissas!$B$17/Premissas!$B$18-97)/100,1)*100+97)*Premissas!$B$18,2)</f>
        <v/>
      </c>
    </row>
    <row r="240">
      <c r="A240" s="17" t="inlineStr">
        <is>
          <t>KIT 105 MOD. 620W + INV. GROWATT 50KW</t>
        </is>
      </c>
      <c r="B240" s="17" t="inlineStr">
        <is>
          <t>GROWATT</t>
        </is>
      </c>
      <c r="C240" s="17" t="inlineStr">
        <is>
          <t>Inversor</t>
        </is>
      </c>
      <c r="D240" s="21" t="n">
        <v>105</v>
      </c>
      <c r="E240" s="30" t="n">
        <v>65.09999999999999</v>
      </c>
      <c r="F240" s="20" t="inlineStr">
        <is>
          <t>GROWATT MAX 50K TL3-XL2 LV-TRI 220V</t>
        </is>
      </c>
      <c r="G240" s="21" t="n">
        <v>1</v>
      </c>
      <c r="H240" s="17" t="inlineStr">
        <is>
          <t>Sim</t>
        </is>
      </c>
      <c r="I240" s="23" t="n">
        <v>149621.85</v>
      </c>
      <c r="J240" s="24">
        <f>(D240*Premissas!$B$24+(2*ROUNDUP(D240/2,0))*Premissas!$B$26+INT((2*ROUNDUP(D240/2,0))/4)*Premissas!$B$27+MOD((2*ROUNDUP(D240/2,0)),4)/2*Premissas!$B$28+2*IF(D240&lt;=19,3*D240,IF(D240&lt;=50,ROUNDUP(2.5*D240,0),2*D240))*Premissas!$B$29+IF(C240="Micro",G240*(Premissas!$B$31+Premissas!$B$32+4*Premissas!$B$30),G240*(INDEX(Premissas!$B$40:$B$71,MATCH(F240,Premissas!$A$40:$A$71,0))+INDEX(Premissas!$C$40:$C$71,MATCH(F240,Premissas!$A$40:$A$71,0))*Premissas!$B$30)))</f>
        <v/>
      </c>
      <c r="K240" s="24">
        <f>IF(J240&lt;Premissas!$B$36,MAX(Premissas!$B$33,J240*Premissas!$B$34),J240*Premissas!$B$35)</f>
        <v/>
      </c>
      <c r="L240" s="24">
        <f>ROUND(J240+K240,2)</f>
        <v/>
      </c>
      <c r="M240" s="24">
        <f>D240*Premissas!$B$8+Premissas!$B$9+Premissas!$B$10+Premissas!$B$11+Premissas!$B$12+ROUND(Premissas!$B$13*E240,2)</f>
        <v/>
      </c>
      <c r="N240" s="25">
        <f>ROUNDUP((L240+M240-Premissas!$B$5*L240)/(1-Premissas!$B$6-Premissas!$B$7-Premissas!$B$5-Premissas!$B$14),2)</f>
        <v/>
      </c>
      <c r="O240" s="24">
        <f>ROUND(IF(N240&lt;=30000,N240*(1+Premissas!$B$21),N240+Premissas!$B$21*30000*SQRT(N240/30000)),2)</f>
        <v/>
      </c>
      <c r="P240" s="24">
        <f>N240-I240</f>
        <v/>
      </c>
      <c r="Q240" s="26">
        <f>P240/I240</f>
        <v/>
      </c>
      <c r="R240" s="26">
        <f>(I240-L240-Premissas!$B$5*(I240-L240)-(Premissas!$B$6+Premissas!$B$7)*I240-M240)/I240</f>
        <v/>
      </c>
      <c r="S240" s="24">
        <f>ROUND((CEILING((L240*Premissas!$B$17/Premissas!$B$18-97)/100,1)*100+97)*Premissas!$B$18,2)</f>
        <v/>
      </c>
    </row>
    <row r="241">
      <c r="A241" s="17" t="inlineStr">
        <is>
          <t>KIT 106 MOD. 620W + INV. GROWATT 50KW</t>
        </is>
      </c>
      <c r="B241" s="17" t="inlineStr">
        <is>
          <t>GROWATT</t>
        </is>
      </c>
      <c r="C241" s="17" t="inlineStr">
        <is>
          <t>Inversor</t>
        </is>
      </c>
      <c r="D241" s="21" t="n">
        <v>106</v>
      </c>
      <c r="E241" s="30" t="n">
        <v>65.72</v>
      </c>
      <c r="F241" s="20" t="inlineStr">
        <is>
          <t>GROWATT MAX 50K TL3-XL2 LV-TRI 220V</t>
        </is>
      </c>
      <c r="G241" s="21" t="n">
        <v>1</v>
      </c>
      <c r="H241" s="17" t="inlineStr">
        <is>
          <t>Sim</t>
        </is>
      </c>
      <c r="I241" s="23" t="n">
        <v>150566.85</v>
      </c>
      <c r="J241" s="24">
        <f>(D241*Premissas!$B$24+(2*ROUNDUP(D241/2,0))*Premissas!$B$26+INT((2*ROUNDUP(D241/2,0))/4)*Premissas!$B$27+MOD((2*ROUNDUP(D241/2,0)),4)/2*Premissas!$B$28+2*IF(D241&lt;=19,3*D241,IF(D241&lt;=50,ROUNDUP(2.5*D241,0),2*D241))*Premissas!$B$29+IF(C241="Micro",G241*(Premissas!$B$31+Premissas!$B$32+4*Premissas!$B$30),G241*(INDEX(Premissas!$B$40:$B$71,MATCH(F241,Premissas!$A$40:$A$71,0))+INDEX(Premissas!$C$40:$C$71,MATCH(F241,Premissas!$A$40:$A$71,0))*Premissas!$B$30)))</f>
        <v/>
      </c>
      <c r="K241" s="24">
        <f>IF(J241&lt;Premissas!$B$36,MAX(Premissas!$B$33,J241*Premissas!$B$34),J241*Premissas!$B$35)</f>
        <v/>
      </c>
      <c r="L241" s="24">
        <f>ROUND(J241+K241,2)</f>
        <v/>
      </c>
      <c r="M241" s="24">
        <f>D241*Premissas!$B$8+Premissas!$B$9+Premissas!$B$10+Premissas!$B$11+Premissas!$B$12+ROUND(Premissas!$B$13*E241,2)</f>
        <v/>
      </c>
      <c r="N241" s="25">
        <f>ROUNDUP((L241+M241-Premissas!$B$5*L241)/(1-Premissas!$B$6-Premissas!$B$7-Premissas!$B$5-Premissas!$B$14),2)</f>
        <v/>
      </c>
      <c r="O241" s="24">
        <f>ROUND(IF(N241&lt;=30000,N241*(1+Premissas!$B$21),N241+Premissas!$B$21*30000*SQRT(N241/30000)),2)</f>
        <v/>
      </c>
      <c r="P241" s="24">
        <f>N241-I241</f>
        <v/>
      </c>
      <c r="Q241" s="26">
        <f>P241/I241</f>
        <v/>
      </c>
      <c r="R241" s="26">
        <f>(I241-L241-Premissas!$B$5*(I241-L241)-(Premissas!$B$6+Premissas!$B$7)*I241-M241)/I241</f>
        <v/>
      </c>
      <c r="S241" s="24">
        <f>ROUND((CEILING((L241*Premissas!$B$17/Premissas!$B$18-97)/100,1)*100+97)*Premissas!$B$18,2)</f>
        <v/>
      </c>
    </row>
    <row r="242">
      <c r="A242" s="17" t="inlineStr">
        <is>
          <t>KIT 107 MOD. 620W + INV. GROWATT 50KW</t>
        </is>
      </c>
      <c r="B242" s="17" t="inlineStr">
        <is>
          <t>GROWATT</t>
        </is>
      </c>
      <c r="C242" s="17" t="inlineStr">
        <is>
          <t>Inversor</t>
        </is>
      </c>
      <c r="D242" s="21" t="n">
        <v>107</v>
      </c>
      <c r="E242" s="30" t="n">
        <v>66.34</v>
      </c>
      <c r="F242" s="20" t="inlineStr">
        <is>
          <t>GROWATT MAX 50K TL3-XL2 LV-TRI 220V</t>
        </is>
      </c>
      <c r="G242" s="21" t="n">
        <v>1</v>
      </c>
      <c r="H242" s="17" t="inlineStr">
        <is>
          <t>Sim</t>
        </is>
      </c>
      <c r="I242" s="23" t="n">
        <v>151931.85</v>
      </c>
      <c r="J242" s="24">
        <f>(D242*Premissas!$B$24+(2*ROUNDUP(D242/2,0))*Premissas!$B$26+INT((2*ROUNDUP(D242/2,0))/4)*Premissas!$B$27+MOD((2*ROUNDUP(D242/2,0)),4)/2*Premissas!$B$28+2*IF(D242&lt;=19,3*D242,IF(D242&lt;=50,ROUNDUP(2.5*D242,0),2*D242))*Premissas!$B$29+IF(C242="Micro",G242*(Premissas!$B$31+Premissas!$B$32+4*Premissas!$B$30),G242*(INDEX(Premissas!$B$40:$B$71,MATCH(F242,Premissas!$A$40:$A$71,0))+INDEX(Premissas!$C$40:$C$71,MATCH(F242,Premissas!$A$40:$A$71,0))*Premissas!$B$30)))</f>
        <v/>
      </c>
      <c r="K242" s="24">
        <f>IF(J242&lt;Premissas!$B$36,MAX(Premissas!$B$33,J242*Premissas!$B$34),J242*Premissas!$B$35)</f>
        <v/>
      </c>
      <c r="L242" s="24">
        <f>ROUND(J242+K242,2)</f>
        <v/>
      </c>
      <c r="M242" s="24">
        <f>D242*Premissas!$B$8+Premissas!$B$9+Premissas!$B$10+Premissas!$B$11+Premissas!$B$12+ROUND(Premissas!$B$13*E242,2)</f>
        <v/>
      </c>
      <c r="N242" s="25">
        <f>ROUNDUP((L242+M242-Premissas!$B$5*L242)/(1-Premissas!$B$6-Premissas!$B$7-Premissas!$B$5-Premissas!$B$14),2)</f>
        <v/>
      </c>
      <c r="O242" s="24">
        <f>ROUND(IF(N242&lt;=30000,N242*(1+Premissas!$B$21),N242+Premissas!$B$21*30000*SQRT(N242/30000)),2)</f>
        <v/>
      </c>
      <c r="P242" s="24">
        <f>N242-I242</f>
        <v/>
      </c>
      <c r="Q242" s="26">
        <f>P242/I242</f>
        <v/>
      </c>
      <c r="R242" s="26">
        <f>(I242-L242-Premissas!$B$5*(I242-L242)-(Premissas!$B$6+Premissas!$B$7)*I242-M242)/I242</f>
        <v/>
      </c>
      <c r="S242" s="24">
        <f>ROUND((CEILING((L242*Premissas!$B$17/Premissas!$B$18-97)/100,1)*100+97)*Premissas!$B$18,2)</f>
        <v/>
      </c>
    </row>
    <row r="243">
      <c r="A243" s="17" t="inlineStr">
        <is>
          <t>KIT 108 MOD. 620W + INV. GROWATT 50KW</t>
        </is>
      </c>
      <c r="B243" s="17" t="inlineStr">
        <is>
          <t>GROWATT</t>
        </is>
      </c>
      <c r="C243" s="17" t="inlineStr">
        <is>
          <t>Inversor</t>
        </is>
      </c>
      <c r="D243" s="21" t="n">
        <v>108</v>
      </c>
      <c r="E243" s="30" t="n">
        <v>66.95999999999999</v>
      </c>
      <c r="F243" s="20" t="inlineStr">
        <is>
          <t>GROWATT MAX 50K TL3-XL2 LV-TRI 220V</t>
        </is>
      </c>
      <c r="G243" s="21" t="n">
        <v>1</v>
      </c>
      <c r="H243" s="17" t="inlineStr">
        <is>
          <t>Sim</t>
        </is>
      </c>
      <c r="I243" s="23" t="n">
        <v>152981.85</v>
      </c>
      <c r="J243" s="24">
        <f>(D243*Premissas!$B$24+(2*ROUNDUP(D243/2,0))*Premissas!$B$26+INT((2*ROUNDUP(D243/2,0))/4)*Premissas!$B$27+MOD((2*ROUNDUP(D243/2,0)),4)/2*Premissas!$B$28+2*IF(D243&lt;=19,3*D243,IF(D243&lt;=50,ROUNDUP(2.5*D243,0),2*D243))*Premissas!$B$29+IF(C243="Micro",G243*(Premissas!$B$31+Premissas!$B$32+4*Premissas!$B$30),G243*(INDEX(Premissas!$B$40:$B$71,MATCH(F243,Premissas!$A$40:$A$71,0))+INDEX(Premissas!$C$40:$C$71,MATCH(F243,Premissas!$A$40:$A$71,0))*Premissas!$B$30)))</f>
        <v/>
      </c>
      <c r="K243" s="24">
        <f>IF(J243&lt;Premissas!$B$36,MAX(Premissas!$B$33,J243*Premissas!$B$34),J243*Premissas!$B$35)</f>
        <v/>
      </c>
      <c r="L243" s="24">
        <f>ROUND(J243+K243,2)</f>
        <v/>
      </c>
      <c r="M243" s="24">
        <f>D243*Premissas!$B$8+Premissas!$B$9+Premissas!$B$10+Premissas!$B$11+Premissas!$B$12+ROUND(Premissas!$B$13*E243,2)</f>
        <v/>
      </c>
      <c r="N243" s="25">
        <f>ROUNDUP((L243+M243-Premissas!$B$5*L243)/(1-Premissas!$B$6-Premissas!$B$7-Premissas!$B$5-Premissas!$B$14),2)</f>
        <v/>
      </c>
      <c r="O243" s="24">
        <f>ROUND(IF(N243&lt;=30000,N243*(1+Premissas!$B$21),N243+Premissas!$B$21*30000*SQRT(N243/30000)),2)</f>
        <v/>
      </c>
      <c r="P243" s="24">
        <f>N243-I243</f>
        <v/>
      </c>
      <c r="Q243" s="26">
        <f>P243/I243</f>
        <v/>
      </c>
      <c r="R243" s="26">
        <f>(I243-L243-Premissas!$B$5*(I243-L243)-(Premissas!$B$6+Premissas!$B$7)*I243-M243)/I243</f>
        <v/>
      </c>
      <c r="S243" s="24">
        <f>ROUND((CEILING((L243*Premissas!$B$17/Premissas!$B$18-97)/100,1)*100+97)*Premissas!$B$18,2)</f>
        <v/>
      </c>
    </row>
    <row r="244">
      <c r="A244" s="17" t="inlineStr">
        <is>
          <t>KIT 109 MOD. 620W + INV. GROWATT 50KW</t>
        </is>
      </c>
      <c r="B244" s="17" t="inlineStr">
        <is>
          <t>GROWATT</t>
        </is>
      </c>
      <c r="C244" s="17" t="inlineStr">
        <is>
          <t>Inversor</t>
        </is>
      </c>
      <c r="D244" s="21" t="n">
        <v>109</v>
      </c>
      <c r="E244" s="30" t="n">
        <v>67.58</v>
      </c>
      <c r="F244" s="20" t="inlineStr">
        <is>
          <t>GROWATT MAX 50K TL3-XL2 LV-TRI 220V</t>
        </is>
      </c>
      <c r="G244" s="21" t="n">
        <v>1</v>
      </c>
      <c r="H244" s="17" t="inlineStr">
        <is>
          <t>Sim</t>
        </is>
      </c>
      <c r="I244" s="23" t="n">
        <v>154241.85</v>
      </c>
      <c r="J244" s="24">
        <f>(D244*Premissas!$B$24+(2*ROUNDUP(D244/2,0))*Premissas!$B$26+INT((2*ROUNDUP(D244/2,0))/4)*Premissas!$B$27+MOD((2*ROUNDUP(D244/2,0)),4)/2*Premissas!$B$28+2*IF(D244&lt;=19,3*D244,IF(D244&lt;=50,ROUNDUP(2.5*D244,0),2*D244))*Premissas!$B$29+IF(C244="Micro",G244*(Premissas!$B$31+Premissas!$B$32+4*Premissas!$B$30),G244*(INDEX(Premissas!$B$40:$B$71,MATCH(F244,Premissas!$A$40:$A$71,0))+INDEX(Premissas!$C$40:$C$71,MATCH(F244,Premissas!$A$40:$A$71,0))*Premissas!$B$30)))</f>
        <v/>
      </c>
      <c r="K244" s="24">
        <f>IF(J244&lt;Premissas!$B$36,MAX(Premissas!$B$33,J244*Premissas!$B$34),J244*Premissas!$B$35)</f>
        <v/>
      </c>
      <c r="L244" s="24">
        <f>ROUND(J244+K244,2)</f>
        <v/>
      </c>
      <c r="M244" s="24">
        <f>D244*Premissas!$B$8+Premissas!$B$9+Premissas!$B$10+Premissas!$B$11+Premissas!$B$12+ROUND(Premissas!$B$13*E244,2)</f>
        <v/>
      </c>
      <c r="N244" s="25">
        <f>ROUNDUP((L244+M244-Premissas!$B$5*L244)/(1-Premissas!$B$6-Premissas!$B$7-Premissas!$B$5-Premissas!$B$14),2)</f>
        <v/>
      </c>
      <c r="O244" s="24">
        <f>ROUND(IF(N244&lt;=30000,N244*(1+Premissas!$B$21),N244+Premissas!$B$21*30000*SQRT(N244/30000)),2)</f>
        <v/>
      </c>
      <c r="P244" s="24">
        <f>N244-I244</f>
        <v/>
      </c>
      <c r="Q244" s="26">
        <f>P244/I244</f>
        <v/>
      </c>
      <c r="R244" s="26">
        <f>(I244-L244-Premissas!$B$5*(I244-L244)-(Premissas!$B$6+Premissas!$B$7)*I244-M244)/I244</f>
        <v/>
      </c>
      <c r="S244" s="24">
        <f>ROUND((CEILING((L244*Premissas!$B$17/Premissas!$B$18-97)/100,1)*100+97)*Premissas!$B$18,2)</f>
        <v/>
      </c>
    </row>
    <row r="245">
      <c r="A245" s="17" t="inlineStr">
        <is>
          <t>KIT 110 MOD. 620W + INV. GROWATT 50KW</t>
        </is>
      </c>
      <c r="B245" s="17" t="inlineStr">
        <is>
          <t>GROWATT</t>
        </is>
      </c>
      <c r="C245" s="17" t="inlineStr">
        <is>
          <t>Inversor</t>
        </is>
      </c>
      <c r="D245" s="21" t="n">
        <v>110</v>
      </c>
      <c r="E245" s="30" t="n">
        <v>68.2</v>
      </c>
      <c r="F245" s="20" t="inlineStr">
        <is>
          <t>GROWATT MAX 50K TL3-XL2 LV-TRI 220V</t>
        </is>
      </c>
      <c r="G245" s="21" t="n">
        <v>1</v>
      </c>
      <c r="H245" s="17" t="inlineStr">
        <is>
          <t>Sim</t>
        </is>
      </c>
      <c r="I245" s="23" t="n">
        <v>155291.85</v>
      </c>
      <c r="J245" s="24">
        <f>(D245*Premissas!$B$24+(2*ROUNDUP(D245/2,0))*Premissas!$B$26+INT((2*ROUNDUP(D245/2,0))/4)*Premissas!$B$27+MOD((2*ROUNDUP(D245/2,0)),4)/2*Premissas!$B$28+2*IF(D245&lt;=19,3*D245,IF(D245&lt;=50,ROUNDUP(2.5*D245,0),2*D245))*Premissas!$B$29+IF(C245="Micro",G245*(Premissas!$B$31+Premissas!$B$32+4*Premissas!$B$30),G245*(INDEX(Premissas!$B$40:$B$71,MATCH(F245,Premissas!$A$40:$A$71,0))+INDEX(Premissas!$C$40:$C$71,MATCH(F245,Premissas!$A$40:$A$71,0))*Premissas!$B$30)))</f>
        <v/>
      </c>
      <c r="K245" s="24">
        <f>IF(J245&lt;Premissas!$B$36,MAX(Premissas!$B$33,J245*Premissas!$B$34),J245*Premissas!$B$35)</f>
        <v/>
      </c>
      <c r="L245" s="24">
        <f>ROUND(J245+K245,2)</f>
        <v/>
      </c>
      <c r="M245" s="24">
        <f>D245*Premissas!$B$8+Premissas!$B$9+Premissas!$B$10+Premissas!$B$11+Premissas!$B$12+ROUND(Premissas!$B$13*E245,2)</f>
        <v/>
      </c>
      <c r="N245" s="25">
        <f>ROUNDUP((L245+M245-Premissas!$B$5*L245)/(1-Premissas!$B$6-Premissas!$B$7-Premissas!$B$5-Premissas!$B$14),2)</f>
        <v/>
      </c>
      <c r="O245" s="24">
        <f>ROUND(IF(N245&lt;=30000,N245*(1+Premissas!$B$21),N245+Premissas!$B$21*30000*SQRT(N245/30000)),2)</f>
        <v/>
      </c>
      <c r="P245" s="24">
        <f>N245-I245</f>
        <v/>
      </c>
      <c r="Q245" s="26">
        <f>P245/I245</f>
        <v/>
      </c>
      <c r="R245" s="26">
        <f>(I245-L245-Premissas!$B$5*(I245-L245)-(Premissas!$B$6+Premissas!$B$7)*I245-M245)/I245</f>
        <v/>
      </c>
      <c r="S245" s="24">
        <f>ROUND((CEILING((L245*Premissas!$B$17/Premissas!$B$18-97)/100,1)*100+97)*Premissas!$B$18,2)</f>
        <v/>
      </c>
    </row>
    <row r="246">
      <c r="A246" s="17" t="inlineStr">
        <is>
          <t>KIT 111 MOD. 620W + INV. GROWATT 50KW</t>
        </is>
      </c>
      <c r="B246" s="17" t="inlineStr">
        <is>
          <t>GROWATT</t>
        </is>
      </c>
      <c r="C246" s="17" t="inlineStr">
        <is>
          <t>Inversor</t>
        </is>
      </c>
      <c r="D246" s="21" t="n">
        <v>111</v>
      </c>
      <c r="E246" s="30" t="n">
        <v>68.81999999999999</v>
      </c>
      <c r="F246" s="20" t="inlineStr">
        <is>
          <t>GROWATT MAX 50K TL3-XL2 LV-TRI 220V</t>
        </is>
      </c>
      <c r="G246" s="21" t="n">
        <v>1</v>
      </c>
      <c r="H246" s="17" t="inlineStr">
        <is>
          <t>Sim</t>
        </is>
      </c>
      <c r="I246" s="23" t="n">
        <v>156656.85</v>
      </c>
      <c r="J246" s="24">
        <f>(D246*Premissas!$B$24+(2*ROUNDUP(D246/2,0))*Premissas!$B$26+INT((2*ROUNDUP(D246/2,0))/4)*Premissas!$B$27+MOD((2*ROUNDUP(D246/2,0)),4)/2*Premissas!$B$28+2*IF(D246&lt;=19,3*D246,IF(D246&lt;=50,ROUNDUP(2.5*D246,0),2*D246))*Premissas!$B$29+IF(C246="Micro",G246*(Premissas!$B$31+Premissas!$B$32+4*Premissas!$B$30),G246*(INDEX(Premissas!$B$40:$B$71,MATCH(F246,Premissas!$A$40:$A$71,0))+INDEX(Premissas!$C$40:$C$71,MATCH(F246,Premissas!$A$40:$A$71,0))*Premissas!$B$30)))</f>
        <v/>
      </c>
      <c r="K246" s="24">
        <f>IF(J246&lt;Premissas!$B$36,MAX(Premissas!$B$33,J246*Premissas!$B$34),J246*Premissas!$B$35)</f>
        <v/>
      </c>
      <c r="L246" s="24">
        <f>ROUND(J246+K246,2)</f>
        <v/>
      </c>
      <c r="M246" s="24">
        <f>D246*Premissas!$B$8+Premissas!$B$9+Premissas!$B$10+Premissas!$B$11+Premissas!$B$12+ROUND(Premissas!$B$13*E246,2)</f>
        <v/>
      </c>
      <c r="N246" s="25">
        <f>ROUNDUP((L246+M246-Premissas!$B$5*L246)/(1-Premissas!$B$6-Premissas!$B$7-Premissas!$B$5-Premissas!$B$14),2)</f>
        <v/>
      </c>
      <c r="O246" s="24">
        <f>ROUND(IF(N246&lt;=30000,N246*(1+Premissas!$B$21),N246+Premissas!$B$21*30000*SQRT(N246/30000)),2)</f>
        <v/>
      </c>
      <c r="P246" s="24">
        <f>N246-I246</f>
        <v/>
      </c>
      <c r="Q246" s="26">
        <f>P246/I246</f>
        <v/>
      </c>
      <c r="R246" s="26">
        <f>(I246-L246-Premissas!$B$5*(I246-L246)-(Premissas!$B$6+Premissas!$B$7)*I246-M246)/I246</f>
        <v/>
      </c>
      <c r="S246" s="24">
        <f>ROUND((CEILING((L246*Premissas!$B$17/Premissas!$B$18-97)/100,1)*100+97)*Premissas!$B$18,2)</f>
        <v/>
      </c>
    </row>
    <row r="247">
      <c r="A247" s="17" t="inlineStr">
        <is>
          <t>KIT 112 MOD. 620W + INV. GROWATT 50KW</t>
        </is>
      </c>
      <c r="B247" s="17" t="inlineStr">
        <is>
          <t>GROWATT</t>
        </is>
      </c>
      <c r="C247" s="17" t="inlineStr">
        <is>
          <t>Inversor</t>
        </is>
      </c>
      <c r="D247" s="21" t="n">
        <v>112</v>
      </c>
      <c r="E247" s="30" t="n">
        <v>69.44</v>
      </c>
      <c r="F247" s="20" t="inlineStr">
        <is>
          <t>GROWATT MAX 50K TL3-XL2 LV-TRI 220V</t>
        </is>
      </c>
      <c r="G247" s="21" t="n">
        <v>1</v>
      </c>
      <c r="H247" s="17" t="inlineStr">
        <is>
          <t>Sim</t>
        </is>
      </c>
      <c r="I247" s="23" t="n">
        <v>157706.85</v>
      </c>
      <c r="J247" s="24">
        <f>(D247*Premissas!$B$24+(2*ROUNDUP(D247/2,0))*Premissas!$B$26+INT((2*ROUNDUP(D247/2,0))/4)*Premissas!$B$27+MOD((2*ROUNDUP(D247/2,0)),4)/2*Premissas!$B$28+2*IF(D247&lt;=19,3*D247,IF(D247&lt;=50,ROUNDUP(2.5*D247,0),2*D247))*Premissas!$B$29+IF(C247="Micro",G247*(Premissas!$B$31+Premissas!$B$32+4*Premissas!$B$30),G247*(INDEX(Premissas!$B$40:$B$71,MATCH(F247,Premissas!$A$40:$A$71,0))+INDEX(Premissas!$C$40:$C$71,MATCH(F247,Premissas!$A$40:$A$71,0))*Premissas!$B$30)))</f>
        <v/>
      </c>
      <c r="K247" s="24">
        <f>IF(J247&lt;Premissas!$B$36,MAX(Premissas!$B$33,J247*Premissas!$B$34),J247*Premissas!$B$35)</f>
        <v/>
      </c>
      <c r="L247" s="24">
        <f>ROUND(J247+K247,2)</f>
        <v/>
      </c>
      <c r="M247" s="24">
        <f>D247*Premissas!$B$8+Premissas!$B$9+Premissas!$B$10+Premissas!$B$11+Premissas!$B$12+ROUND(Premissas!$B$13*E247,2)</f>
        <v/>
      </c>
      <c r="N247" s="25">
        <f>ROUNDUP((L247+M247-Premissas!$B$5*L247)/(1-Premissas!$B$6-Premissas!$B$7-Premissas!$B$5-Premissas!$B$14),2)</f>
        <v/>
      </c>
      <c r="O247" s="24">
        <f>ROUND(IF(N247&lt;=30000,N247*(1+Premissas!$B$21),N247+Premissas!$B$21*30000*SQRT(N247/30000)),2)</f>
        <v/>
      </c>
      <c r="P247" s="24">
        <f>N247-I247</f>
        <v/>
      </c>
      <c r="Q247" s="26">
        <f>P247/I247</f>
        <v/>
      </c>
      <c r="R247" s="26">
        <f>(I247-L247-Premissas!$B$5*(I247-L247)-(Premissas!$B$6+Premissas!$B$7)*I247-M247)/I247</f>
        <v/>
      </c>
      <c r="S247" s="24">
        <f>ROUND((CEILING((L247*Premissas!$B$17/Premissas!$B$18-97)/100,1)*100+97)*Premissas!$B$18,2)</f>
        <v/>
      </c>
    </row>
    <row r="248">
      <c r="A248" s="17" t="inlineStr">
        <is>
          <t>KIT 113 MOD. 620W + INV. GROWATT 50KW</t>
        </is>
      </c>
      <c r="B248" s="17" t="inlineStr">
        <is>
          <t>GROWATT</t>
        </is>
      </c>
      <c r="C248" s="17" t="inlineStr">
        <is>
          <t>Inversor</t>
        </is>
      </c>
      <c r="D248" s="21" t="n">
        <v>113</v>
      </c>
      <c r="E248" s="30" t="n">
        <v>70.06</v>
      </c>
      <c r="F248" s="20" t="inlineStr">
        <is>
          <t>GROWATT MAX 50K TL3-XL2 LV-TRI 220V</t>
        </is>
      </c>
      <c r="G248" s="21" t="n">
        <v>1</v>
      </c>
      <c r="H248" s="17" t="inlineStr">
        <is>
          <t>Sim</t>
        </is>
      </c>
      <c r="I248" s="23" t="n">
        <v>158966.85</v>
      </c>
      <c r="J248" s="24">
        <f>(D248*Premissas!$B$24+(2*ROUNDUP(D248/2,0))*Premissas!$B$26+INT((2*ROUNDUP(D248/2,0))/4)*Premissas!$B$27+MOD((2*ROUNDUP(D248/2,0)),4)/2*Premissas!$B$28+2*IF(D248&lt;=19,3*D248,IF(D248&lt;=50,ROUNDUP(2.5*D248,0),2*D248))*Premissas!$B$29+IF(C248="Micro",G248*(Premissas!$B$31+Premissas!$B$32+4*Premissas!$B$30),G248*(INDEX(Premissas!$B$40:$B$71,MATCH(F248,Premissas!$A$40:$A$71,0))+INDEX(Premissas!$C$40:$C$71,MATCH(F248,Premissas!$A$40:$A$71,0))*Premissas!$B$30)))</f>
        <v/>
      </c>
      <c r="K248" s="24">
        <f>IF(J248&lt;Premissas!$B$36,MAX(Premissas!$B$33,J248*Premissas!$B$34),J248*Premissas!$B$35)</f>
        <v/>
      </c>
      <c r="L248" s="24">
        <f>ROUND(J248+K248,2)</f>
        <v/>
      </c>
      <c r="M248" s="24">
        <f>D248*Premissas!$B$8+Premissas!$B$9+Premissas!$B$10+Premissas!$B$11+Premissas!$B$12+ROUND(Premissas!$B$13*E248,2)</f>
        <v/>
      </c>
      <c r="N248" s="25">
        <f>ROUNDUP((L248+M248-Premissas!$B$5*L248)/(1-Premissas!$B$6-Premissas!$B$7-Premissas!$B$5-Premissas!$B$14),2)</f>
        <v/>
      </c>
      <c r="O248" s="24">
        <f>ROUND(IF(N248&lt;=30000,N248*(1+Premissas!$B$21),N248+Premissas!$B$21*30000*SQRT(N248/30000)),2)</f>
        <v/>
      </c>
      <c r="P248" s="24">
        <f>N248-I248</f>
        <v/>
      </c>
      <c r="Q248" s="26">
        <f>P248/I248</f>
        <v/>
      </c>
      <c r="R248" s="26">
        <f>(I248-L248-Premissas!$B$5*(I248-L248)-(Premissas!$B$6+Premissas!$B$7)*I248-M248)/I248</f>
        <v/>
      </c>
      <c r="S248" s="24">
        <f>ROUND((CEILING((L248*Premissas!$B$17/Premissas!$B$18-97)/100,1)*100+97)*Premissas!$B$18,2)</f>
        <v/>
      </c>
    </row>
    <row r="249">
      <c r="A249" s="17" t="inlineStr">
        <is>
          <t>KIT 114 MOD. 620W + INV. GROWATT 50KW</t>
        </is>
      </c>
      <c r="B249" s="17" t="inlineStr">
        <is>
          <t>GROWATT</t>
        </is>
      </c>
      <c r="C249" s="17" t="inlineStr">
        <is>
          <t>Inversor</t>
        </is>
      </c>
      <c r="D249" s="21" t="n">
        <v>114</v>
      </c>
      <c r="E249" s="30" t="n">
        <v>70.68000000000001</v>
      </c>
      <c r="F249" s="20" t="inlineStr">
        <is>
          <t>GROWATT MAX 50K TL3-XL2 LV-TRI 220V</t>
        </is>
      </c>
      <c r="G249" s="21" t="n">
        <v>1</v>
      </c>
      <c r="H249" s="17" t="inlineStr">
        <is>
          <t>Sim</t>
        </is>
      </c>
      <c r="I249" s="23" t="n">
        <v>160016.85</v>
      </c>
      <c r="J249" s="24">
        <f>(D249*Premissas!$B$24+(2*ROUNDUP(D249/2,0))*Premissas!$B$26+INT((2*ROUNDUP(D249/2,0))/4)*Premissas!$B$27+MOD((2*ROUNDUP(D249/2,0)),4)/2*Premissas!$B$28+2*IF(D249&lt;=19,3*D249,IF(D249&lt;=50,ROUNDUP(2.5*D249,0),2*D249))*Premissas!$B$29+IF(C249="Micro",G249*(Premissas!$B$31+Premissas!$B$32+4*Premissas!$B$30),G249*(INDEX(Premissas!$B$40:$B$71,MATCH(F249,Premissas!$A$40:$A$71,0))+INDEX(Premissas!$C$40:$C$71,MATCH(F249,Premissas!$A$40:$A$71,0))*Premissas!$B$30)))</f>
        <v/>
      </c>
      <c r="K249" s="24">
        <f>IF(J249&lt;Premissas!$B$36,MAX(Premissas!$B$33,J249*Premissas!$B$34),J249*Premissas!$B$35)</f>
        <v/>
      </c>
      <c r="L249" s="24">
        <f>ROUND(J249+K249,2)</f>
        <v/>
      </c>
      <c r="M249" s="24">
        <f>D249*Premissas!$B$8+Premissas!$B$9+Premissas!$B$10+Premissas!$B$11+Premissas!$B$12+ROUND(Premissas!$B$13*E249,2)</f>
        <v/>
      </c>
      <c r="N249" s="25">
        <f>ROUNDUP((L249+M249-Premissas!$B$5*L249)/(1-Premissas!$B$6-Premissas!$B$7-Premissas!$B$5-Premissas!$B$14),2)</f>
        <v/>
      </c>
      <c r="O249" s="24">
        <f>ROUND(IF(N249&lt;=30000,N249*(1+Premissas!$B$21),N249+Premissas!$B$21*30000*SQRT(N249/30000)),2)</f>
        <v/>
      </c>
      <c r="P249" s="24">
        <f>N249-I249</f>
        <v/>
      </c>
      <c r="Q249" s="26">
        <f>P249/I249</f>
        <v/>
      </c>
      <c r="R249" s="26">
        <f>(I249-L249-Premissas!$B$5*(I249-L249)-(Premissas!$B$6+Premissas!$B$7)*I249-M249)/I249</f>
        <v/>
      </c>
      <c r="S249" s="24">
        <f>ROUND((CEILING((L249*Premissas!$B$17/Premissas!$B$18-97)/100,1)*100+97)*Premissas!$B$18,2)</f>
        <v/>
      </c>
    </row>
    <row r="250">
      <c r="A250" s="17" t="inlineStr">
        <is>
          <t>KIT 115 MOD. 620W + INV. GROWATT 50KW</t>
        </is>
      </c>
      <c r="B250" s="17" t="inlineStr">
        <is>
          <t>GROWATT</t>
        </is>
      </c>
      <c r="C250" s="17" t="inlineStr">
        <is>
          <t>Inversor</t>
        </is>
      </c>
      <c r="D250" s="21" t="n">
        <v>115</v>
      </c>
      <c r="E250" s="30" t="n">
        <v>71.3</v>
      </c>
      <c r="F250" s="20" t="inlineStr">
        <is>
          <t>GROWATT MAX 50K TL3-XL2 LV-TRI 220V</t>
        </is>
      </c>
      <c r="G250" s="21" t="n">
        <v>1</v>
      </c>
      <c r="H250" s="17" t="inlineStr">
        <is>
          <t>Sim</t>
        </is>
      </c>
      <c r="I250" s="23" t="n">
        <v>161381.85</v>
      </c>
      <c r="J250" s="24">
        <f>(D250*Premissas!$B$24+(2*ROUNDUP(D250/2,0))*Premissas!$B$26+INT((2*ROUNDUP(D250/2,0))/4)*Premissas!$B$27+MOD((2*ROUNDUP(D250/2,0)),4)/2*Premissas!$B$28+2*IF(D250&lt;=19,3*D250,IF(D250&lt;=50,ROUNDUP(2.5*D250,0),2*D250))*Premissas!$B$29+IF(C250="Micro",G250*(Premissas!$B$31+Premissas!$B$32+4*Premissas!$B$30),G250*(INDEX(Premissas!$B$40:$B$71,MATCH(F250,Premissas!$A$40:$A$71,0))+INDEX(Premissas!$C$40:$C$71,MATCH(F250,Premissas!$A$40:$A$71,0))*Premissas!$B$30)))</f>
        <v/>
      </c>
      <c r="K250" s="24">
        <f>IF(J250&lt;Premissas!$B$36,MAX(Premissas!$B$33,J250*Premissas!$B$34),J250*Premissas!$B$35)</f>
        <v/>
      </c>
      <c r="L250" s="24">
        <f>ROUND(J250+K250,2)</f>
        <v/>
      </c>
      <c r="M250" s="24">
        <f>D250*Premissas!$B$8+Premissas!$B$9+Premissas!$B$10+Premissas!$B$11+Premissas!$B$12+ROUND(Premissas!$B$13*E250,2)</f>
        <v/>
      </c>
      <c r="N250" s="25">
        <f>ROUNDUP((L250+M250-Premissas!$B$5*L250)/(1-Premissas!$B$6-Premissas!$B$7-Premissas!$B$5-Premissas!$B$14),2)</f>
        <v/>
      </c>
      <c r="O250" s="24">
        <f>ROUND(IF(N250&lt;=30000,N250*(1+Premissas!$B$21),N250+Premissas!$B$21*30000*SQRT(N250/30000)),2)</f>
        <v/>
      </c>
      <c r="P250" s="24">
        <f>N250-I250</f>
        <v/>
      </c>
      <c r="Q250" s="26">
        <f>P250/I250</f>
        <v/>
      </c>
      <c r="R250" s="26">
        <f>(I250-L250-Premissas!$B$5*(I250-L250)-(Premissas!$B$6+Premissas!$B$7)*I250-M250)/I250</f>
        <v/>
      </c>
      <c r="S250" s="24">
        <f>ROUND((CEILING((L250*Premissas!$B$17/Premissas!$B$18-97)/100,1)*100+97)*Premissas!$B$18,2)</f>
        <v/>
      </c>
    </row>
    <row r="251">
      <c r="A251" s="17" t="inlineStr">
        <is>
          <t>KIT 116 MOD. 620W + INV. GROWATT 50KW</t>
        </is>
      </c>
      <c r="B251" s="17" t="inlineStr">
        <is>
          <t>GROWATT</t>
        </is>
      </c>
      <c r="C251" s="17" t="inlineStr">
        <is>
          <t>Inversor</t>
        </is>
      </c>
      <c r="D251" s="21" t="n">
        <v>116</v>
      </c>
      <c r="E251" s="30" t="n">
        <v>71.92</v>
      </c>
      <c r="F251" s="20" t="inlineStr">
        <is>
          <t>GROWATT MAX 50K TL3-XL2 LV-TRI 220V</t>
        </is>
      </c>
      <c r="G251" s="21" t="n">
        <v>1</v>
      </c>
      <c r="H251" s="17" t="inlineStr">
        <is>
          <t>Sim</t>
        </is>
      </c>
      <c r="I251" s="23" t="n">
        <v>162326.85</v>
      </c>
      <c r="J251" s="24">
        <f>(D251*Premissas!$B$24+(2*ROUNDUP(D251/2,0))*Premissas!$B$26+INT((2*ROUNDUP(D251/2,0))/4)*Premissas!$B$27+MOD((2*ROUNDUP(D251/2,0)),4)/2*Premissas!$B$28+2*IF(D251&lt;=19,3*D251,IF(D251&lt;=50,ROUNDUP(2.5*D251,0),2*D251))*Premissas!$B$29+IF(C251="Micro",G251*(Premissas!$B$31+Premissas!$B$32+4*Premissas!$B$30),G251*(INDEX(Premissas!$B$40:$B$71,MATCH(F251,Premissas!$A$40:$A$71,0))+INDEX(Premissas!$C$40:$C$71,MATCH(F251,Premissas!$A$40:$A$71,0))*Premissas!$B$30)))</f>
        <v/>
      </c>
      <c r="K251" s="24">
        <f>IF(J251&lt;Premissas!$B$36,MAX(Premissas!$B$33,J251*Premissas!$B$34),J251*Premissas!$B$35)</f>
        <v/>
      </c>
      <c r="L251" s="24">
        <f>ROUND(J251+K251,2)</f>
        <v/>
      </c>
      <c r="M251" s="24">
        <f>D251*Premissas!$B$8+Premissas!$B$9+Premissas!$B$10+Premissas!$B$11+Premissas!$B$12+ROUND(Premissas!$B$13*E251,2)</f>
        <v/>
      </c>
      <c r="N251" s="25">
        <f>ROUNDUP((L251+M251-Premissas!$B$5*L251)/(1-Premissas!$B$6-Premissas!$B$7-Premissas!$B$5-Premissas!$B$14),2)</f>
        <v/>
      </c>
      <c r="O251" s="24">
        <f>ROUND(IF(N251&lt;=30000,N251*(1+Premissas!$B$21),N251+Premissas!$B$21*30000*SQRT(N251/30000)),2)</f>
        <v/>
      </c>
      <c r="P251" s="24">
        <f>N251-I251</f>
        <v/>
      </c>
      <c r="Q251" s="26">
        <f>P251/I251</f>
        <v/>
      </c>
      <c r="R251" s="26">
        <f>(I251-L251-Premissas!$B$5*(I251-L251)-(Premissas!$B$6+Premissas!$B$7)*I251-M251)/I251</f>
        <v/>
      </c>
      <c r="S251" s="24">
        <f>ROUND((CEILING((L251*Premissas!$B$17/Premissas!$B$18-97)/100,1)*100+97)*Premissas!$B$18,2)</f>
        <v/>
      </c>
    </row>
    <row r="252">
      <c r="A252" s="17" t="inlineStr">
        <is>
          <t>KIT 117 MOD. 620W + INV. GROWATT 50KW</t>
        </is>
      </c>
      <c r="B252" s="17" t="inlineStr">
        <is>
          <t>GROWATT</t>
        </is>
      </c>
      <c r="C252" s="17" t="inlineStr">
        <is>
          <t>Inversor</t>
        </is>
      </c>
      <c r="D252" s="21" t="n">
        <v>117</v>
      </c>
      <c r="E252" s="30" t="n">
        <v>72.54000000000001</v>
      </c>
      <c r="F252" s="20" t="inlineStr">
        <is>
          <t>GROWATT MAX 50K TL3-XL2 LV-TRI 220V</t>
        </is>
      </c>
      <c r="G252" s="21" t="n">
        <v>1</v>
      </c>
      <c r="H252" s="17" t="inlineStr">
        <is>
          <t>Sim</t>
        </is>
      </c>
      <c r="I252" s="23" t="n">
        <v>163691.85</v>
      </c>
      <c r="J252" s="24">
        <f>(D252*Premissas!$B$24+(2*ROUNDUP(D252/2,0))*Premissas!$B$26+INT((2*ROUNDUP(D252/2,0))/4)*Premissas!$B$27+MOD((2*ROUNDUP(D252/2,0)),4)/2*Premissas!$B$28+2*IF(D252&lt;=19,3*D252,IF(D252&lt;=50,ROUNDUP(2.5*D252,0),2*D252))*Premissas!$B$29+IF(C252="Micro",G252*(Premissas!$B$31+Premissas!$B$32+4*Premissas!$B$30),G252*(INDEX(Premissas!$B$40:$B$71,MATCH(F252,Premissas!$A$40:$A$71,0))+INDEX(Premissas!$C$40:$C$71,MATCH(F252,Premissas!$A$40:$A$71,0))*Premissas!$B$30)))</f>
        <v/>
      </c>
      <c r="K252" s="24">
        <f>IF(J252&lt;Premissas!$B$36,MAX(Premissas!$B$33,J252*Premissas!$B$34),J252*Premissas!$B$35)</f>
        <v/>
      </c>
      <c r="L252" s="24">
        <f>ROUND(J252+K252,2)</f>
        <v/>
      </c>
      <c r="M252" s="24">
        <f>D252*Premissas!$B$8+Premissas!$B$9+Premissas!$B$10+Premissas!$B$11+Premissas!$B$12+ROUND(Premissas!$B$13*E252,2)</f>
        <v/>
      </c>
      <c r="N252" s="25">
        <f>ROUNDUP((L252+M252-Premissas!$B$5*L252)/(1-Premissas!$B$6-Premissas!$B$7-Premissas!$B$5-Premissas!$B$14),2)</f>
        <v/>
      </c>
      <c r="O252" s="24">
        <f>ROUND(IF(N252&lt;=30000,N252*(1+Premissas!$B$21),N252+Premissas!$B$21*30000*SQRT(N252/30000)),2)</f>
        <v/>
      </c>
      <c r="P252" s="24">
        <f>N252-I252</f>
        <v/>
      </c>
      <c r="Q252" s="26">
        <f>P252/I252</f>
        <v/>
      </c>
      <c r="R252" s="26">
        <f>(I252-L252-Premissas!$B$5*(I252-L252)-(Premissas!$B$6+Premissas!$B$7)*I252-M252)/I252</f>
        <v/>
      </c>
      <c r="S252" s="24">
        <f>ROUND((CEILING((L252*Premissas!$B$17/Premissas!$B$18-97)/100,1)*100+97)*Premissas!$B$18,2)</f>
        <v/>
      </c>
    </row>
    <row r="253">
      <c r="A253" s="17" t="inlineStr">
        <is>
          <t>KIT 118 MOD. 620W + INV. GROWATT 50KW</t>
        </is>
      </c>
      <c r="B253" s="17" t="inlineStr">
        <is>
          <t>GROWATT</t>
        </is>
      </c>
      <c r="C253" s="17" t="inlineStr">
        <is>
          <t>Inversor</t>
        </is>
      </c>
      <c r="D253" s="21" t="n">
        <v>118</v>
      </c>
      <c r="E253" s="30" t="n">
        <v>73.16</v>
      </c>
      <c r="F253" s="20" t="inlineStr">
        <is>
          <t>GROWATT MAX 50K TL3-XL2 LV-TRI 220V</t>
        </is>
      </c>
      <c r="G253" s="21" t="n">
        <v>1</v>
      </c>
      <c r="H253" s="17" t="inlineStr">
        <is>
          <t>Sim</t>
        </is>
      </c>
      <c r="I253" s="23" t="n">
        <v>164741.85</v>
      </c>
      <c r="J253" s="24">
        <f>(D253*Premissas!$B$24+(2*ROUNDUP(D253/2,0))*Premissas!$B$26+INT((2*ROUNDUP(D253/2,0))/4)*Premissas!$B$27+MOD((2*ROUNDUP(D253/2,0)),4)/2*Premissas!$B$28+2*IF(D253&lt;=19,3*D253,IF(D253&lt;=50,ROUNDUP(2.5*D253,0),2*D253))*Premissas!$B$29+IF(C253="Micro",G253*(Premissas!$B$31+Premissas!$B$32+4*Premissas!$B$30),G253*(INDEX(Premissas!$B$40:$B$71,MATCH(F253,Premissas!$A$40:$A$71,0))+INDEX(Premissas!$C$40:$C$71,MATCH(F253,Premissas!$A$40:$A$71,0))*Premissas!$B$30)))</f>
        <v/>
      </c>
      <c r="K253" s="24">
        <f>IF(J253&lt;Premissas!$B$36,MAX(Premissas!$B$33,J253*Premissas!$B$34),J253*Premissas!$B$35)</f>
        <v/>
      </c>
      <c r="L253" s="24">
        <f>ROUND(J253+K253,2)</f>
        <v/>
      </c>
      <c r="M253" s="24">
        <f>D253*Premissas!$B$8+Premissas!$B$9+Premissas!$B$10+Premissas!$B$11+Premissas!$B$12+ROUND(Premissas!$B$13*E253,2)</f>
        <v/>
      </c>
      <c r="N253" s="25">
        <f>ROUNDUP((L253+M253-Premissas!$B$5*L253)/(1-Premissas!$B$6-Premissas!$B$7-Premissas!$B$5-Premissas!$B$14),2)</f>
        <v/>
      </c>
      <c r="O253" s="24">
        <f>ROUND(IF(N253&lt;=30000,N253*(1+Premissas!$B$21),N253+Premissas!$B$21*30000*SQRT(N253/30000)),2)</f>
        <v/>
      </c>
      <c r="P253" s="24">
        <f>N253-I253</f>
        <v/>
      </c>
      <c r="Q253" s="26">
        <f>P253/I253</f>
        <v/>
      </c>
      <c r="R253" s="26">
        <f>(I253-L253-Premissas!$B$5*(I253-L253)-(Premissas!$B$6+Premissas!$B$7)*I253-M253)/I253</f>
        <v/>
      </c>
      <c r="S253" s="24">
        <f>ROUND((CEILING((L253*Premissas!$B$17/Premissas!$B$18-97)/100,1)*100+97)*Premissas!$B$18,2)</f>
        <v/>
      </c>
    </row>
    <row r="254">
      <c r="A254" s="17" t="inlineStr">
        <is>
          <t>KIT 119 MOD. 620W + INV. GROWATT 50KW</t>
        </is>
      </c>
      <c r="B254" s="17" t="inlineStr">
        <is>
          <t>GROWATT</t>
        </is>
      </c>
      <c r="C254" s="17" t="inlineStr">
        <is>
          <t>Inversor</t>
        </is>
      </c>
      <c r="D254" s="21" t="n">
        <v>119</v>
      </c>
      <c r="E254" s="30" t="n">
        <v>73.78</v>
      </c>
      <c r="F254" s="20" t="inlineStr">
        <is>
          <t>GROWATT MAX 50K TL3-XL2 LV-TRI 220V</t>
        </is>
      </c>
      <c r="G254" s="21" t="n">
        <v>1</v>
      </c>
      <c r="H254" s="17" t="inlineStr">
        <is>
          <t>Sim</t>
        </is>
      </c>
      <c r="I254" s="23" t="n">
        <v>166001.85</v>
      </c>
      <c r="J254" s="24">
        <f>(D254*Premissas!$B$24+(2*ROUNDUP(D254/2,0))*Premissas!$B$26+INT((2*ROUNDUP(D254/2,0))/4)*Premissas!$B$27+MOD((2*ROUNDUP(D254/2,0)),4)/2*Premissas!$B$28+2*IF(D254&lt;=19,3*D254,IF(D254&lt;=50,ROUNDUP(2.5*D254,0),2*D254))*Premissas!$B$29+IF(C254="Micro",G254*(Premissas!$B$31+Premissas!$B$32+4*Premissas!$B$30),G254*(INDEX(Premissas!$B$40:$B$71,MATCH(F254,Premissas!$A$40:$A$71,0))+INDEX(Premissas!$C$40:$C$71,MATCH(F254,Premissas!$A$40:$A$71,0))*Premissas!$B$30)))</f>
        <v/>
      </c>
      <c r="K254" s="24">
        <f>IF(J254&lt;Premissas!$B$36,MAX(Premissas!$B$33,J254*Premissas!$B$34),J254*Premissas!$B$35)</f>
        <v/>
      </c>
      <c r="L254" s="24">
        <f>ROUND(J254+K254,2)</f>
        <v/>
      </c>
      <c r="M254" s="24">
        <f>D254*Premissas!$B$8+Premissas!$B$9+Premissas!$B$10+Premissas!$B$11+Premissas!$B$12+ROUND(Premissas!$B$13*E254,2)</f>
        <v/>
      </c>
      <c r="N254" s="25">
        <f>ROUNDUP((L254+M254-Premissas!$B$5*L254)/(1-Premissas!$B$6-Premissas!$B$7-Premissas!$B$5-Premissas!$B$14),2)</f>
        <v/>
      </c>
      <c r="O254" s="24">
        <f>ROUND(IF(N254&lt;=30000,N254*(1+Premissas!$B$21),N254+Premissas!$B$21*30000*SQRT(N254/30000)),2)</f>
        <v/>
      </c>
      <c r="P254" s="24">
        <f>N254-I254</f>
        <v/>
      </c>
      <c r="Q254" s="26">
        <f>P254/I254</f>
        <v/>
      </c>
      <c r="R254" s="26">
        <f>(I254-L254-Premissas!$B$5*(I254-L254)-(Premissas!$B$6+Premissas!$B$7)*I254-M254)/I254</f>
        <v/>
      </c>
      <c r="S254" s="24">
        <f>ROUND((CEILING((L254*Premissas!$B$17/Premissas!$B$18-97)/100,1)*100+97)*Premissas!$B$18,2)</f>
        <v/>
      </c>
    </row>
    <row r="255">
      <c r="A255" s="17" t="inlineStr">
        <is>
          <t>KIT 120 MOD. 620W + INV. GROWATT 50KW</t>
        </is>
      </c>
      <c r="B255" s="17" t="inlineStr">
        <is>
          <t>GROWATT</t>
        </is>
      </c>
      <c r="C255" s="17" t="inlineStr">
        <is>
          <t>Inversor</t>
        </is>
      </c>
      <c r="D255" s="21" t="n">
        <v>120</v>
      </c>
      <c r="E255" s="30" t="n">
        <v>74.40000000000001</v>
      </c>
      <c r="F255" s="20" t="inlineStr">
        <is>
          <t>GROWATT MAX 50K TL3-XL2 LV-TRI 220V</t>
        </is>
      </c>
      <c r="G255" s="21" t="n">
        <v>1</v>
      </c>
      <c r="H255" s="17" t="inlineStr">
        <is>
          <t>Sim</t>
        </is>
      </c>
      <c r="I255" s="23" t="n">
        <v>167051.85</v>
      </c>
      <c r="J255" s="24">
        <f>(D255*Premissas!$B$24+(2*ROUNDUP(D255/2,0))*Premissas!$B$26+INT((2*ROUNDUP(D255/2,0))/4)*Premissas!$B$27+MOD((2*ROUNDUP(D255/2,0)),4)/2*Premissas!$B$28+2*IF(D255&lt;=19,3*D255,IF(D255&lt;=50,ROUNDUP(2.5*D255,0),2*D255))*Premissas!$B$29+IF(C255="Micro",G255*(Premissas!$B$31+Premissas!$B$32+4*Premissas!$B$30),G255*(INDEX(Premissas!$B$40:$B$71,MATCH(F255,Premissas!$A$40:$A$71,0))+INDEX(Premissas!$C$40:$C$71,MATCH(F255,Premissas!$A$40:$A$71,0))*Premissas!$B$30)))</f>
        <v/>
      </c>
      <c r="K255" s="24">
        <f>IF(J255&lt;Premissas!$B$36,MAX(Premissas!$B$33,J255*Premissas!$B$34),J255*Premissas!$B$35)</f>
        <v/>
      </c>
      <c r="L255" s="24">
        <f>ROUND(J255+K255,2)</f>
        <v/>
      </c>
      <c r="M255" s="24">
        <f>D255*Premissas!$B$8+Premissas!$B$9+Premissas!$B$10+Premissas!$B$11+Premissas!$B$12+ROUND(Premissas!$B$13*E255,2)</f>
        <v/>
      </c>
      <c r="N255" s="25">
        <f>ROUNDUP((L255+M255-Premissas!$B$5*L255)/(1-Premissas!$B$6-Premissas!$B$7-Premissas!$B$5-Premissas!$B$14),2)</f>
        <v/>
      </c>
      <c r="O255" s="24">
        <f>ROUND(IF(N255&lt;=30000,N255*(1+Premissas!$B$21),N255+Premissas!$B$21*30000*SQRT(N255/30000)),2)</f>
        <v/>
      </c>
      <c r="P255" s="24">
        <f>N255-I255</f>
        <v/>
      </c>
      <c r="Q255" s="26">
        <f>P255/I255</f>
        <v/>
      </c>
      <c r="R255" s="26">
        <f>(I255-L255-Premissas!$B$5*(I255-L255)-(Premissas!$B$6+Premissas!$B$7)*I255-M255)/I255</f>
        <v/>
      </c>
      <c r="S255" s="24">
        <f>ROUND((CEILING((L255*Premissas!$B$17/Premissas!$B$18-97)/100,1)*100+97)*Premissas!$B$18,2)</f>
        <v/>
      </c>
    </row>
    <row r="256">
      <c r="A256" s="17" t="inlineStr">
        <is>
          <t>KIT 121 MOD. 620W + INV. GROWATT 60KW</t>
        </is>
      </c>
      <c r="B256" s="17" t="inlineStr">
        <is>
          <t>GROWATT</t>
        </is>
      </c>
      <c r="C256" s="17" t="inlineStr">
        <is>
          <t>Inversor</t>
        </is>
      </c>
      <c r="D256" s="21" t="n">
        <v>121</v>
      </c>
      <c r="E256" s="30" t="n">
        <v>75.02</v>
      </c>
      <c r="F256" s="20" t="inlineStr">
        <is>
          <t>GROWATT MAX 60K TL3-XL2 LV-TRI 220V</t>
        </is>
      </c>
      <c r="G256" s="21" t="n">
        <v>1</v>
      </c>
      <c r="H256" s="17" t="inlineStr">
        <is>
          <t>Sim</t>
        </is>
      </c>
      <c r="I256" s="23" t="n">
        <v>168416.85</v>
      </c>
      <c r="J256" s="24">
        <f>(D256*Premissas!$B$24+(2*ROUNDUP(D256/2,0))*Premissas!$B$26+INT((2*ROUNDUP(D256/2,0))/4)*Premissas!$B$27+MOD((2*ROUNDUP(D256/2,0)),4)/2*Premissas!$B$28+2*IF(D256&lt;=19,3*D256,IF(D256&lt;=50,ROUNDUP(2.5*D256,0),2*D256))*Premissas!$B$29+IF(C256="Micro",G256*(Premissas!$B$31+Premissas!$B$32+4*Premissas!$B$30),G256*(INDEX(Premissas!$B$40:$B$71,MATCH(F256,Premissas!$A$40:$A$71,0))+INDEX(Premissas!$C$40:$C$71,MATCH(F256,Premissas!$A$40:$A$71,0))*Premissas!$B$30)))</f>
        <v/>
      </c>
      <c r="K256" s="24">
        <f>IF(J256&lt;Premissas!$B$36,MAX(Premissas!$B$33,J256*Premissas!$B$34),J256*Premissas!$B$35)</f>
        <v/>
      </c>
      <c r="L256" s="24">
        <f>ROUND(J256+K256,2)</f>
        <v/>
      </c>
      <c r="M256" s="24">
        <f>D256*Premissas!$B$8+Premissas!$B$9+Premissas!$B$10+Premissas!$B$11+Premissas!$B$12+ROUND(Premissas!$B$13*E256,2)</f>
        <v/>
      </c>
      <c r="N256" s="25">
        <f>ROUNDUP((L256+M256-Premissas!$B$5*L256)/(1-Premissas!$B$6-Premissas!$B$7-Premissas!$B$5-Premissas!$B$14),2)</f>
        <v/>
      </c>
      <c r="O256" s="24">
        <f>ROUND(IF(N256&lt;=30000,N256*(1+Premissas!$B$21),N256+Premissas!$B$21*30000*SQRT(N256/30000)),2)</f>
        <v/>
      </c>
      <c r="P256" s="24">
        <f>N256-I256</f>
        <v/>
      </c>
      <c r="Q256" s="26">
        <f>P256/I256</f>
        <v/>
      </c>
      <c r="R256" s="26">
        <f>(I256-L256-Premissas!$B$5*(I256-L256)-(Premissas!$B$6+Premissas!$B$7)*I256-M256)/I256</f>
        <v/>
      </c>
      <c r="S256" s="24">
        <f>ROUND((CEILING((L256*Premissas!$B$17/Premissas!$B$18-97)/100,1)*100+97)*Premissas!$B$18,2)</f>
        <v/>
      </c>
    </row>
    <row r="257">
      <c r="A257" s="17" t="inlineStr">
        <is>
          <t>KIT 122 MOD. 620W + INV. GROWATT 60KW</t>
        </is>
      </c>
      <c r="B257" s="17" t="inlineStr">
        <is>
          <t>GROWATT</t>
        </is>
      </c>
      <c r="C257" s="17" t="inlineStr">
        <is>
          <t>Inversor</t>
        </is>
      </c>
      <c r="D257" s="21" t="n">
        <v>122</v>
      </c>
      <c r="E257" s="30" t="n">
        <v>75.64</v>
      </c>
      <c r="F257" s="20" t="inlineStr">
        <is>
          <t>GROWATT MAX 60K TL3-XL2 LV-TRI 220V</t>
        </is>
      </c>
      <c r="G257" s="21" t="n">
        <v>1</v>
      </c>
      <c r="H257" s="17" t="inlineStr">
        <is>
          <t>Sim</t>
        </is>
      </c>
      <c r="I257" s="23" t="n">
        <v>169466.85</v>
      </c>
      <c r="J257" s="24">
        <f>(D257*Premissas!$B$24+(2*ROUNDUP(D257/2,0))*Premissas!$B$26+INT((2*ROUNDUP(D257/2,0))/4)*Premissas!$B$27+MOD((2*ROUNDUP(D257/2,0)),4)/2*Premissas!$B$28+2*IF(D257&lt;=19,3*D257,IF(D257&lt;=50,ROUNDUP(2.5*D257,0),2*D257))*Premissas!$B$29+IF(C257="Micro",G257*(Premissas!$B$31+Premissas!$B$32+4*Premissas!$B$30),G257*(INDEX(Premissas!$B$40:$B$71,MATCH(F257,Premissas!$A$40:$A$71,0))+INDEX(Premissas!$C$40:$C$71,MATCH(F257,Premissas!$A$40:$A$71,0))*Premissas!$B$30)))</f>
        <v/>
      </c>
      <c r="K257" s="24">
        <f>IF(J257&lt;Premissas!$B$36,MAX(Premissas!$B$33,J257*Premissas!$B$34),J257*Premissas!$B$35)</f>
        <v/>
      </c>
      <c r="L257" s="24">
        <f>ROUND(J257+K257,2)</f>
        <v/>
      </c>
      <c r="M257" s="24">
        <f>D257*Premissas!$B$8+Premissas!$B$9+Premissas!$B$10+Premissas!$B$11+Premissas!$B$12+ROUND(Premissas!$B$13*E257,2)</f>
        <v/>
      </c>
      <c r="N257" s="25">
        <f>ROUNDUP((L257+M257-Premissas!$B$5*L257)/(1-Premissas!$B$6-Premissas!$B$7-Premissas!$B$5-Premissas!$B$14),2)</f>
        <v/>
      </c>
      <c r="O257" s="24">
        <f>ROUND(IF(N257&lt;=30000,N257*(1+Premissas!$B$21),N257+Premissas!$B$21*30000*SQRT(N257/30000)),2)</f>
        <v/>
      </c>
      <c r="P257" s="24">
        <f>N257-I257</f>
        <v/>
      </c>
      <c r="Q257" s="26">
        <f>P257/I257</f>
        <v/>
      </c>
      <c r="R257" s="26">
        <f>(I257-L257-Premissas!$B$5*(I257-L257)-(Premissas!$B$6+Premissas!$B$7)*I257-M257)/I257</f>
        <v/>
      </c>
      <c r="S257" s="24">
        <f>ROUND((CEILING((L257*Premissas!$B$17/Premissas!$B$18-97)/100,1)*100+97)*Premissas!$B$18,2)</f>
        <v/>
      </c>
    </row>
    <row r="258">
      <c r="A258" s="17" t="inlineStr">
        <is>
          <t>KIT 123 MOD. 620W + INV. GROWATT 60KW</t>
        </is>
      </c>
      <c r="B258" s="17" t="inlineStr">
        <is>
          <t>GROWATT</t>
        </is>
      </c>
      <c r="C258" s="17" t="inlineStr">
        <is>
          <t>Inversor</t>
        </is>
      </c>
      <c r="D258" s="21" t="n">
        <v>123</v>
      </c>
      <c r="E258" s="30" t="n">
        <v>76.26000000000001</v>
      </c>
      <c r="F258" s="20" t="inlineStr">
        <is>
          <t>GROWATT MAX 60K TL3-XL2 LV-TRI 220V</t>
        </is>
      </c>
      <c r="G258" s="21" t="n">
        <v>1</v>
      </c>
      <c r="H258" s="17" t="inlineStr">
        <is>
          <t>Sim</t>
        </is>
      </c>
      <c r="I258" s="23" t="n">
        <v>170726.85</v>
      </c>
      <c r="J258" s="24">
        <f>(D258*Premissas!$B$24+(2*ROUNDUP(D258/2,0))*Premissas!$B$26+INT((2*ROUNDUP(D258/2,0))/4)*Premissas!$B$27+MOD((2*ROUNDUP(D258/2,0)),4)/2*Premissas!$B$28+2*IF(D258&lt;=19,3*D258,IF(D258&lt;=50,ROUNDUP(2.5*D258,0),2*D258))*Premissas!$B$29+IF(C258="Micro",G258*(Premissas!$B$31+Premissas!$B$32+4*Premissas!$B$30),G258*(INDEX(Premissas!$B$40:$B$71,MATCH(F258,Premissas!$A$40:$A$71,0))+INDEX(Premissas!$C$40:$C$71,MATCH(F258,Premissas!$A$40:$A$71,0))*Premissas!$B$30)))</f>
        <v/>
      </c>
      <c r="K258" s="24">
        <f>IF(J258&lt;Premissas!$B$36,MAX(Premissas!$B$33,J258*Premissas!$B$34),J258*Premissas!$B$35)</f>
        <v/>
      </c>
      <c r="L258" s="24">
        <f>ROUND(J258+K258,2)</f>
        <v/>
      </c>
      <c r="M258" s="24">
        <f>D258*Premissas!$B$8+Premissas!$B$9+Premissas!$B$10+Premissas!$B$11+Premissas!$B$12+ROUND(Premissas!$B$13*E258,2)</f>
        <v/>
      </c>
      <c r="N258" s="25">
        <f>ROUNDUP((L258+M258-Premissas!$B$5*L258)/(1-Premissas!$B$6-Premissas!$B$7-Premissas!$B$5-Premissas!$B$14),2)</f>
        <v/>
      </c>
      <c r="O258" s="24">
        <f>ROUND(IF(N258&lt;=30000,N258*(1+Premissas!$B$21),N258+Premissas!$B$21*30000*SQRT(N258/30000)),2)</f>
        <v/>
      </c>
      <c r="P258" s="24">
        <f>N258-I258</f>
        <v/>
      </c>
      <c r="Q258" s="26">
        <f>P258/I258</f>
        <v/>
      </c>
      <c r="R258" s="26">
        <f>(I258-L258-Premissas!$B$5*(I258-L258)-(Premissas!$B$6+Premissas!$B$7)*I258-M258)/I258</f>
        <v/>
      </c>
      <c r="S258" s="24">
        <f>ROUND((CEILING((L258*Premissas!$B$17/Premissas!$B$18-97)/100,1)*100+97)*Premissas!$B$18,2)</f>
        <v/>
      </c>
    </row>
    <row r="259">
      <c r="A259" s="17" t="inlineStr">
        <is>
          <t>KIT 124 MOD. 620W + INV. GROWATT 60KW</t>
        </is>
      </c>
      <c r="B259" s="17" t="inlineStr">
        <is>
          <t>GROWATT</t>
        </is>
      </c>
      <c r="C259" s="17" t="inlineStr">
        <is>
          <t>Inversor</t>
        </is>
      </c>
      <c r="D259" s="21" t="n">
        <v>124</v>
      </c>
      <c r="E259" s="30" t="n">
        <v>76.88</v>
      </c>
      <c r="F259" s="20" t="inlineStr">
        <is>
          <t>GROWATT MAX 60K TL3-XL2 LV-TRI 220V</t>
        </is>
      </c>
      <c r="G259" s="21" t="n">
        <v>1</v>
      </c>
      <c r="H259" s="17" t="inlineStr">
        <is>
          <t>Sim</t>
        </is>
      </c>
      <c r="I259" s="23" t="n">
        <v>171776.85</v>
      </c>
      <c r="J259" s="24">
        <f>(D259*Premissas!$B$24+(2*ROUNDUP(D259/2,0))*Premissas!$B$26+INT((2*ROUNDUP(D259/2,0))/4)*Premissas!$B$27+MOD((2*ROUNDUP(D259/2,0)),4)/2*Premissas!$B$28+2*IF(D259&lt;=19,3*D259,IF(D259&lt;=50,ROUNDUP(2.5*D259,0),2*D259))*Premissas!$B$29+IF(C259="Micro",G259*(Premissas!$B$31+Premissas!$B$32+4*Premissas!$B$30),G259*(INDEX(Premissas!$B$40:$B$71,MATCH(F259,Premissas!$A$40:$A$71,0))+INDEX(Premissas!$C$40:$C$71,MATCH(F259,Premissas!$A$40:$A$71,0))*Premissas!$B$30)))</f>
        <v/>
      </c>
      <c r="K259" s="24">
        <f>IF(J259&lt;Premissas!$B$36,MAX(Premissas!$B$33,J259*Premissas!$B$34),J259*Premissas!$B$35)</f>
        <v/>
      </c>
      <c r="L259" s="24">
        <f>ROUND(J259+K259,2)</f>
        <v/>
      </c>
      <c r="M259" s="24">
        <f>D259*Premissas!$B$8+Premissas!$B$9+Premissas!$B$10+Premissas!$B$11+Premissas!$B$12+ROUND(Premissas!$B$13*E259,2)</f>
        <v/>
      </c>
      <c r="N259" s="25">
        <f>ROUNDUP((L259+M259-Premissas!$B$5*L259)/(1-Premissas!$B$6-Premissas!$B$7-Premissas!$B$5-Premissas!$B$14),2)</f>
        <v/>
      </c>
      <c r="O259" s="24">
        <f>ROUND(IF(N259&lt;=30000,N259*(1+Premissas!$B$21),N259+Premissas!$B$21*30000*SQRT(N259/30000)),2)</f>
        <v/>
      </c>
      <c r="P259" s="24">
        <f>N259-I259</f>
        <v/>
      </c>
      <c r="Q259" s="26">
        <f>P259/I259</f>
        <v/>
      </c>
      <c r="R259" s="26">
        <f>(I259-L259-Premissas!$B$5*(I259-L259)-(Premissas!$B$6+Premissas!$B$7)*I259-M259)/I259</f>
        <v/>
      </c>
      <c r="S259" s="24">
        <f>ROUND((CEILING((L259*Premissas!$B$17/Premissas!$B$18-97)/100,1)*100+97)*Premissas!$B$18,2)</f>
        <v/>
      </c>
    </row>
    <row r="260">
      <c r="A260" s="17" t="inlineStr">
        <is>
          <t>KIT 125 MOD. 620W + INV. GROWATT 60KW</t>
        </is>
      </c>
      <c r="B260" s="17" t="inlineStr">
        <is>
          <t>GROWATT</t>
        </is>
      </c>
      <c r="C260" s="17" t="inlineStr">
        <is>
          <t>Inversor</t>
        </is>
      </c>
      <c r="D260" s="21" t="n">
        <v>125</v>
      </c>
      <c r="E260" s="30" t="n">
        <v>77.5</v>
      </c>
      <c r="F260" s="20" t="inlineStr">
        <is>
          <t>GROWATT MAX 60K TL3-XL2 LV-TRI 220V</t>
        </is>
      </c>
      <c r="G260" s="21" t="n">
        <v>1</v>
      </c>
      <c r="H260" s="17" t="inlineStr">
        <is>
          <t>Sim</t>
        </is>
      </c>
      <c r="I260" s="23" t="n">
        <v>173141.85</v>
      </c>
      <c r="J260" s="24">
        <f>(D260*Premissas!$B$24+(2*ROUNDUP(D260/2,0))*Premissas!$B$26+INT((2*ROUNDUP(D260/2,0))/4)*Premissas!$B$27+MOD((2*ROUNDUP(D260/2,0)),4)/2*Premissas!$B$28+2*IF(D260&lt;=19,3*D260,IF(D260&lt;=50,ROUNDUP(2.5*D260,0),2*D260))*Premissas!$B$29+IF(C260="Micro",G260*(Premissas!$B$31+Premissas!$B$32+4*Premissas!$B$30),G260*(INDEX(Premissas!$B$40:$B$71,MATCH(F260,Premissas!$A$40:$A$71,0))+INDEX(Premissas!$C$40:$C$71,MATCH(F260,Premissas!$A$40:$A$71,0))*Premissas!$B$30)))</f>
        <v/>
      </c>
      <c r="K260" s="24">
        <f>IF(J260&lt;Premissas!$B$36,MAX(Premissas!$B$33,J260*Premissas!$B$34),J260*Premissas!$B$35)</f>
        <v/>
      </c>
      <c r="L260" s="24">
        <f>ROUND(J260+K260,2)</f>
        <v/>
      </c>
      <c r="M260" s="24">
        <f>D260*Premissas!$B$8+Premissas!$B$9+Premissas!$B$10+Premissas!$B$11+Premissas!$B$12+ROUND(Premissas!$B$13*E260,2)</f>
        <v/>
      </c>
      <c r="N260" s="25">
        <f>ROUNDUP((L260+M260-Premissas!$B$5*L260)/(1-Premissas!$B$6-Premissas!$B$7-Premissas!$B$5-Premissas!$B$14),2)</f>
        <v/>
      </c>
      <c r="O260" s="24">
        <f>ROUND(IF(N260&lt;=30000,N260*(1+Premissas!$B$21),N260+Premissas!$B$21*30000*SQRT(N260/30000)),2)</f>
        <v/>
      </c>
      <c r="P260" s="24">
        <f>N260-I260</f>
        <v/>
      </c>
      <c r="Q260" s="26">
        <f>P260/I260</f>
        <v/>
      </c>
      <c r="R260" s="26">
        <f>(I260-L260-Premissas!$B$5*(I260-L260)-(Premissas!$B$6+Premissas!$B$7)*I260-M260)/I260</f>
        <v/>
      </c>
      <c r="S260" s="24">
        <f>ROUND((CEILING((L260*Premissas!$B$17/Premissas!$B$18-97)/100,1)*100+97)*Premissas!$B$18,2)</f>
        <v/>
      </c>
    </row>
    <row r="261">
      <c r="A261" s="17" t="inlineStr">
        <is>
          <t>KIT 126 MOD. 620W + INV. GROWATT 60KW</t>
        </is>
      </c>
      <c r="B261" s="17" t="inlineStr">
        <is>
          <t>GROWATT</t>
        </is>
      </c>
      <c r="C261" s="17" t="inlineStr">
        <is>
          <t>Inversor</t>
        </is>
      </c>
      <c r="D261" s="21" t="n">
        <v>126</v>
      </c>
      <c r="E261" s="30" t="n">
        <v>78.12</v>
      </c>
      <c r="F261" s="20" t="inlineStr">
        <is>
          <t>GROWATT MAX 60K TL3-XL2 LV-TRI 220V</t>
        </is>
      </c>
      <c r="G261" s="21" t="n">
        <v>1</v>
      </c>
      <c r="H261" s="17" t="inlineStr">
        <is>
          <t>Sim</t>
        </is>
      </c>
      <c r="I261" s="23" t="n">
        <v>174191.85</v>
      </c>
      <c r="J261" s="24">
        <f>(D261*Premissas!$B$24+(2*ROUNDUP(D261/2,0))*Premissas!$B$26+INT((2*ROUNDUP(D261/2,0))/4)*Premissas!$B$27+MOD((2*ROUNDUP(D261/2,0)),4)/2*Premissas!$B$28+2*IF(D261&lt;=19,3*D261,IF(D261&lt;=50,ROUNDUP(2.5*D261,0),2*D261))*Premissas!$B$29+IF(C261="Micro",G261*(Premissas!$B$31+Premissas!$B$32+4*Premissas!$B$30),G261*(INDEX(Premissas!$B$40:$B$71,MATCH(F261,Premissas!$A$40:$A$71,0))+INDEX(Premissas!$C$40:$C$71,MATCH(F261,Premissas!$A$40:$A$71,0))*Premissas!$B$30)))</f>
        <v/>
      </c>
      <c r="K261" s="24">
        <f>IF(J261&lt;Premissas!$B$36,MAX(Premissas!$B$33,J261*Premissas!$B$34),J261*Premissas!$B$35)</f>
        <v/>
      </c>
      <c r="L261" s="24">
        <f>ROUND(J261+K261,2)</f>
        <v/>
      </c>
      <c r="M261" s="24">
        <f>D261*Premissas!$B$8+Premissas!$B$9+Premissas!$B$10+Premissas!$B$11+Premissas!$B$12+ROUND(Premissas!$B$13*E261,2)</f>
        <v/>
      </c>
      <c r="N261" s="25">
        <f>ROUNDUP((L261+M261-Premissas!$B$5*L261)/(1-Premissas!$B$6-Premissas!$B$7-Premissas!$B$5-Premissas!$B$14),2)</f>
        <v/>
      </c>
      <c r="O261" s="24">
        <f>ROUND(IF(N261&lt;=30000,N261*(1+Premissas!$B$21),N261+Premissas!$B$21*30000*SQRT(N261/30000)),2)</f>
        <v/>
      </c>
      <c r="P261" s="24">
        <f>N261-I261</f>
        <v/>
      </c>
      <c r="Q261" s="26">
        <f>P261/I261</f>
        <v/>
      </c>
      <c r="R261" s="26">
        <f>(I261-L261-Premissas!$B$5*(I261-L261)-(Premissas!$B$6+Premissas!$B$7)*I261-M261)/I261</f>
        <v/>
      </c>
      <c r="S261" s="24">
        <f>ROUND((CEILING((L261*Premissas!$B$17/Premissas!$B$18-97)/100,1)*100+97)*Premissas!$B$18,2)</f>
        <v/>
      </c>
    </row>
    <row r="262">
      <c r="A262" s="17" t="inlineStr">
        <is>
          <t>KIT 127 MOD. 620W + INV. GROWATT 60KW</t>
        </is>
      </c>
      <c r="B262" s="17" t="inlineStr">
        <is>
          <t>GROWATT</t>
        </is>
      </c>
      <c r="C262" s="17" t="inlineStr">
        <is>
          <t>Inversor</t>
        </is>
      </c>
      <c r="D262" s="21" t="n">
        <v>127</v>
      </c>
      <c r="E262" s="30" t="n">
        <v>78.73999999999999</v>
      </c>
      <c r="F262" s="20" t="inlineStr">
        <is>
          <t>GROWATT MAX 60K TL3-XL2 LV-TRI 220V</t>
        </is>
      </c>
      <c r="G262" s="21" t="n">
        <v>1</v>
      </c>
      <c r="H262" s="17" t="inlineStr">
        <is>
          <t>Sim</t>
        </is>
      </c>
      <c r="I262" s="23" t="n">
        <v>175451.85</v>
      </c>
      <c r="J262" s="24">
        <f>(D262*Premissas!$B$24+(2*ROUNDUP(D262/2,0))*Premissas!$B$26+INT((2*ROUNDUP(D262/2,0))/4)*Premissas!$B$27+MOD((2*ROUNDUP(D262/2,0)),4)/2*Premissas!$B$28+2*IF(D262&lt;=19,3*D262,IF(D262&lt;=50,ROUNDUP(2.5*D262,0),2*D262))*Premissas!$B$29+IF(C262="Micro",G262*(Premissas!$B$31+Premissas!$B$32+4*Premissas!$B$30),G262*(INDEX(Premissas!$B$40:$B$71,MATCH(F262,Premissas!$A$40:$A$71,0))+INDEX(Premissas!$C$40:$C$71,MATCH(F262,Premissas!$A$40:$A$71,0))*Premissas!$B$30)))</f>
        <v/>
      </c>
      <c r="K262" s="24">
        <f>IF(J262&lt;Premissas!$B$36,MAX(Premissas!$B$33,J262*Premissas!$B$34),J262*Premissas!$B$35)</f>
        <v/>
      </c>
      <c r="L262" s="24">
        <f>ROUND(J262+K262,2)</f>
        <v/>
      </c>
      <c r="M262" s="24">
        <f>D262*Premissas!$B$8+Premissas!$B$9+Premissas!$B$10+Premissas!$B$11+Premissas!$B$12+ROUND(Premissas!$B$13*E262,2)</f>
        <v/>
      </c>
      <c r="N262" s="25">
        <f>ROUNDUP((L262+M262-Premissas!$B$5*L262)/(1-Premissas!$B$6-Premissas!$B$7-Premissas!$B$5-Premissas!$B$14),2)</f>
        <v/>
      </c>
      <c r="O262" s="24">
        <f>ROUND(IF(N262&lt;=30000,N262*(1+Premissas!$B$21),N262+Premissas!$B$21*30000*SQRT(N262/30000)),2)</f>
        <v/>
      </c>
      <c r="P262" s="24">
        <f>N262-I262</f>
        <v/>
      </c>
      <c r="Q262" s="26">
        <f>P262/I262</f>
        <v/>
      </c>
      <c r="R262" s="26">
        <f>(I262-L262-Premissas!$B$5*(I262-L262)-(Premissas!$B$6+Premissas!$B$7)*I262-M262)/I262</f>
        <v/>
      </c>
      <c r="S262" s="24">
        <f>ROUND((CEILING((L262*Premissas!$B$17/Premissas!$B$18-97)/100,1)*100+97)*Premissas!$B$18,2)</f>
        <v/>
      </c>
    </row>
    <row r="263">
      <c r="A263" s="17" t="inlineStr">
        <is>
          <t>KIT 128 MOD. 620W + INV. GROWATT 60KW</t>
        </is>
      </c>
      <c r="B263" s="17" t="inlineStr">
        <is>
          <t>GROWATT</t>
        </is>
      </c>
      <c r="C263" s="17" t="inlineStr">
        <is>
          <t>Inversor</t>
        </is>
      </c>
      <c r="D263" s="21" t="n">
        <v>128</v>
      </c>
      <c r="E263" s="30" t="n">
        <v>79.36</v>
      </c>
      <c r="F263" s="20" t="inlineStr">
        <is>
          <t>GROWATT MAX 60K TL3-XL2 LV-TRI 220V</t>
        </is>
      </c>
      <c r="G263" s="21" t="n">
        <v>1</v>
      </c>
      <c r="H263" s="17" t="inlineStr">
        <is>
          <t>Sim</t>
        </is>
      </c>
      <c r="I263" s="23" t="n">
        <v>176501.85</v>
      </c>
      <c r="J263" s="24">
        <f>(D263*Premissas!$B$24+(2*ROUNDUP(D263/2,0))*Premissas!$B$26+INT((2*ROUNDUP(D263/2,0))/4)*Premissas!$B$27+MOD((2*ROUNDUP(D263/2,0)),4)/2*Premissas!$B$28+2*IF(D263&lt;=19,3*D263,IF(D263&lt;=50,ROUNDUP(2.5*D263,0),2*D263))*Premissas!$B$29+IF(C263="Micro",G263*(Premissas!$B$31+Premissas!$B$32+4*Premissas!$B$30),G263*(INDEX(Premissas!$B$40:$B$71,MATCH(F263,Premissas!$A$40:$A$71,0))+INDEX(Premissas!$C$40:$C$71,MATCH(F263,Premissas!$A$40:$A$71,0))*Premissas!$B$30)))</f>
        <v/>
      </c>
      <c r="K263" s="24">
        <f>IF(J263&lt;Premissas!$B$36,MAX(Premissas!$B$33,J263*Premissas!$B$34),J263*Premissas!$B$35)</f>
        <v/>
      </c>
      <c r="L263" s="24">
        <f>ROUND(J263+K263,2)</f>
        <v/>
      </c>
      <c r="M263" s="24">
        <f>D263*Premissas!$B$8+Premissas!$B$9+Premissas!$B$10+Premissas!$B$11+Premissas!$B$12+ROUND(Premissas!$B$13*E263,2)</f>
        <v/>
      </c>
      <c r="N263" s="25">
        <f>ROUNDUP((L263+M263-Premissas!$B$5*L263)/(1-Premissas!$B$6-Premissas!$B$7-Premissas!$B$5-Premissas!$B$14),2)</f>
        <v/>
      </c>
      <c r="O263" s="24">
        <f>ROUND(IF(N263&lt;=30000,N263*(1+Premissas!$B$21),N263+Premissas!$B$21*30000*SQRT(N263/30000)),2)</f>
        <v/>
      </c>
      <c r="P263" s="24">
        <f>N263-I263</f>
        <v/>
      </c>
      <c r="Q263" s="26">
        <f>P263/I263</f>
        <v/>
      </c>
      <c r="R263" s="26">
        <f>(I263-L263-Premissas!$B$5*(I263-L263)-(Premissas!$B$6+Premissas!$B$7)*I263-M263)/I263</f>
        <v/>
      </c>
      <c r="S263" s="24">
        <f>ROUND((CEILING((L263*Premissas!$B$17/Premissas!$B$18-97)/100,1)*100+97)*Premissas!$B$18,2)</f>
        <v/>
      </c>
    </row>
    <row r="264">
      <c r="A264" s="17" t="inlineStr">
        <is>
          <t>KIT 129 MOD. 620W + INV. GROWATT 60KW</t>
        </is>
      </c>
      <c r="B264" s="17" t="inlineStr">
        <is>
          <t>GROWATT</t>
        </is>
      </c>
      <c r="C264" s="17" t="inlineStr">
        <is>
          <t>Inversor</t>
        </is>
      </c>
      <c r="D264" s="21" t="n">
        <v>129</v>
      </c>
      <c r="E264" s="30" t="n">
        <v>79.98</v>
      </c>
      <c r="F264" s="20" t="inlineStr">
        <is>
          <t>GROWATT MAX 60K TL3-XL2 LV-TRI 220V</t>
        </is>
      </c>
      <c r="G264" s="21" t="n">
        <v>1</v>
      </c>
      <c r="H264" s="17" t="inlineStr">
        <is>
          <t>Sim</t>
        </is>
      </c>
      <c r="I264" s="23" t="n">
        <v>177866.85</v>
      </c>
      <c r="J264" s="24">
        <f>(D264*Premissas!$B$24+(2*ROUNDUP(D264/2,0))*Premissas!$B$26+INT((2*ROUNDUP(D264/2,0))/4)*Premissas!$B$27+MOD((2*ROUNDUP(D264/2,0)),4)/2*Premissas!$B$28+2*IF(D264&lt;=19,3*D264,IF(D264&lt;=50,ROUNDUP(2.5*D264,0),2*D264))*Premissas!$B$29+IF(C264="Micro",G264*(Premissas!$B$31+Premissas!$B$32+4*Premissas!$B$30),G264*(INDEX(Premissas!$B$40:$B$71,MATCH(F264,Premissas!$A$40:$A$71,0))+INDEX(Premissas!$C$40:$C$71,MATCH(F264,Premissas!$A$40:$A$71,0))*Premissas!$B$30)))</f>
        <v/>
      </c>
      <c r="K264" s="24">
        <f>IF(J264&lt;Premissas!$B$36,MAX(Premissas!$B$33,J264*Premissas!$B$34),J264*Premissas!$B$35)</f>
        <v/>
      </c>
      <c r="L264" s="24">
        <f>ROUND(J264+K264,2)</f>
        <v/>
      </c>
      <c r="M264" s="24">
        <f>D264*Premissas!$B$8+Premissas!$B$9+Premissas!$B$10+Premissas!$B$11+Premissas!$B$12+ROUND(Premissas!$B$13*E264,2)</f>
        <v/>
      </c>
      <c r="N264" s="25">
        <f>ROUNDUP((L264+M264-Premissas!$B$5*L264)/(1-Premissas!$B$6-Premissas!$B$7-Premissas!$B$5-Premissas!$B$14),2)</f>
        <v/>
      </c>
      <c r="O264" s="24">
        <f>ROUND(IF(N264&lt;=30000,N264*(1+Premissas!$B$21),N264+Premissas!$B$21*30000*SQRT(N264/30000)),2)</f>
        <v/>
      </c>
      <c r="P264" s="24">
        <f>N264-I264</f>
        <v/>
      </c>
      <c r="Q264" s="26">
        <f>P264/I264</f>
        <v/>
      </c>
      <c r="R264" s="26">
        <f>(I264-L264-Premissas!$B$5*(I264-L264)-(Premissas!$B$6+Premissas!$B$7)*I264-M264)/I264</f>
        <v/>
      </c>
      <c r="S264" s="24">
        <f>ROUND((CEILING((L264*Premissas!$B$17/Premissas!$B$18-97)/100,1)*100+97)*Premissas!$B$18,2)</f>
        <v/>
      </c>
    </row>
    <row r="265">
      <c r="A265" s="17" t="inlineStr">
        <is>
          <t>KIT 130 MOD. 620W + INV. GROWATT 60KW</t>
        </is>
      </c>
      <c r="B265" s="17" t="inlineStr">
        <is>
          <t>GROWATT</t>
        </is>
      </c>
      <c r="C265" s="17" t="inlineStr">
        <is>
          <t>Inversor</t>
        </is>
      </c>
      <c r="D265" s="21" t="n">
        <v>130</v>
      </c>
      <c r="E265" s="30" t="n">
        <v>80.59999999999999</v>
      </c>
      <c r="F265" s="20" t="inlineStr">
        <is>
          <t>GROWATT MAX 60K TL3-XL2 LV-TRI 220V</t>
        </is>
      </c>
      <c r="G265" s="21" t="n">
        <v>1</v>
      </c>
      <c r="H265" s="17" t="inlineStr">
        <is>
          <t>Sim</t>
        </is>
      </c>
      <c r="I265" s="23" t="n">
        <v>178916.85</v>
      </c>
      <c r="J265" s="24">
        <f>(D265*Premissas!$B$24+(2*ROUNDUP(D265/2,0))*Premissas!$B$26+INT((2*ROUNDUP(D265/2,0))/4)*Premissas!$B$27+MOD((2*ROUNDUP(D265/2,0)),4)/2*Premissas!$B$28+2*IF(D265&lt;=19,3*D265,IF(D265&lt;=50,ROUNDUP(2.5*D265,0),2*D265))*Premissas!$B$29+IF(C265="Micro",G265*(Premissas!$B$31+Premissas!$B$32+4*Premissas!$B$30),G265*(INDEX(Premissas!$B$40:$B$71,MATCH(F265,Premissas!$A$40:$A$71,0))+INDEX(Premissas!$C$40:$C$71,MATCH(F265,Premissas!$A$40:$A$71,0))*Premissas!$B$30)))</f>
        <v/>
      </c>
      <c r="K265" s="24">
        <f>IF(J265&lt;Premissas!$B$36,MAX(Premissas!$B$33,J265*Premissas!$B$34),J265*Premissas!$B$35)</f>
        <v/>
      </c>
      <c r="L265" s="24">
        <f>ROUND(J265+K265,2)</f>
        <v/>
      </c>
      <c r="M265" s="24">
        <f>D265*Premissas!$B$8+Premissas!$B$9+Premissas!$B$10+Premissas!$B$11+Premissas!$B$12+ROUND(Premissas!$B$13*E265,2)</f>
        <v/>
      </c>
      <c r="N265" s="25">
        <f>ROUNDUP((L265+M265-Premissas!$B$5*L265)/(1-Premissas!$B$6-Premissas!$B$7-Premissas!$B$5-Premissas!$B$14),2)</f>
        <v/>
      </c>
      <c r="O265" s="24">
        <f>ROUND(IF(N265&lt;=30000,N265*(1+Premissas!$B$21),N265+Premissas!$B$21*30000*SQRT(N265/30000)),2)</f>
        <v/>
      </c>
      <c r="P265" s="24">
        <f>N265-I265</f>
        <v/>
      </c>
      <c r="Q265" s="26">
        <f>P265/I265</f>
        <v/>
      </c>
      <c r="R265" s="26">
        <f>(I265-L265-Premissas!$B$5*(I265-L265)-(Premissas!$B$6+Premissas!$B$7)*I265-M265)/I265</f>
        <v/>
      </c>
      <c r="S265" s="24">
        <f>ROUND((CEILING((L265*Premissas!$B$17/Premissas!$B$18-97)/100,1)*100+97)*Premissas!$B$18,2)</f>
        <v/>
      </c>
    </row>
    <row r="266">
      <c r="A266" s="17" t="inlineStr">
        <is>
          <t>KIT 131 MOD. 620W + INV. GROWATT 60KW</t>
        </is>
      </c>
      <c r="B266" s="17" t="inlineStr">
        <is>
          <t>GROWATT</t>
        </is>
      </c>
      <c r="C266" s="17" t="inlineStr">
        <is>
          <t>Inversor</t>
        </is>
      </c>
      <c r="D266" s="21" t="n">
        <v>131</v>
      </c>
      <c r="E266" s="30" t="n">
        <v>81.22</v>
      </c>
      <c r="F266" s="20" t="inlineStr">
        <is>
          <t>GROWATT MAX 60K TL3-XL2 LV-TRI 220V</t>
        </is>
      </c>
      <c r="G266" s="21" t="n">
        <v>1</v>
      </c>
      <c r="H266" s="17" t="inlineStr">
        <is>
          <t>Sim</t>
        </is>
      </c>
      <c r="I266" s="23" t="n">
        <v>180176.85</v>
      </c>
      <c r="J266" s="24">
        <f>(D266*Premissas!$B$24+(2*ROUNDUP(D266/2,0))*Premissas!$B$26+INT((2*ROUNDUP(D266/2,0))/4)*Premissas!$B$27+MOD((2*ROUNDUP(D266/2,0)),4)/2*Premissas!$B$28+2*IF(D266&lt;=19,3*D266,IF(D266&lt;=50,ROUNDUP(2.5*D266,0),2*D266))*Premissas!$B$29+IF(C266="Micro",G266*(Premissas!$B$31+Premissas!$B$32+4*Premissas!$B$30),G266*(INDEX(Premissas!$B$40:$B$71,MATCH(F266,Premissas!$A$40:$A$71,0))+INDEX(Premissas!$C$40:$C$71,MATCH(F266,Premissas!$A$40:$A$71,0))*Premissas!$B$30)))</f>
        <v/>
      </c>
      <c r="K266" s="24">
        <f>IF(J266&lt;Premissas!$B$36,MAX(Premissas!$B$33,J266*Premissas!$B$34),J266*Premissas!$B$35)</f>
        <v/>
      </c>
      <c r="L266" s="24">
        <f>ROUND(J266+K266,2)</f>
        <v/>
      </c>
      <c r="M266" s="24">
        <f>D266*Premissas!$B$8+Premissas!$B$9+Premissas!$B$10+Premissas!$B$11+Premissas!$B$12+ROUND(Premissas!$B$13*E266,2)</f>
        <v/>
      </c>
      <c r="N266" s="25">
        <f>ROUNDUP((L266+M266-Premissas!$B$5*L266)/(1-Premissas!$B$6-Premissas!$B$7-Premissas!$B$5-Premissas!$B$14),2)</f>
        <v/>
      </c>
      <c r="O266" s="24">
        <f>ROUND(IF(N266&lt;=30000,N266*(1+Premissas!$B$21),N266+Premissas!$B$21*30000*SQRT(N266/30000)),2)</f>
        <v/>
      </c>
      <c r="P266" s="24">
        <f>N266-I266</f>
        <v/>
      </c>
      <c r="Q266" s="26">
        <f>P266/I266</f>
        <v/>
      </c>
      <c r="R266" s="26">
        <f>(I266-L266-Premissas!$B$5*(I266-L266)-(Premissas!$B$6+Premissas!$B$7)*I266-M266)/I266</f>
        <v/>
      </c>
      <c r="S266" s="24">
        <f>ROUND((CEILING((L266*Premissas!$B$17/Premissas!$B$18-97)/100,1)*100+97)*Premissas!$B$18,2)</f>
        <v/>
      </c>
    </row>
    <row r="267">
      <c r="A267" s="17" t="inlineStr">
        <is>
          <t>KIT 132 MOD. 620W + INV. GROWATT 60KW</t>
        </is>
      </c>
      <c r="B267" s="17" t="inlineStr">
        <is>
          <t>GROWATT</t>
        </is>
      </c>
      <c r="C267" s="17" t="inlineStr">
        <is>
          <t>Inversor</t>
        </is>
      </c>
      <c r="D267" s="21" t="n">
        <v>132</v>
      </c>
      <c r="E267" s="30" t="n">
        <v>81.84</v>
      </c>
      <c r="F267" s="20" t="inlineStr">
        <is>
          <t>GROWATT MAX 60K TL3-XL2 LV-TRI 220V</t>
        </is>
      </c>
      <c r="G267" s="21" t="n">
        <v>1</v>
      </c>
      <c r="H267" s="17" t="inlineStr">
        <is>
          <t>Sim</t>
        </is>
      </c>
      <c r="I267" s="23" t="n">
        <v>181226.85</v>
      </c>
      <c r="J267" s="24">
        <f>(D267*Premissas!$B$24+(2*ROUNDUP(D267/2,0))*Premissas!$B$26+INT((2*ROUNDUP(D267/2,0))/4)*Premissas!$B$27+MOD((2*ROUNDUP(D267/2,0)),4)/2*Premissas!$B$28+2*IF(D267&lt;=19,3*D267,IF(D267&lt;=50,ROUNDUP(2.5*D267,0),2*D267))*Premissas!$B$29+IF(C267="Micro",G267*(Premissas!$B$31+Premissas!$B$32+4*Premissas!$B$30),G267*(INDEX(Premissas!$B$40:$B$71,MATCH(F267,Premissas!$A$40:$A$71,0))+INDEX(Premissas!$C$40:$C$71,MATCH(F267,Premissas!$A$40:$A$71,0))*Premissas!$B$30)))</f>
        <v/>
      </c>
      <c r="K267" s="24">
        <f>IF(J267&lt;Premissas!$B$36,MAX(Premissas!$B$33,J267*Premissas!$B$34),J267*Premissas!$B$35)</f>
        <v/>
      </c>
      <c r="L267" s="24">
        <f>ROUND(J267+K267,2)</f>
        <v/>
      </c>
      <c r="M267" s="24">
        <f>D267*Premissas!$B$8+Premissas!$B$9+Premissas!$B$10+Premissas!$B$11+Premissas!$B$12+ROUND(Premissas!$B$13*E267,2)</f>
        <v/>
      </c>
      <c r="N267" s="25">
        <f>ROUNDUP((L267+M267-Premissas!$B$5*L267)/(1-Premissas!$B$6-Premissas!$B$7-Premissas!$B$5-Premissas!$B$14),2)</f>
        <v/>
      </c>
      <c r="O267" s="24">
        <f>ROUND(IF(N267&lt;=30000,N267*(1+Premissas!$B$21),N267+Premissas!$B$21*30000*SQRT(N267/30000)),2)</f>
        <v/>
      </c>
      <c r="P267" s="24">
        <f>N267-I267</f>
        <v/>
      </c>
      <c r="Q267" s="26">
        <f>P267/I267</f>
        <v/>
      </c>
      <c r="R267" s="26">
        <f>(I267-L267-Premissas!$B$5*(I267-L267)-(Premissas!$B$6+Premissas!$B$7)*I267-M267)/I267</f>
        <v/>
      </c>
      <c r="S267" s="24">
        <f>ROUND((CEILING((L267*Premissas!$B$17/Premissas!$B$18-97)/100,1)*100+97)*Premissas!$B$18,2)</f>
        <v/>
      </c>
    </row>
    <row r="268">
      <c r="A268" s="17" t="inlineStr">
        <is>
          <t>KIT 133 MOD. 620W + INV. GROWATT 60KW</t>
        </is>
      </c>
      <c r="B268" s="17" t="inlineStr">
        <is>
          <t>GROWATT</t>
        </is>
      </c>
      <c r="C268" s="17" t="inlineStr">
        <is>
          <t>Inversor</t>
        </is>
      </c>
      <c r="D268" s="21" t="n">
        <v>133</v>
      </c>
      <c r="E268" s="30" t="n">
        <v>82.45999999999999</v>
      </c>
      <c r="F268" s="20" t="inlineStr">
        <is>
          <t>GROWATT MAX 60K TL3-XL2 LV-TRI 220V</t>
        </is>
      </c>
      <c r="G268" s="21" t="n">
        <v>1</v>
      </c>
      <c r="H268" s="17" t="inlineStr">
        <is>
          <t>Sim</t>
        </is>
      </c>
      <c r="I268" s="23" t="n">
        <v>182591.85</v>
      </c>
      <c r="J268" s="24">
        <f>(D268*Premissas!$B$24+(2*ROUNDUP(D268/2,0))*Premissas!$B$26+INT((2*ROUNDUP(D268/2,0))/4)*Premissas!$B$27+MOD((2*ROUNDUP(D268/2,0)),4)/2*Premissas!$B$28+2*IF(D268&lt;=19,3*D268,IF(D268&lt;=50,ROUNDUP(2.5*D268,0),2*D268))*Premissas!$B$29+IF(C268="Micro",G268*(Premissas!$B$31+Premissas!$B$32+4*Premissas!$B$30),G268*(INDEX(Premissas!$B$40:$B$71,MATCH(F268,Premissas!$A$40:$A$71,0))+INDEX(Premissas!$C$40:$C$71,MATCH(F268,Premissas!$A$40:$A$71,0))*Premissas!$B$30)))</f>
        <v/>
      </c>
      <c r="K268" s="24">
        <f>IF(J268&lt;Premissas!$B$36,MAX(Premissas!$B$33,J268*Premissas!$B$34),J268*Premissas!$B$35)</f>
        <v/>
      </c>
      <c r="L268" s="24">
        <f>ROUND(J268+K268,2)</f>
        <v/>
      </c>
      <c r="M268" s="24">
        <f>D268*Premissas!$B$8+Premissas!$B$9+Premissas!$B$10+Premissas!$B$11+Premissas!$B$12+ROUND(Premissas!$B$13*E268,2)</f>
        <v/>
      </c>
      <c r="N268" s="25">
        <f>ROUNDUP((L268+M268-Premissas!$B$5*L268)/(1-Premissas!$B$6-Premissas!$B$7-Premissas!$B$5-Premissas!$B$14),2)</f>
        <v/>
      </c>
      <c r="O268" s="24">
        <f>ROUND(IF(N268&lt;=30000,N268*(1+Premissas!$B$21),N268+Premissas!$B$21*30000*SQRT(N268/30000)),2)</f>
        <v/>
      </c>
      <c r="P268" s="24">
        <f>N268-I268</f>
        <v/>
      </c>
      <c r="Q268" s="26">
        <f>P268/I268</f>
        <v/>
      </c>
      <c r="R268" s="26">
        <f>(I268-L268-Premissas!$B$5*(I268-L268)-(Premissas!$B$6+Premissas!$B$7)*I268-M268)/I268</f>
        <v/>
      </c>
      <c r="S268" s="24">
        <f>ROUND((CEILING((L268*Premissas!$B$17/Premissas!$B$18-97)/100,1)*100+97)*Premissas!$B$18,2)</f>
        <v/>
      </c>
    </row>
    <row r="269">
      <c r="A269" s="17" t="inlineStr">
        <is>
          <t>KIT 134 MOD. 620W + INV. GROWATT 60KW</t>
        </is>
      </c>
      <c r="B269" s="17" t="inlineStr">
        <is>
          <t>GROWATT</t>
        </is>
      </c>
      <c r="C269" s="17" t="inlineStr">
        <is>
          <t>Inversor</t>
        </is>
      </c>
      <c r="D269" s="21" t="n">
        <v>134</v>
      </c>
      <c r="E269" s="30" t="n">
        <v>83.08</v>
      </c>
      <c r="F269" s="20" t="inlineStr">
        <is>
          <t>GROWATT MAX 60K TL3-XL2 LV-TRI 220V</t>
        </is>
      </c>
      <c r="G269" s="21" t="n">
        <v>1</v>
      </c>
      <c r="H269" s="17" t="inlineStr">
        <is>
          <t>Sim</t>
        </is>
      </c>
      <c r="I269" s="23" t="n">
        <v>183536.85</v>
      </c>
      <c r="J269" s="24">
        <f>(D269*Premissas!$B$24+(2*ROUNDUP(D269/2,0))*Premissas!$B$26+INT((2*ROUNDUP(D269/2,0))/4)*Premissas!$B$27+MOD((2*ROUNDUP(D269/2,0)),4)/2*Premissas!$B$28+2*IF(D269&lt;=19,3*D269,IF(D269&lt;=50,ROUNDUP(2.5*D269,0),2*D269))*Premissas!$B$29+IF(C269="Micro",G269*(Premissas!$B$31+Premissas!$B$32+4*Premissas!$B$30),G269*(INDEX(Premissas!$B$40:$B$71,MATCH(F269,Premissas!$A$40:$A$71,0))+INDEX(Premissas!$C$40:$C$71,MATCH(F269,Premissas!$A$40:$A$71,0))*Premissas!$B$30)))</f>
        <v/>
      </c>
      <c r="K269" s="24">
        <f>IF(J269&lt;Premissas!$B$36,MAX(Premissas!$B$33,J269*Premissas!$B$34),J269*Premissas!$B$35)</f>
        <v/>
      </c>
      <c r="L269" s="24">
        <f>ROUND(J269+K269,2)</f>
        <v/>
      </c>
      <c r="M269" s="24">
        <f>D269*Premissas!$B$8+Premissas!$B$9+Premissas!$B$10+Premissas!$B$11+Premissas!$B$12+ROUND(Premissas!$B$13*E269,2)</f>
        <v/>
      </c>
      <c r="N269" s="25">
        <f>ROUNDUP((L269+M269-Premissas!$B$5*L269)/(1-Premissas!$B$6-Premissas!$B$7-Premissas!$B$5-Premissas!$B$14),2)</f>
        <v/>
      </c>
      <c r="O269" s="24">
        <f>ROUND(IF(N269&lt;=30000,N269*(1+Premissas!$B$21),N269+Premissas!$B$21*30000*SQRT(N269/30000)),2)</f>
        <v/>
      </c>
      <c r="P269" s="24">
        <f>N269-I269</f>
        <v/>
      </c>
      <c r="Q269" s="26">
        <f>P269/I269</f>
        <v/>
      </c>
      <c r="R269" s="26">
        <f>(I269-L269-Premissas!$B$5*(I269-L269)-(Premissas!$B$6+Premissas!$B$7)*I269-M269)/I269</f>
        <v/>
      </c>
      <c r="S269" s="24">
        <f>ROUND((CEILING((L269*Premissas!$B$17/Premissas!$B$18-97)/100,1)*100+97)*Premissas!$B$18,2)</f>
        <v/>
      </c>
    </row>
    <row r="270">
      <c r="A270" s="17" t="inlineStr">
        <is>
          <t>KIT 135 MOD. 620W + INV. GROWATT 60KW</t>
        </is>
      </c>
      <c r="B270" s="17" t="inlineStr">
        <is>
          <t>GROWATT</t>
        </is>
      </c>
      <c r="C270" s="17" t="inlineStr">
        <is>
          <t>Inversor</t>
        </is>
      </c>
      <c r="D270" s="21" t="n">
        <v>135</v>
      </c>
      <c r="E270" s="30" t="n">
        <v>83.7</v>
      </c>
      <c r="F270" s="20" t="inlineStr">
        <is>
          <t>GROWATT MAX 60K TL3-XL2 LV-TRI 220V</t>
        </is>
      </c>
      <c r="G270" s="21" t="n">
        <v>1</v>
      </c>
      <c r="H270" s="17" t="inlineStr">
        <is>
          <t>Sim</t>
        </is>
      </c>
      <c r="I270" s="23" t="n">
        <v>184901.85</v>
      </c>
      <c r="J270" s="24">
        <f>(D270*Premissas!$B$24+(2*ROUNDUP(D270/2,0))*Premissas!$B$26+INT((2*ROUNDUP(D270/2,0))/4)*Premissas!$B$27+MOD((2*ROUNDUP(D270/2,0)),4)/2*Premissas!$B$28+2*IF(D270&lt;=19,3*D270,IF(D270&lt;=50,ROUNDUP(2.5*D270,0),2*D270))*Premissas!$B$29+IF(C270="Micro",G270*(Premissas!$B$31+Premissas!$B$32+4*Premissas!$B$30),G270*(INDEX(Premissas!$B$40:$B$71,MATCH(F270,Premissas!$A$40:$A$71,0))+INDEX(Premissas!$C$40:$C$71,MATCH(F270,Premissas!$A$40:$A$71,0))*Premissas!$B$30)))</f>
        <v/>
      </c>
      <c r="K270" s="24">
        <f>IF(J270&lt;Premissas!$B$36,MAX(Premissas!$B$33,J270*Premissas!$B$34),J270*Premissas!$B$35)</f>
        <v/>
      </c>
      <c r="L270" s="24">
        <f>ROUND(J270+K270,2)</f>
        <v/>
      </c>
      <c r="M270" s="24">
        <f>D270*Premissas!$B$8+Premissas!$B$9+Premissas!$B$10+Premissas!$B$11+Premissas!$B$12+ROUND(Premissas!$B$13*E270,2)</f>
        <v/>
      </c>
      <c r="N270" s="25">
        <f>ROUNDUP((L270+M270-Premissas!$B$5*L270)/(1-Premissas!$B$6-Premissas!$B$7-Premissas!$B$5-Premissas!$B$14),2)</f>
        <v/>
      </c>
      <c r="O270" s="24">
        <f>ROUND(IF(N270&lt;=30000,N270*(1+Premissas!$B$21),N270+Premissas!$B$21*30000*SQRT(N270/30000)),2)</f>
        <v/>
      </c>
      <c r="P270" s="24">
        <f>N270-I270</f>
        <v/>
      </c>
      <c r="Q270" s="26">
        <f>P270/I270</f>
        <v/>
      </c>
      <c r="R270" s="26">
        <f>(I270-L270-Premissas!$B$5*(I270-L270)-(Premissas!$B$6+Premissas!$B$7)*I270-M270)/I270</f>
        <v/>
      </c>
      <c r="S270" s="24">
        <f>ROUND((CEILING((L270*Premissas!$B$17/Premissas!$B$18-97)/100,1)*100+97)*Premissas!$B$18,2)</f>
        <v/>
      </c>
    </row>
    <row r="271">
      <c r="A271" s="17" t="inlineStr">
        <is>
          <t>KIT 136 MOD. 620W + INV. GROWATT 60KW</t>
        </is>
      </c>
      <c r="B271" s="17" t="inlineStr">
        <is>
          <t>GROWATT</t>
        </is>
      </c>
      <c r="C271" s="17" t="inlineStr">
        <is>
          <t>Inversor</t>
        </is>
      </c>
      <c r="D271" s="21" t="n">
        <v>136</v>
      </c>
      <c r="E271" s="30" t="n">
        <v>84.31999999999999</v>
      </c>
      <c r="F271" s="20" t="inlineStr">
        <is>
          <t>GROWATT MAX 60K TL3-XL2 LV-TRI 220V</t>
        </is>
      </c>
      <c r="G271" s="21" t="n">
        <v>1</v>
      </c>
      <c r="H271" s="17" t="inlineStr">
        <is>
          <t>Sim</t>
        </is>
      </c>
      <c r="I271" s="23" t="n">
        <v>185951.85</v>
      </c>
      <c r="J271" s="24">
        <f>(D271*Premissas!$B$24+(2*ROUNDUP(D271/2,0))*Premissas!$B$26+INT((2*ROUNDUP(D271/2,0))/4)*Premissas!$B$27+MOD((2*ROUNDUP(D271/2,0)),4)/2*Premissas!$B$28+2*IF(D271&lt;=19,3*D271,IF(D271&lt;=50,ROUNDUP(2.5*D271,0),2*D271))*Premissas!$B$29+IF(C271="Micro",G271*(Premissas!$B$31+Premissas!$B$32+4*Premissas!$B$30),G271*(INDEX(Premissas!$B$40:$B$71,MATCH(F271,Premissas!$A$40:$A$71,0))+INDEX(Premissas!$C$40:$C$71,MATCH(F271,Premissas!$A$40:$A$71,0))*Premissas!$B$30)))</f>
        <v/>
      </c>
      <c r="K271" s="24">
        <f>IF(J271&lt;Premissas!$B$36,MAX(Premissas!$B$33,J271*Premissas!$B$34),J271*Premissas!$B$35)</f>
        <v/>
      </c>
      <c r="L271" s="24">
        <f>ROUND(J271+K271,2)</f>
        <v/>
      </c>
      <c r="M271" s="24">
        <f>D271*Premissas!$B$8+Premissas!$B$9+Premissas!$B$10+Premissas!$B$11+Premissas!$B$12+ROUND(Premissas!$B$13*E271,2)</f>
        <v/>
      </c>
      <c r="N271" s="25">
        <f>ROUNDUP((L271+M271-Premissas!$B$5*L271)/(1-Premissas!$B$6-Premissas!$B$7-Premissas!$B$5-Premissas!$B$14),2)</f>
        <v/>
      </c>
      <c r="O271" s="24">
        <f>ROUND(IF(N271&lt;=30000,N271*(1+Premissas!$B$21),N271+Premissas!$B$21*30000*SQRT(N271/30000)),2)</f>
        <v/>
      </c>
      <c r="P271" s="24">
        <f>N271-I271</f>
        <v/>
      </c>
      <c r="Q271" s="26">
        <f>P271/I271</f>
        <v/>
      </c>
      <c r="R271" s="26">
        <f>(I271-L271-Premissas!$B$5*(I271-L271)-(Premissas!$B$6+Premissas!$B$7)*I271-M271)/I271</f>
        <v/>
      </c>
      <c r="S271" s="24">
        <f>ROUND((CEILING((L271*Premissas!$B$17/Premissas!$B$18-97)/100,1)*100+97)*Premissas!$B$18,2)</f>
        <v/>
      </c>
    </row>
    <row r="272">
      <c r="A272" s="17" t="inlineStr">
        <is>
          <t>KIT 137 MOD. 620W + INV. GROWATT 60KW</t>
        </is>
      </c>
      <c r="B272" s="17" t="inlineStr">
        <is>
          <t>GROWATT</t>
        </is>
      </c>
      <c r="C272" s="17" t="inlineStr">
        <is>
          <t>Inversor</t>
        </is>
      </c>
      <c r="D272" s="21" t="n">
        <v>137</v>
      </c>
      <c r="E272" s="30" t="n">
        <v>84.94</v>
      </c>
      <c r="F272" s="20" t="inlineStr">
        <is>
          <t>GROWATT MAX 60K TL3-XL2 LV-TRI 220V</t>
        </is>
      </c>
      <c r="G272" s="21" t="n">
        <v>1</v>
      </c>
      <c r="H272" s="17" t="inlineStr">
        <is>
          <t>Sim</t>
        </is>
      </c>
      <c r="I272" s="23" t="n">
        <v>187211.85</v>
      </c>
      <c r="J272" s="24">
        <f>(D272*Premissas!$B$24+(2*ROUNDUP(D272/2,0))*Premissas!$B$26+INT((2*ROUNDUP(D272/2,0))/4)*Premissas!$B$27+MOD((2*ROUNDUP(D272/2,0)),4)/2*Premissas!$B$28+2*IF(D272&lt;=19,3*D272,IF(D272&lt;=50,ROUNDUP(2.5*D272,0),2*D272))*Premissas!$B$29+IF(C272="Micro",G272*(Premissas!$B$31+Premissas!$B$32+4*Premissas!$B$30),G272*(INDEX(Premissas!$B$40:$B$71,MATCH(F272,Premissas!$A$40:$A$71,0))+INDEX(Premissas!$C$40:$C$71,MATCH(F272,Premissas!$A$40:$A$71,0))*Premissas!$B$30)))</f>
        <v/>
      </c>
      <c r="K272" s="24">
        <f>IF(J272&lt;Premissas!$B$36,MAX(Premissas!$B$33,J272*Premissas!$B$34),J272*Premissas!$B$35)</f>
        <v/>
      </c>
      <c r="L272" s="24">
        <f>ROUND(J272+K272,2)</f>
        <v/>
      </c>
      <c r="M272" s="24">
        <f>D272*Premissas!$B$8+Premissas!$B$9+Premissas!$B$10+Premissas!$B$11+Premissas!$B$12+ROUND(Premissas!$B$13*E272,2)</f>
        <v/>
      </c>
      <c r="N272" s="25">
        <f>ROUNDUP((L272+M272-Premissas!$B$5*L272)/(1-Premissas!$B$6-Premissas!$B$7-Premissas!$B$5-Premissas!$B$14),2)</f>
        <v/>
      </c>
      <c r="O272" s="24">
        <f>ROUND(IF(N272&lt;=30000,N272*(1+Premissas!$B$21),N272+Premissas!$B$21*30000*SQRT(N272/30000)),2)</f>
        <v/>
      </c>
      <c r="P272" s="24">
        <f>N272-I272</f>
        <v/>
      </c>
      <c r="Q272" s="26">
        <f>P272/I272</f>
        <v/>
      </c>
      <c r="R272" s="26">
        <f>(I272-L272-Premissas!$B$5*(I272-L272)-(Premissas!$B$6+Premissas!$B$7)*I272-M272)/I272</f>
        <v/>
      </c>
      <c r="S272" s="24">
        <f>ROUND((CEILING((L272*Premissas!$B$17/Premissas!$B$18-97)/100,1)*100+97)*Premissas!$B$18,2)</f>
        <v/>
      </c>
    </row>
    <row r="273">
      <c r="A273" s="17" t="inlineStr">
        <is>
          <t>KIT 138 MOD. 620W + INV. GROWATT 60KW</t>
        </is>
      </c>
      <c r="B273" s="17" t="inlineStr">
        <is>
          <t>GROWATT</t>
        </is>
      </c>
      <c r="C273" s="17" t="inlineStr">
        <is>
          <t>Inversor</t>
        </is>
      </c>
      <c r="D273" s="21" t="n">
        <v>138</v>
      </c>
      <c r="E273" s="30" t="n">
        <v>85.56</v>
      </c>
      <c r="F273" s="20" t="inlineStr">
        <is>
          <t>GROWATT MAX 60K TL3-XL2 LV-TRI 220V</t>
        </is>
      </c>
      <c r="G273" s="21" t="n">
        <v>1</v>
      </c>
      <c r="H273" s="17" t="inlineStr">
        <is>
          <t>Sim</t>
        </is>
      </c>
      <c r="I273" s="23" t="n">
        <v>188261.85</v>
      </c>
      <c r="J273" s="24">
        <f>(D273*Premissas!$B$24+(2*ROUNDUP(D273/2,0))*Premissas!$B$26+INT((2*ROUNDUP(D273/2,0))/4)*Premissas!$B$27+MOD((2*ROUNDUP(D273/2,0)),4)/2*Premissas!$B$28+2*IF(D273&lt;=19,3*D273,IF(D273&lt;=50,ROUNDUP(2.5*D273,0),2*D273))*Premissas!$B$29+IF(C273="Micro",G273*(Premissas!$B$31+Premissas!$B$32+4*Premissas!$B$30),G273*(INDEX(Premissas!$B$40:$B$71,MATCH(F273,Premissas!$A$40:$A$71,0))+INDEX(Premissas!$C$40:$C$71,MATCH(F273,Premissas!$A$40:$A$71,0))*Premissas!$B$30)))</f>
        <v/>
      </c>
      <c r="K273" s="24">
        <f>IF(J273&lt;Premissas!$B$36,MAX(Premissas!$B$33,J273*Premissas!$B$34),J273*Premissas!$B$35)</f>
        <v/>
      </c>
      <c r="L273" s="24">
        <f>ROUND(J273+K273,2)</f>
        <v/>
      </c>
      <c r="M273" s="24">
        <f>D273*Premissas!$B$8+Premissas!$B$9+Premissas!$B$10+Premissas!$B$11+Premissas!$B$12+ROUND(Premissas!$B$13*E273,2)</f>
        <v/>
      </c>
      <c r="N273" s="25">
        <f>ROUNDUP((L273+M273-Premissas!$B$5*L273)/(1-Premissas!$B$6-Premissas!$B$7-Premissas!$B$5-Premissas!$B$14),2)</f>
        <v/>
      </c>
      <c r="O273" s="24">
        <f>ROUND(IF(N273&lt;=30000,N273*(1+Premissas!$B$21),N273+Premissas!$B$21*30000*SQRT(N273/30000)),2)</f>
        <v/>
      </c>
      <c r="P273" s="24">
        <f>N273-I273</f>
        <v/>
      </c>
      <c r="Q273" s="26">
        <f>P273/I273</f>
        <v/>
      </c>
      <c r="R273" s="26">
        <f>(I273-L273-Premissas!$B$5*(I273-L273)-(Premissas!$B$6+Premissas!$B$7)*I273-M273)/I273</f>
        <v/>
      </c>
      <c r="S273" s="24">
        <f>ROUND((CEILING((L273*Premissas!$B$17/Premissas!$B$18-97)/100,1)*100+97)*Premissas!$B$18,2)</f>
        <v/>
      </c>
    </row>
    <row r="274">
      <c r="A274" s="17" t="inlineStr">
        <is>
          <t>KIT 139 MOD. 620W + INV. GROWATT 60KW</t>
        </is>
      </c>
      <c r="B274" s="17" t="inlineStr">
        <is>
          <t>GROWATT</t>
        </is>
      </c>
      <c r="C274" s="17" t="inlineStr">
        <is>
          <t>Inversor</t>
        </is>
      </c>
      <c r="D274" s="21" t="n">
        <v>139</v>
      </c>
      <c r="E274" s="30" t="n">
        <v>86.18000000000001</v>
      </c>
      <c r="F274" s="20" t="inlineStr">
        <is>
          <t>GROWATT MAX 60K TL3-XL2 LV-TRI 220V</t>
        </is>
      </c>
      <c r="G274" s="21" t="n">
        <v>1</v>
      </c>
      <c r="H274" s="17" t="inlineStr">
        <is>
          <t>Sim</t>
        </is>
      </c>
      <c r="I274" s="23" t="n">
        <v>189626.85</v>
      </c>
      <c r="J274" s="24">
        <f>(D274*Premissas!$B$24+(2*ROUNDUP(D274/2,0))*Premissas!$B$26+INT((2*ROUNDUP(D274/2,0))/4)*Premissas!$B$27+MOD((2*ROUNDUP(D274/2,0)),4)/2*Premissas!$B$28+2*IF(D274&lt;=19,3*D274,IF(D274&lt;=50,ROUNDUP(2.5*D274,0),2*D274))*Premissas!$B$29+IF(C274="Micro",G274*(Premissas!$B$31+Premissas!$B$32+4*Premissas!$B$30),G274*(INDEX(Premissas!$B$40:$B$71,MATCH(F274,Premissas!$A$40:$A$71,0))+INDEX(Premissas!$C$40:$C$71,MATCH(F274,Premissas!$A$40:$A$71,0))*Premissas!$B$30)))</f>
        <v/>
      </c>
      <c r="K274" s="24">
        <f>IF(J274&lt;Premissas!$B$36,MAX(Premissas!$B$33,J274*Premissas!$B$34),J274*Premissas!$B$35)</f>
        <v/>
      </c>
      <c r="L274" s="24">
        <f>ROUND(J274+K274,2)</f>
        <v/>
      </c>
      <c r="M274" s="24">
        <f>D274*Premissas!$B$8+Premissas!$B$9+Premissas!$B$10+Premissas!$B$11+Premissas!$B$12+ROUND(Premissas!$B$13*E274,2)</f>
        <v/>
      </c>
      <c r="N274" s="25">
        <f>ROUNDUP((L274+M274-Premissas!$B$5*L274)/(1-Premissas!$B$6-Premissas!$B$7-Premissas!$B$5-Premissas!$B$14),2)</f>
        <v/>
      </c>
      <c r="O274" s="24">
        <f>ROUND(IF(N274&lt;=30000,N274*(1+Premissas!$B$21),N274+Premissas!$B$21*30000*SQRT(N274/30000)),2)</f>
        <v/>
      </c>
      <c r="P274" s="24">
        <f>N274-I274</f>
        <v/>
      </c>
      <c r="Q274" s="26">
        <f>P274/I274</f>
        <v/>
      </c>
      <c r="R274" s="26">
        <f>(I274-L274-Premissas!$B$5*(I274-L274)-(Premissas!$B$6+Premissas!$B$7)*I274-M274)/I274</f>
        <v/>
      </c>
      <c r="S274" s="24">
        <f>ROUND((CEILING((L274*Premissas!$B$17/Premissas!$B$18-97)/100,1)*100+97)*Premissas!$B$18,2)</f>
        <v/>
      </c>
    </row>
    <row r="275">
      <c r="A275" s="17" t="inlineStr">
        <is>
          <t>KIT 140 MOD. 620W + INV. GROWATT 60KW</t>
        </is>
      </c>
      <c r="B275" s="17" t="inlineStr">
        <is>
          <t>GROWATT</t>
        </is>
      </c>
      <c r="C275" s="17" t="inlineStr">
        <is>
          <t>Inversor</t>
        </is>
      </c>
      <c r="D275" s="21" t="n">
        <v>140</v>
      </c>
      <c r="E275" s="30" t="n">
        <v>86.8</v>
      </c>
      <c r="F275" s="20" t="inlineStr">
        <is>
          <t>GROWATT MAX 60K TL3-XL2 LV-TRI 220V</t>
        </is>
      </c>
      <c r="G275" s="21" t="n">
        <v>1</v>
      </c>
      <c r="H275" s="17" t="inlineStr">
        <is>
          <t>Sim</t>
        </is>
      </c>
      <c r="I275" s="23" t="n">
        <v>190676.85</v>
      </c>
      <c r="J275" s="24">
        <f>(D275*Premissas!$B$24+(2*ROUNDUP(D275/2,0))*Premissas!$B$26+INT((2*ROUNDUP(D275/2,0))/4)*Premissas!$B$27+MOD((2*ROUNDUP(D275/2,0)),4)/2*Premissas!$B$28+2*IF(D275&lt;=19,3*D275,IF(D275&lt;=50,ROUNDUP(2.5*D275,0),2*D275))*Premissas!$B$29+IF(C275="Micro",G275*(Premissas!$B$31+Premissas!$B$32+4*Premissas!$B$30),G275*(INDEX(Premissas!$B$40:$B$71,MATCH(F275,Premissas!$A$40:$A$71,0))+INDEX(Premissas!$C$40:$C$71,MATCH(F275,Premissas!$A$40:$A$71,0))*Premissas!$B$30)))</f>
        <v/>
      </c>
      <c r="K275" s="24">
        <f>IF(J275&lt;Premissas!$B$36,MAX(Premissas!$B$33,J275*Premissas!$B$34),J275*Premissas!$B$35)</f>
        <v/>
      </c>
      <c r="L275" s="24">
        <f>ROUND(J275+K275,2)</f>
        <v/>
      </c>
      <c r="M275" s="24">
        <f>D275*Premissas!$B$8+Premissas!$B$9+Premissas!$B$10+Premissas!$B$11+Premissas!$B$12+ROUND(Premissas!$B$13*E275,2)</f>
        <v/>
      </c>
      <c r="N275" s="25">
        <f>ROUNDUP((L275+M275-Premissas!$B$5*L275)/(1-Premissas!$B$6-Premissas!$B$7-Premissas!$B$5-Premissas!$B$14),2)</f>
        <v/>
      </c>
      <c r="O275" s="24">
        <f>ROUND(IF(N275&lt;=30000,N275*(1+Premissas!$B$21),N275+Premissas!$B$21*30000*SQRT(N275/30000)),2)</f>
        <v/>
      </c>
      <c r="P275" s="24">
        <f>N275-I275</f>
        <v/>
      </c>
      <c r="Q275" s="26">
        <f>P275/I275</f>
        <v/>
      </c>
      <c r="R275" s="26">
        <f>(I275-L275-Premissas!$B$5*(I275-L275)-(Premissas!$B$6+Premissas!$B$7)*I275-M275)/I275</f>
        <v/>
      </c>
      <c r="S275" s="24">
        <f>ROUND((CEILING((L275*Premissas!$B$17/Premissas!$B$18-97)/100,1)*100+97)*Premissas!$B$18,2)</f>
        <v/>
      </c>
    </row>
    <row r="276">
      <c r="A276" s="17" t="inlineStr">
        <is>
          <t>KIT 141 MOD. 620W + INV. GROWATT 60KW</t>
        </is>
      </c>
      <c r="B276" s="17" t="inlineStr">
        <is>
          <t>GROWATT</t>
        </is>
      </c>
      <c r="C276" s="17" t="inlineStr">
        <is>
          <t>Inversor</t>
        </is>
      </c>
      <c r="D276" s="21" t="n">
        <v>141</v>
      </c>
      <c r="E276" s="30" t="n">
        <v>87.42</v>
      </c>
      <c r="F276" s="20" t="inlineStr">
        <is>
          <t>GROWATT MAX 60K TL3-XL2 LV-TRI 220V</t>
        </is>
      </c>
      <c r="G276" s="21" t="n">
        <v>1</v>
      </c>
      <c r="H276" s="17" t="inlineStr">
        <is>
          <t>Sim</t>
        </is>
      </c>
      <c r="I276" s="23" t="n">
        <v>191936.85</v>
      </c>
      <c r="J276" s="24">
        <f>(D276*Premissas!$B$24+(2*ROUNDUP(D276/2,0))*Premissas!$B$26+INT((2*ROUNDUP(D276/2,0))/4)*Premissas!$B$27+MOD((2*ROUNDUP(D276/2,0)),4)/2*Premissas!$B$28+2*IF(D276&lt;=19,3*D276,IF(D276&lt;=50,ROUNDUP(2.5*D276,0),2*D276))*Premissas!$B$29+IF(C276="Micro",G276*(Premissas!$B$31+Premissas!$B$32+4*Premissas!$B$30),G276*(INDEX(Premissas!$B$40:$B$71,MATCH(F276,Premissas!$A$40:$A$71,0))+INDEX(Premissas!$C$40:$C$71,MATCH(F276,Premissas!$A$40:$A$71,0))*Premissas!$B$30)))</f>
        <v/>
      </c>
      <c r="K276" s="24">
        <f>IF(J276&lt;Premissas!$B$36,MAX(Premissas!$B$33,J276*Premissas!$B$34),J276*Premissas!$B$35)</f>
        <v/>
      </c>
      <c r="L276" s="24">
        <f>ROUND(J276+K276,2)</f>
        <v/>
      </c>
      <c r="M276" s="24">
        <f>D276*Premissas!$B$8+Premissas!$B$9+Premissas!$B$10+Premissas!$B$11+Premissas!$B$12+ROUND(Premissas!$B$13*E276,2)</f>
        <v/>
      </c>
      <c r="N276" s="25">
        <f>ROUNDUP((L276+M276-Premissas!$B$5*L276)/(1-Premissas!$B$6-Premissas!$B$7-Premissas!$B$5-Premissas!$B$14),2)</f>
        <v/>
      </c>
      <c r="O276" s="24">
        <f>ROUND(IF(N276&lt;=30000,N276*(1+Premissas!$B$21),N276+Premissas!$B$21*30000*SQRT(N276/30000)),2)</f>
        <v/>
      </c>
      <c r="P276" s="24">
        <f>N276-I276</f>
        <v/>
      </c>
      <c r="Q276" s="26">
        <f>P276/I276</f>
        <v/>
      </c>
      <c r="R276" s="26">
        <f>(I276-L276-Premissas!$B$5*(I276-L276)-(Premissas!$B$6+Premissas!$B$7)*I276-M276)/I276</f>
        <v/>
      </c>
      <c r="S276" s="24">
        <f>ROUND((CEILING((L276*Premissas!$B$17/Premissas!$B$18-97)/100,1)*100+97)*Premissas!$B$18,2)</f>
        <v/>
      </c>
    </row>
    <row r="277">
      <c r="A277" s="17" t="inlineStr">
        <is>
          <t>KIT 142 MOD. 620W + INV. GROWATT 60KW</t>
        </is>
      </c>
      <c r="B277" s="17" t="inlineStr">
        <is>
          <t>GROWATT</t>
        </is>
      </c>
      <c r="C277" s="17" t="inlineStr">
        <is>
          <t>Inversor</t>
        </is>
      </c>
      <c r="D277" s="21" t="n">
        <v>142</v>
      </c>
      <c r="E277" s="30" t="n">
        <v>88.04000000000001</v>
      </c>
      <c r="F277" s="20" t="inlineStr">
        <is>
          <t>GROWATT MAX 60K TL3-XL2 LV-TRI 220V</t>
        </is>
      </c>
      <c r="G277" s="21" t="n">
        <v>1</v>
      </c>
      <c r="H277" s="17" t="inlineStr">
        <is>
          <t>Sim</t>
        </is>
      </c>
      <c r="I277" s="23" t="n">
        <v>192986.85</v>
      </c>
      <c r="J277" s="24">
        <f>(D277*Premissas!$B$24+(2*ROUNDUP(D277/2,0))*Premissas!$B$26+INT((2*ROUNDUP(D277/2,0))/4)*Premissas!$B$27+MOD((2*ROUNDUP(D277/2,0)),4)/2*Premissas!$B$28+2*IF(D277&lt;=19,3*D277,IF(D277&lt;=50,ROUNDUP(2.5*D277,0),2*D277))*Premissas!$B$29+IF(C277="Micro",G277*(Premissas!$B$31+Premissas!$B$32+4*Premissas!$B$30),G277*(INDEX(Premissas!$B$40:$B$71,MATCH(F277,Premissas!$A$40:$A$71,0))+INDEX(Premissas!$C$40:$C$71,MATCH(F277,Premissas!$A$40:$A$71,0))*Premissas!$B$30)))</f>
        <v/>
      </c>
      <c r="K277" s="24">
        <f>IF(J277&lt;Premissas!$B$36,MAX(Premissas!$B$33,J277*Premissas!$B$34),J277*Premissas!$B$35)</f>
        <v/>
      </c>
      <c r="L277" s="24">
        <f>ROUND(J277+K277,2)</f>
        <v/>
      </c>
      <c r="M277" s="24">
        <f>D277*Premissas!$B$8+Premissas!$B$9+Premissas!$B$10+Premissas!$B$11+Premissas!$B$12+ROUND(Premissas!$B$13*E277,2)</f>
        <v/>
      </c>
      <c r="N277" s="25">
        <f>ROUNDUP((L277+M277-Premissas!$B$5*L277)/(1-Premissas!$B$6-Premissas!$B$7-Premissas!$B$5-Premissas!$B$14),2)</f>
        <v/>
      </c>
      <c r="O277" s="24">
        <f>ROUND(IF(N277&lt;=30000,N277*(1+Premissas!$B$21),N277+Premissas!$B$21*30000*SQRT(N277/30000)),2)</f>
        <v/>
      </c>
      <c r="P277" s="24">
        <f>N277-I277</f>
        <v/>
      </c>
      <c r="Q277" s="26">
        <f>P277/I277</f>
        <v/>
      </c>
      <c r="R277" s="26">
        <f>(I277-L277-Premissas!$B$5*(I277-L277)-(Premissas!$B$6+Premissas!$B$7)*I277-M277)/I277</f>
        <v/>
      </c>
      <c r="S277" s="24">
        <f>ROUND((CEILING((L277*Premissas!$B$17/Premissas!$B$18-97)/100,1)*100+97)*Premissas!$B$18,2)</f>
        <v/>
      </c>
    </row>
    <row r="278">
      <c r="A278" s="17" t="inlineStr">
        <is>
          <t>KIT 143 MOD. 620W + INV. GROWATT 60KW</t>
        </is>
      </c>
      <c r="B278" s="17" t="inlineStr">
        <is>
          <t>GROWATT</t>
        </is>
      </c>
      <c r="C278" s="17" t="inlineStr">
        <is>
          <t>Inversor</t>
        </is>
      </c>
      <c r="D278" s="21" t="n">
        <v>143</v>
      </c>
      <c r="E278" s="30" t="n">
        <v>88.66</v>
      </c>
      <c r="F278" s="20" t="inlineStr">
        <is>
          <t>GROWATT MAX 60K TL3-XL2 LV-TRI 220V</t>
        </is>
      </c>
      <c r="G278" s="21" t="n">
        <v>1</v>
      </c>
      <c r="H278" s="17" t="inlineStr">
        <is>
          <t>Sim</t>
        </is>
      </c>
      <c r="I278" s="23" t="n">
        <v>194246.85</v>
      </c>
      <c r="J278" s="24">
        <f>(D278*Premissas!$B$24+(2*ROUNDUP(D278/2,0))*Premissas!$B$26+INT((2*ROUNDUP(D278/2,0))/4)*Premissas!$B$27+MOD((2*ROUNDUP(D278/2,0)),4)/2*Premissas!$B$28+2*IF(D278&lt;=19,3*D278,IF(D278&lt;=50,ROUNDUP(2.5*D278,0),2*D278))*Premissas!$B$29+IF(C278="Micro",G278*(Premissas!$B$31+Premissas!$B$32+4*Premissas!$B$30),G278*(INDEX(Premissas!$B$40:$B$71,MATCH(F278,Premissas!$A$40:$A$71,0))+INDEX(Premissas!$C$40:$C$71,MATCH(F278,Premissas!$A$40:$A$71,0))*Premissas!$B$30)))</f>
        <v/>
      </c>
      <c r="K278" s="24">
        <f>IF(J278&lt;Premissas!$B$36,MAX(Premissas!$B$33,J278*Premissas!$B$34),J278*Premissas!$B$35)</f>
        <v/>
      </c>
      <c r="L278" s="24">
        <f>ROUND(J278+K278,2)</f>
        <v/>
      </c>
      <c r="M278" s="24">
        <f>D278*Premissas!$B$8+Premissas!$B$9+Premissas!$B$10+Premissas!$B$11+Premissas!$B$12+ROUND(Premissas!$B$13*E278,2)</f>
        <v/>
      </c>
      <c r="N278" s="25">
        <f>ROUNDUP((L278+M278-Premissas!$B$5*L278)/(1-Premissas!$B$6-Premissas!$B$7-Premissas!$B$5-Premissas!$B$14),2)</f>
        <v/>
      </c>
      <c r="O278" s="24">
        <f>ROUND(IF(N278&lt;=30000,N278*(1+Premissas!$B$21),N278+Premissas!$B$21*30000*SQRT(N278/30000)),2)</f>
        <v/>
      </c>
      <c r="P278" s="24">
        <f>N278-I278</f>
        <v/>
      </c>
      <c r="Q278" s="26">
        <f>P278/I278</f>
        <v/>
      </c>
      <c r="R278" s="26">
        <f>(I278-L278-Premissas!$B$5*(I278-L278)-(Premissas!$B$6+Premissas!$B$7)*I278-M278)/I278</f>
        <v/>
      </c>
      <c r="S278" s="24">
        <f>ROUND((CEILING((L278*Premissas!$B$17/Premissas!$B$18-97)/100,1)*100+97)*Premissas!$B$18,2)</f>
        <v/>
      </c>
    </row>
    <row r="279">
      <c r="A279" s="17" t="inlineStr">
        <is>
          <t>KIT 144 MOD. 620W + INV. GROWATT 60KW</t>
        </is>
      </c>
      <c r="B279" s="17" t="inlineStr">
        <is>
          <t>GROWATT</t>
        </is>
      </c>
      <c r="C279" s="17" t="inlineStr">
        <is>
          <t>Inversor</t>
        </is>
      </c>
      <c r="D279" s="21" t="n">
        <v>144</v>
      </c>
      <c r="E279" s="30" t="n">
        <v>89.28</v>
      </c>
      <c r="F279" s="20" t="inlineStr">
        <is>
          <t>GROWATT MAX 60K TL3-XL2 LV-TRI 220V</t>
        </is>
      </c>
      <c r="G279" s="21" t="n">
        <v>1</v>
      </c>
      <c r="H279" s="17" t="inlineStr">
        <is>
          <t>Sim</t>
        </is>
      </c>
      <c r="I279" s="23" t="n">
        <v>195296.85</v>
      </c>
      <c r="J279" s="24">
        <f>(D279*Premissas!$B$24+(2*ROUNDUP(D279/2,0))*Premissas!$B$26+INT((2*ROUNDUP(D279/2,0))/4)*Premissas!$B$27+MOD((2*ROUNDUP(D279/2,0)),4)/2*Premissas!$B$28+2*IF(D279&lt;=19,3*D279,IF(D279&lt;=50,ROUNDUP(2.5*D279,0),2*D279))*Premissas!$B$29+IF(C279="Micro",G279*(Premissas!$B$31+Premissas!$B$32+4*Premissas!$B$30),G279*(INDEX(Premissas!$B$40:$B$71,MATCH(F279,Premissas!$A$40:$A$71,0))+INDEX(Premissas!$C$40:$C$71,MATCH(F279,Premissas!$A$40:$A$71,0))*Premissas!$B$30)))</f>
        <v/>
      </c>
      <c r="K279" s="24">
        <f>IF(J279&lt;Premissas!$B$36,MAX(Premissas!$B$33,J279*Premissas!$B$34),J279*Premissas!$B$35)</f>
        <v/>
      </c>
      <c r="L279" s="24">
        <f>ROUND(J279+K279,2)</f>
        <v/>
      </c>
      <c r="M279" s="24">
        <f>D279*Premissas!$B$8+Premissas!$B$9+Premissas!$B$10+Premissas!$B$11+Premissas!$B$12+ROUND(Premissas!$B$13*E279,2)</f>
        <v/>
      </c>
      <c r="N279" s="25">
        <f>ROUNDUP((L279+M279-Premissas!$B$5*L279)/(1-Premissas!$B$6-Premissas!$B$7-Premissas!$B$5-Premissas!$B$14),2)</f>
        <v/>
      </c>
      <c r="O279" s="24">
        <f>ROUND(IF(N279&lt;=30000,N279*(1+Premissas!$B$21),N279+Premissas!$B$21*30000*SQRT(N279/30000)),2)</f>
        <v/>
      </c>
      <c r="P279" s="24">
        <f>N279-I279</f>
        <v/>
      </c>
      <c r="Q279" s="26">
        <f>P279/I279</f>
        <v/>
      </c>
      <c r="R279" s="26">
        <f>(I279-L279-Premissas!$B$5*(I279-L279)-(Premissas!$B$6+Premissas!$B$7)*I279-M279)/I279</f>
        <v/>
      </c>
      <c r="S279" s="24">
        <f>ROUND((CEILING((L279*Premissas!$B$17/Premissas!$B$18-97)/100,1)*100+97)*Premissas!$B$18,2)</f>
        <v/>
      </c>
    </row>
    <row r="280">
      <c r="A280" s="17" t="inlineStr">
        <is>
          <t>KIT 145 MOD. 620W + INV. GROWATT 60KW</t>
        </is>
      </c>
      <c r="B280" s="17" t="inlineStr">
        <is>
          <t>GROWATT</t>
        </is>
      </c>
      <c r="C280" s="17" t="inlineStr">
        <is>
          <t>Inversor</t>
        </is>
      </c>
      <c r="D280" s="21" t="n">
        <v>145</v>
      </c>
      <c r="E280" s="30" t="n">
        <v>89.90000000000001</v>
      </c>
      <c r="F280" s="20" t="inlineStr">
        <is>
          <t>GROWATT MAX 60K TL3-XL2 LV-TRI 220V</t>
        </is>
      </c>
      <c r="G280" s="21" t="n">
        <v>1</v>
      </c>
      <c r="H280" s="17" t="inlineStr">
        <is>
          <t>Sim</t>
        </is>
      </c>
      <c r="I280" s="23" t="n">
        <v>196661.85</v>
      </c>
      <c r="J280" s="24">
        <f>(D280*Premissas!$B$24+(2*ROUNDUP(D280/2,0))*Premissas!$B$26+INT((2*ROUNDUP(D280/2,0))/4)*Premissas!$B$27+MOD((2*ROUNDUP(D280/2,0)),4)/2*Premissas!$B$28+2*IF(D280&lt;=19,3*D280,IF(D280&lt;=50,ROUNDUP(2.5*D280,0),2*D280))*Premissas!$B$29+IF(C280="Micro",G280*(Premissas!$B$31+Premissas!$B$32+4*Premissas!$B$30),G280*(INDEX(Premissas!$B$40:$B$71,MATCH(F280,Premissas!$A$40:$A$71,0))+INDEX(Premissas!$C$40:$C$71,MATCH(F280,Premissas!$A$40:$A$71,0))*Premissas!$B$30)))</f>
        <v/>
      </c>
      <c r="K280" s="24">
        <f>IF(J280&lt;Premissas!$B$36,MAX(Premissas!$B$33,J280*Premissas!$B$34),J280*Premissas!$B$35)</f>
        <v/>
      </c>
      <c r="L280" s="24">
        <f>ROUND(J280+K280,2)</f>
        <v/>
      </c>
      <c r="M280" s="24">
        <f>D280*Premissas!$B$8+Premissas!$B$9+Premissas!$B$10+Premissas!$B$11+Premissas!$B$12+ROUND(Premissas!$B$13*E280,2)</f>
        <v/>
      </c>
      <c r="N280" s="25">
        <f>ROUNDUP((L280+M280-Premissas!$B$5*L280)/(1-Premissas!$B$6-Premissas!$B$7-Premissas!$B$5-Premissas!$B$14),2)</f>
        <v/>
      </c>
      <c r="O280" s="24">
        <f>ROUND(IF(N280&lt;=30000,N280*(1+Premissas!$B$21),N280+Premissas!$B$21*30000*SQRT(N280/30000)),2)</f>
        <v/>
      </c>
      <c r="P280" s="24">
        <f>N280-I280</f>
        <v/>
      </c>
      <c r="Q280" s="26">
        <f>P280/I280</f>
        <v/>
      </c>
      <c r="R280" s="26">
        <f>(I280-L280-Premissas!$B$5*(I280-L280)-(Premissas!$B$6+Premissas!$B$7)*I280-M280)/I280</f>
        <v/>
      </c>
      <c r="S280" s="24">
        <f>ROUND((CEILING((L280*Premissas!$B$17/Premissas!$B$18-97)/100,1)*100+97)*Premissas!$B$18,2)</f>
        <v/>
      </c>
    </row>
    <row r="281">
      <c r="A281" s="17" t="inlineStr">
        <is>
          <t>KIT 146 MOD. 620W + INV. GROWATT 75KW</t>
        </is>
      </c>
      <c r="B281" s="17" t="inlineStr">
        <is>
          <t>GROWATT</t>
        </is>
      </c>
      <c r="C281" s="17" t="inlineStr">
        <is>
          <t>Inversor</t>
        </is>
      </c>
      <c r="D281" s="21" t="n">
        <v>146</v>
      </c>
      <c r="E281" s="30" t="n">
        <v>90.52</v>
      </c>
      <c r="F281" s="20" t="inlineStr">
        <is>
          <t>GROWATT MAX 75K TL3-XL2 LV-TRI 220V</t>
        </is>
      </c>
      <c r="G281" s="21" t="n">
        <v>1</v>
      </c>
      <c r="H281" s="17" t="inlineStr">
        <is>
          <t>Sim</t>
        </is>
      </c>
      <c r="I281" s="23" t="n">
        <v>198341.85</v>
      </c>
      <c r="J281" s="24">
        <f>(D281*Premissas!$B$24+(2*ROUNDUP(D281/2,0))*Premissas!$B$26+INT((2*ROUNDUP(D281/2,0))/4)*Premissas!$B$27+MOD((2*ROUNDUP(D281/2,0)),4)/2*Premissas!$B$28+2*IF(D281&lt;=19,3*D281,IF(D281&lt;=50,ROUNDUP(2.5*D281,0),2*D281))*Premissas!$B$29+IF(C281="Micro",G281*(Premissas!$B$31+Premissas!$B$32+4*Premissas!$B$30),G281*(INDEX(Premissas!$B$40:$B$71,MATCH(F281,Premissas!$A$40:$A$71,0))+INDEX(Premissas!$C$40:$C$71,MATCH(F281,Premissas!$A$40:$A$71,0))*Premissas!$B$30)))</f>
        <v/>
      </c>
      <c r="K281" s="24">
        <f>IF(J281&lt;Premissas!$B$36,MAX(Premissas!$B$33,J281*Premissas!$B$34),J281*Premissas!$B$35)</f>
        <v/>
      </c>
      <c r="L281" s="24">
        <f>ROUND(J281+K281,2)</f>
        <v/>
      </c>
      <c r="M281" s="24">
        <f>D281*Premissas!$B$8+Premissas!$B$9+Premissas!$B$10+Premissas!$B$11+Premissas!$B$12+ROUND(Premissas!$B$13*E281,2)</f>
        <v/>
      </c>
      <c r="N281" s="25">
        <f>ROUNDUP((L281+M281-Premissas!$B$5*L281)/(1-Premissas!$B$6-Premissas!$B$7-Premissas!$B$5-Premissas!$B$14),2)</f>
        <v/>
      </c>
      <c r="O281" s="24">
        <f>ROUND(IF(N281&lt;=30000,N281*(1+Premissas!$B$21),N281+Premissas!$B$21*30000*SQRT(N281/30000)),2)</f>
        <v/>
      </c>
      <c r="P281" s="24">
        <f>N281-I281</f>
        <v/>
      </c>
      <c r="Q281" s="26">
        <f>P281/I281</f>
        <v/>
      </c>
      <c r="R281" s="26">
        <f>(I281-L281-Premissas!$B$5*(I281-L281)-(Premissas!$B$6+Premissas!$B$7)*I281-M281)/I281</f>
        <v/>
      </c>
      <c r="S281" s="24">
        <f>ROUND((CEILING((L281*Premissas!$B$17/Premissas!$B$18-97)/100,1)*100+97)*Premissas!$B$18,2)</f>
        <v/>
      </c>
    </row>
    <row r="282">
      <c r="A282" s="17" t="inlineStr">
        <is>
          <t>KIT 147 MOD. 620W + INV. GROWATT 75KW</t>
        </is>
      </c>
      <c r="B282" s="17" t="inlineStr">
        <is>
          <t>GROWATT</t>
        </is>
      </c>
      <c r="C282" s="17" t="inlineStr">
        <is>
          <t>Inversor</t>
        </is>
      </c>
      <c r="D282" s="21" t="n">
        <v>147</v>
      </c>
      <c r="E282" s="30" t="n">
        <v>91.14</v>
      </c>
      <c r="F282" s="20" t="inlineStr">
        <is>
          <t>GROWATT MAX 75K TL3-XL2 LV-TRI 220V</t>
        </is>
      </c>
      <c r="G282" s="21" t="n">
        <v>1</v>
      </c>
      <c r="H282" s="17" t="inlineStr">
        <is>
          <t>Sim</t>
        </is>
      </c>
      <c r="I282" s="23" t="n">
        <v>199706.85</v>
      </c>
      <c r="J282" s="24">
        <f>(D282*Premissas!$B$24+(2*ROUNDUP(D282/2,0))*Premissas!$B$26+INT((2*ROUNDUP(D282/2,0))/4)*Premissas!$B$27+MOD((2*ROUNDUP(D282/2,0)),4)/2*Premissas!$B$28+2*IF(D282&lt;=19,3*D282,IF(D282&lt;=50,ROUNDUP(2.5*D282,0),2*D282))*Premissas!$B$29+IF(C282="Micro",G282*(Premissas!$B$31+Premissas!$B$32+4*Premissas!$B$30),G282*(INDEX(Premissas!$B$40:$B$71,MATCH(F282,Premissas!$A$40:$A$71,0))+INDEX(Premissas!$C$40:$C$71,MATCH(F282,Premissas!$A$40:$A$71,0))*Premissas!$B$30)))</f>
        <v/>
      </c>
      <c r="K282" s="24">
        <f>IF(J282&lt;Premissas!$B$36,MAX(Premissas!$B$33,J282*Premissas!$B$34),J282*Premissas!$B$35)</f>
        <v/>
      </c>
      <c r="L282" s="24">
        <f>ROUND(J282+K282,2)</f>
        <v/>
      </c>
      <c r="M282" s="24">
        <f>D282*Premissas!$B$8+Premissas!$B$9+Premissas!$B$10+Premissas!$B$11+Premissas!$B$12+ROUND(Premissas!$B$13*E282,2)</f>
        <v/>
      </c>
      <c r="N282" s="25">
        <f>ROUNDUP((L282+M282-Premissas!$B$5*L282)/(1-Premissas!$B$6-Premissas!$B$7-Premissas!$B$5-Premissas!$B$14),2)</f>
        <v/>
      </c>
      <c r="O282" s="24">
        <f>ROUND(IF(N282&lt;=30000,N282*(1+Premissas!$B$21),N282+Premissas!$B$21*30000*SQRT(N282/30000)),2)</f>
        <v/>
      </c>
      <c r="P282" s="24">
        <f>N282-I282</f>
        <v/>
      </c>
      <c r="Q282" s="26">
        <f>P282/I282</f>
        <v/>
      </c>
      <c r="R282" s="26">
        <f>(I282-L282-Premissas!$B$5*(I282-L282)-(Premissas!$B$6+Premissas!$B$7)*I282-M282)/I282</f>
        <v/>
      </c>
      <c r="S282" s="24">
        <f>ROUND((CEILING((L282*Premissas!$B$17/Premissas!$B$18-97)/100,1)*100+97)*Premissas!$B$18,2)</f>
        <v/>
      </c>
    </row>
    <row r="283">
      <c r="A283" s="17" t="inlineStr">
        <is>
          <t>KIT 148 MOD. 620W + INV. GROWATT 75KW</t>
        </is>
      </c>
      <c r="B283" s="17" t="inlineStr">
        <is>
          <t>GROWATT</t>
        </is>
      </c>
      <c r="C283" s="17" t="inlineStr">
        <is>
          <t>Inversor</t>
        </is>
      </c>
      <c r="D283" s="21" t="n">
        <v>148</v>
      </c>
      <c r="E283" s="30" t="n">
        <v>91.76000000000001</v>
      </c>
      <c r="F283" s="20" t="inlineStr">
        <is>
          <t>GROWATT MAX 75K TL3-XL2 LV-TRI 220V</t>
        </is>
      </c>
      <c r="G283" s="21" t="n">
        <v>1</v>
      </c>
      <c r="H283" s="17" t="inlineStr">
        <is>
          <t>Sim</t>
        </is>
      </c>
      <c r="I283" s="23" t="n">
        <v>200651.85</v>
      </c>
      <c r="J283" s="24">
        <f>(D283*Premissas!$B$24+(2*ROUNDUP(D283/2,0))*Premissas!$B$26+INT((2*ROUNDUP(D283/2,0))/4)*Premissas!$B$27+MOD((2*ROUNDUP(D283/2,0)),4)/2*Premissas!$B$28+2*IF(D283&lt;=19,3*D283,IF(D283&lt;=50,ROUNDUP(2.5*D283,0),2*D283))*Premissas!$B$29+IF(C283="Micro",G283*(Premissas!$B$31+Premissas!$B$32+4*Premissas!$B$30),G283*(INDEX(Premissas!$B$40:$B$71,MATCH(F283,Premissas!$A$40:$A$71,0))+INDEX(Premissas!$C$40:$C$71,MATCH(F283,Premissas!$A$40:$A$71,0))*Premissas!$B$30)))</f>
        <v/>
      </c>
      <c r="K283" s="24">
        <f>IF(J283&lt;Premissas!$B$36,MAX(Premissas!$B$33,J283*Premissas!$B$34),J283*Premissas!$B$35)</f>
        <v/>
      </c>
      <c r="L283" s="24">
        <f>ROUND(J283+K283,2)</f>
        <v/>
      </c>
      <c r="M283" s="24">
        <f>D283*Premissas!$B$8+Premissas!$B$9+Premissas!$B$10+Premissas!$B$11+Premissas!$B$12+ROUND(Premissas!$B$13*E283,2)</f>
        <v/>
      </c>
      <c r="N283" s="25">
        <f>ROUNDUP((L283+M283-Premissas!$B$5*L283)/(1-Premissas!$B$6-Premissas!$B$7-Premissas!$B$5-Premissas!$B$14),2)</f>
        <v/>
      </c>
      <c r="O283" s="24">
        <f>ROUND(IF(N283&lt;=30000,N283*(1+Premissas!$B$21),N283+Premissas!$B$21*30000*SQRT(N283/30000)),2)</f>
        <v/>
      </c>
      <c r="P283" s="24">
        <f>N283-I283</f>
        <v/>
      </c>
      <c r="Q283" s="26">
        <f>P283/I283</f>
        <v/>
      </c>
      <c r="R283" s="26">
        <f>(I283-L283-Premissas!$B$5*(I283-L283)-(Premissas!$B$6+Premissas!$B$7)*I283-M283)/I283</f>
        <v/>
      </c>
      <c r="S283" s="24">
        <f>ROUND((CEILING((L283*Premissas!$B$17/Premissas!$B$18-97)/100,1)*100+97)*Premissas!$B$18,2)</f>
        <v/>
      </c>
    </row>
    <row r="284">
      <c r="A284" s="17" t="inlineStr">
        <is>
          <t>KIT 149 MOD. 620W + INV. GROWATT 75KW</t>
        </is>
      </c>
      <c r="B284" s="17" t="inlineStr">
        <is>
          <t>GROWATT</t>
        </is>
      </c>
      <c r="C284" s="17" t="inlineStr">
        <is>
          <t>Inversor</t>
        </is>
      </c>
      <c r="D284" s="21" t="n">
        <v>149</v>
      </c>
      <c r="E284" s="30" t="n">
        <v>92.38</v>
      </c>
      <c r="F284" s="20" t="inlineStr">
        <is>
          <t>GROWATT MAX 75K TL3-XL2 LV-TRI 220V</t>
        </is>
      </c>
      <c r="G284" s="21" t="n">
        <v>1</v>
      </c>
      <c r="H284" s="17" t="inlineStr">
        <is>
          <t>Sim</t>
        </is>
      </c>
      <c r="I284" s="23" t="n">
        <v>202016.85</v>
      </c>
      <c r="J284" s="24">
        <f>(D284*Premissas!$B$24+(2*ROUNDUP(D284/2,0))*Premissas!$B$26+INT((2*ROUNDUP(D284/2,0))/4)*Premissas!$B$27+MOD((2*ROUNDUP(D284/2,0)),4)/2*Premissas!$B$28+2*IF(D284&lt;=19,3*D284,IF(D284&lt;=50,ROUNDUP(2.5*D284,0),2*D284))*Premissas!$B$29+IF(C284="Micro",G284*(Premissas!$B$31+Premissas!$B$32+4*Premissas!$B$30),G284*(INDEX(Premissas!$B$40:$B$71,MATCH(F284,Premissas!$A$40:$A$71,0))+INDEX(Premissas!$C$40:$C$71,MATCH(F284,Premissas!$A$40:$A$71,0))*Premissas!$B$30)))</f>
        <v/>
      </c>
      <c r="K284" s="24">
        <f>IF(J284&lt;Premissas!$B$36,MAX(Premissas!$B$33,J284*Premissas!$B$34),J284*Premissas!$B$35)</f>
        <v/>
      </c>
      <c r="L284" s="24">
        <f>ROUND(J284+K284,2)</f>
        <v/>
      </c>
      <c r="M284" s="24">
        <f>D284*Premissas!$B$8+Premissas!$B$9+Premissas!$B$10+Premissas!$B$11+Premissas!$B$12+ROUND(Premissas!$B$13*E284,2)</f>
        <v/>
      </c>
      <c r="N284" s="25">
        <f>ROUNDUP((L284+M284-Premissas!$B$5*L284)/(1-Premissas!$B$6-Premissas!$B$7-Premissas!$B$5-Premissas!$B$14),2)</f>
        <v/>
      </c>
      <c r="O284" s="24">
        <f>ROUND(IF(N284&lt;=30000,N284*(1+Premissas!$B$21),N284+Premissas!$B$21*30000*SQRT(N284/30000)),2)</f>
        <v/>
      </c>
      <c r="P284" s="24">
        <f>N284-I284</f>
        <v/>
      </c>
      <c r="Q284" s="26">
        <f>P284/I284</f>
        <v/>
      </c>
      <c r="R284" s="26">
        <f>(I284-L284-Premissas!$B$5*(I284-L284)-(Premissas!$B$6+Premissas!$B$7)*I284-M284)/I284</f>
        <v/>
      </c>
      <c r="S284" s="24">
        <f>ROUND((CEILING((L284*Premissas!$B$17/Premissas!$B$18-97)/100,1)*100+97)*Premissas!$B$18,2)</f>
        <v/>
      </c>
    </row>
    <row r="285">
      <c r="A285" s="17" t="inlineStr">
        <is>
          <t>KIT 150 MOD. 620W + INV. GROWATT 75KW</t>
        </is>
      </c>
      <c r="B285" s="17" t="inlineStr">
        <is>
          <t>GROWATT</t>
        </is>
      </c>
      <c r="C285" s="17" t="inlineStr">
        <is>
          <t>Inversor</t>
        </is>
      </c>
      <c r="D285" s="21" t="n">
        <v>150</v>
      </c>
      <c r="E285" s="30" t="n">
        <v>93</v>
      </c>
      <c r="F285" s="20" t="inlineStr">
        <is>
          <t>GROWATT MAX 75K TL3-XL2 LV-TRI 220V</t>
        </is>
      </c>
      <c r="G285" s="21" t="n">
        <v>1</v>
      </c>
      <c r="H285" s="17" t="inlineStr">
        <is>
          <t>Sim</t>
        </is>
      </c>
      <c r="I285" s="23" t="n">
        <v>203066.85</v>
      </c>
      <c r="J285" s="24">
        <f>(D285*Premissas!$B$24+(2*ROUNDUP(D285/2,0))*Premissas!$B$26+INT((2*ROUNDUP(D285/2,0))/4)*Premissas!$B$27+MOD((2*ROUNDUP(D285/2,0)),4)/2*Premissas!$B$28+2*IF(D285&lt;=19,3*D285,IF(D285&lt;=50,ROUNDUP(2.5*D285,0),2*D285))*Premissas!$B$29+IF(C285="Micro",G285*(Premissas!$B$31+Premissas!$B$32+4*Premissas!$B$30),G285*(INDEX(Premissas!$B$40:$B$71,MATCH(F285,Premissas!$A$40:$A$71,0))+INDEX(Premissas!$C$40:$C$71,MATCH(F285,Premissas!$A$40:$A$71,0))*Premissas!$B$30)))</f>
        <v/>
      </c>
      <c r="K285" s="24">
        <f>IF(J285&lt;Premissas!$B$36,MAX(Premissas!$B$33,J285*Premissas!$B$34),J285*Premissas!$B$35)</f>
        <v/>
      </c>
      <c r="L285" s="24">
        <f>ROUND(J285+K285,2)</f>
        <v/>
      </c>
      <c r="M285" s="24">
        <f>D285*Premissas!$B$8+Premissas!$B$9+Premissas!$B$10+Premissas!$B$11+Premissas!$B$12+ROUND(Premissas!$B$13*E285,2)</f>
        <v/>
      </c>
      <c r="N285" s="25">
        <f>ROUNDUP((L285+M285-Premissas!$B$5*L285)/(1-Premissas!$B$6-Premissas!$B$7-Premissas!$B$5-Premissas!$B$14),2)</f>
        <v/>
      </c>
      <c r="O285" s="24">
        <f>ROUND(IF(N285&lt;=30000,N285*(1+Premissas!$B$21),N285+Premissas!$B$21*30000*SQRT(N285/30000)),2)</f>
        <v/>
      </c>
      <c r="P285" s="24">
        <f>N285-I285</f>
        <v/>
      </c>
      <c r="Q285" s="26">
        <f>P285/I285</f>
        <v/>
      </c>
      <c r="R285" s="26">
        <f>(I285-L285-Premissas!$B$5*(I285-L285)-(Premissas!$B$6+Premissas!$B$7)*I285-M285)/I285</f>
        <v/>
      </c>
      <c r="S285" s="24">
        <f>ROUND((CEILING((L285*Premissas!$B$17/Premissas!$B$18-97)/100,1)*100+97)*Premissas!$B$18,2)</f>
        <v/>
      </c>
    </row>
    <row r="286">
      <c r="A286" s="17" t="inlineStr">
        <is>
          <t>KIT 5 MOD. 620W + INV. SOFAR 3,3KW</t>
        </is>
      </c>
      <c r="B286" s="17" t="inlineStr">
        <is>
          <t>SOFAR</t>
        </is>
      </c>
      <c r="C286" s="17" t="inlineStr">
        <is>
          <t>Inversor</t>
        </is>
      </c>
      <c r="D286" s="21" t="n">
        <v>5</v>
      </c>
      <c r="E286" s="30" t="n">
        <v>3.1</v>
      </c>
      <c r="F286" s="20" t="inlineStr">
        <is>
          <t>SOFAR 3300TL-G3</t>
        </is>
      </c>
      <c r="G286" s="21" t="n">
        <v>1</v>
      </c>
      <c r="H286" s="17" t="inlineStr">
        <is>
          <t>Sim</t>
        </is>
      </c>
      <c r="I286" s="23" t="n">
        <v>9236.85</v>
      </c>
      <c r="J286" s="24">
        <f>(D286*Premissas!$B$24+(2*ROUNDUP(D286/2,0))*Premissas!$B$26+INT((2*ROUNDUP(D286/2,0))/4)*Premissas!$B$27+MOD((2*ROUNDUP(D286/2,0)),4)/2*Premissas!$B$28+2*IF(D286&lt;=19,3*D286,IF(D286&lt;=50,ROUNDUP(2.5*D286,0),2*D286))*Premissas!$B$29+IF(C286="Micro",G286*(Premissas!$B$31+Premissas!$B$32+4*Premissas!$B$30),G286*(INDEX(Premissas!$B$40:$B$71,MATCH(F286,Premissas!$A$40:$A$71,0))+INDEX(Premissas!$C$40:$C$71,MATCH(F286,Premissas!$A$40:$A$71,0))*Premissas!$B$30)))</f>
        <v/>
      </c>
      <c r="K286" s="24">
        <f>IF(J286&lt;Premissas!$B$36,MAX(Premissas!$B$33,J286*Premissas!$B$34),J286*Premissas!$B$35)</f>
        <v/>
      </c>
      <c r="L286" s="24">
        <f>ROUND(J286+K286,2)</f>
        <v/>
      </c>
      <c r="M286" s="24">
        <f>D286*Premissas!$B$8+Premissas!$B$9+Premissas!$B$10+Premissas!$B$11+Premissas!$B$12+ROUND(Premissas!$B$13*E286,2)</f>
        <v/>
      </c>
      <c r="N286" s="25">
        <f>ROUNDUP((L286+M286-Premissas!$B$5*L286)/(1-Premissas!$B$6-Premissas!$B$7-Premissas!$B$5-Premissas!$B$14),2)</f>
        <v/>
      </c>
      <c r="O286" s="24">
        <f>ROUND(IF(N286&lt;=30000,N286*(1+Premissas!$B$21),N286+Premissas!$B$21*30000*SQRT(N286/30000)),2)</f>
        <v/>
      </c>
      <c r="P286" s="24">
        <f>N286-I286</f>
        <v/>
      </c>
      <c r="Q286" s="26">
        <f>P286/I286</f>
        <v/>
      </c>
      <c r="R286" s="26">
        <f>(I286-L286-Premissas!$B$5*(I286-L286)-(Premissas!$B$6+Premissas!$B$7)*I286-M286)/I286</f>
        <v/>
      </c>
      <c r="S286" s="24">
        <f>ROUND((CEILING((L286*Premissas!$B$17/Premissas!$B$18-97)/100,1)*100+97)*Premissas!$B$18,2)</f>
        <v/>
      </c>
    </row>
    <row r="287">
      <c r="A287" s="17" t="inlineStr">
        <is>
          <t>KIT 6 MOD. 620W + INV. SOFAR 3,3KW</t>
        </is>
      </c>
      <c r="B287" s="17" t="inlineStr">
        <is>
          <t>SOFAR</t>
        </is>
      </c>
      <c r="C287" s="17" t="inlineStr">
        <is>
          <t>Inversor</t>
        </is>
      </c>
      <c r="D287" s="21" t="n">
        <v>6</v>
      </c>
      <c r="E287" s="30" t="n">
        <v>3.72</v>
      </c>
      <c r="F287" s="20" t="inlineStr">
        <is>
          <t>SOFAR 3300TL-G3</t>
        </is>
      </c>
      <c r="G287" s="21" t="n">
        <v>1</v>
      </c>
      <c r="H287" s="17" t="inlineStr">
        <is>
          <t>Sim</t>
        </is>
      </c>
      <c r="I287" s="23" t="n">
        <v>10286.85</v>
      </c>
      <c r="J287" s="24">
        <f>(D287*Premissas!$B$24+(2*ROUNDUP(D287/2,0))*Premissas!$B$26+INT((2*ROUNDUP(D287/2,0))/4)*Premissas!$B$27+MOD((2*ROUNDUP(D287/2,0)),4)/2*Premissas!$B$28+2*IF(D287&lt;=19,3*D287,IF(D287&lt;=50,ROUNDUP(2.5*D287,0),2*D287))*Premissas!$B$29+IF(C287="Micro",G287*(Premissas!$B$31+Premissas!$B$32+4*Premissas!$B$30),G287*(INDEX(Premissas!$B$40:$B$71,MATCH(F287,Premissas!$A$40:$A$71,0))+INDEX(Premissas!$C$40:$C$71,MATCH(F287,Premissas!$A$40:$A$71,0))*Premissas!$B$30)))</f>
        <v/>
      </c>
      <c r="K287" s="24">
        <f>IF(J287&lt;Premissas!$B$36,MAX(Premissas!$B$33,J287*Premissas!$B$34),J287*Premissas!$B$35)</f>
        <v/>
      </c>
      <c r="L287" s="24">
        <f>ROUND(J287+K287,2)</f>
        <v/>
      </c>
      <c r="M287" s="24">
        <f>D287*Premissas!$B$8+Premissas!$B$9+Premissas!$B$10+Premissas!$B$11+Premissas!$B$12+ROUND(Premissas!$B$13*E287,2)</f>
        <v/>
      </c>
      <c r="N287" s="25">
        <f>ROUNDUP((L287+M287-Premissas!$B$5*L287)/(1-Premissas!$B$6-Premissas!$B$7-Premissas!$B$5-Premissas!$B$14),2)</f>
        <v/>
      </c>
      <c r="O287" s="24">
        <f>ROUND(IF(N287&lt;=30000,N287*(1+Premissas!$B$21),N287+Premissas!$B$21*30000*SQRT(N287/30000)),2)</f>
        <v/>
      </c>
      <c r="P287" s="24">
        <f>N287-I287</f>
        <v/>
      </c>
      <c r="Q287" s="26">
        <f>P287/I287</f>
        <v/>
      </c>
      <c r="R287" s="26">
        <f>(I287-L287-Premissas!$B$5*(I287-L287)-(Premissas!$B$6+Premissas!$B$7)*I287-M287)/I287</f>
        <v/>
      </c>
      <c r="S287" s="24">
        <f>ROUND((CEILING((L287*Premissas!$B$17/Premissas!$B$18-97)/100,1)*100+97)*Premissas!$B$18,2)</f>
        <v/>
      </c>
    </row>
    <row r="288">
      <c r="A288" s="17" t="inlineStr">
        <is>
          <t>KIT 7 MOD. 620W + INV. SOFAR 3,3KW</t>
        </is>
      </c>
      <c r="B288" s="17" t="inlineStr">
        <is>
          <t>SOFAR</t>
        </is>
      </c>
      <c r="C288" s="17" t="inlineStr">
        <is>
          <t>Inversor</t>
        </is>
      </c>
      <c r="D288" s="21" t="n">
        <v>7</v>
      </c>
      <c r="E288" s="30" t="n">
        <v>4.34</v>
      </c>
      <c r="F288" s="20" t="inlineStr">
        <is>
          <t>SOFAR 3300TL-G3</t>
        </is>
      </c>
      <c r="G288" s="21" t="n">
        <v>1</v>
      </c>
      <c r="H288" s="17" t="inlineStr">
        <is>
          <t>Sim</t>
        </is>
      </c>
      <c r="I288" s="23" t="n">
        <v>11651.85</v>
      </c>
      <c r="J288" s="24">
        <f>(D288*Premissas!$B$24+(2*ROUNDUP(D288/2,0))*Premissas!$B$26+INT((2*ROUNDUP(D288/2,0))/4)*Premissas!$B$27+MOD((2*ROUNDUP(D288/2,0)),4)/2*Premissas!$B$28+2*IF(D288&lt;=19,3*D288,IF(D288&lt;=50,ROUNDUP(2.5*D288,0),2*D288))*Premissas!$B$29+IF(C288="Micro",G288*(Premissas!$B$31+Premissas!$B$32+4*Premissas!$B$30),G288*(INDEX(Premissas!$B$40:$B$71,MATCH(F288,Premissas!$A$40:$A$71,0))+INDEX(Premissas!$C$40:$C$71,MATCH(F288,Premissas!$A$40:$A$71,0))*Premissas!$B$30)))</f>
        <v/>
      </c>
      <c r="K288" s="24">
        <f>IF(J288&lt;Premissas!$B$36,MAX(Premissas!$B$33,J288*Premissas!$B$34),J288*Premissas!$B$35)</f>
        <v/>
      </c>
      <c r="L288" s="24">
        <f>ROUND(J288+K288,2)</f>
        <v/>
      </c>
      <c r="M288" s="24">
        <f>D288*Premissas!$B$8+Premissas!$B$9+Premissas!$B$10+Premissas!$B$11+Premissas!$B$12+ROUND(Premissas!$B$13*E288,2)</f>
        <v/>
      </c>
      <c r="N288" s="25">
        <f>ROUNDUP((L288+M288-Premissas!$B$5*L288)/(1-Premissas!$B$6-Premissas!$B$7-Premissas!$B$5-Premissas!$B$14),2)</f>
        <v/>
      </c>
      <c r="O288" s="24">
        <f>ROUND(IF(N288&lt;=30000,N288*(1+Premissas!$B$21),N288+Premissas!$B$21*30000*SQRT(N288/30000)),2)</f>
        <v/>
      </c>
      <c r="P288" s="24">
        <f>N288-I288</f>
        <v/>
      </c>
      <c r="Q288" s="26">
        <f>P288/I288</f>
        <v/>
      </c>
      <c r="R288" s="26">
        <f>(I288-L288-Premissas!$B$5*(I288-L288)-(Premissas!$B$6+Premissas!$B$7)*I288-M288)/I288</f>
        <v/>
      </c>
      <c r="S288" s="24">
        <f>ROUND((CEILING((L288*Premissas!$B$17/Premissas!$B$18-97)/100,1)*100+97)*Premissas!$B$18,2)</f>
        <v/>
      </c>
    </row>
    <row r="289">
      <c r="A289" s="17" t="inlineStr">
        <is>
          <t>KIT 8 MOD. 620W + INV. SOFAR 3,3KW</t>
        </is>
      </c>
      <c r="B289" s="17" t="inlineStr">
        <is>
          <t>SOFAR</t>
        </is>
      </c>
      <c r="C289" s="17" t="inlineStr">
        <is>
          <t>Inversor</t>
        </is>
      </c>
      <c r="D289" s="21" t="n">
        <v>8</v>
      </c>
      <c r="E289" s="30" t="n">
        <v>4.96</v>
      </c>
      <c r="F289" s="20" t="inlineStr">
        <is>
          <t>SOFAR 3300TL-G3</t>
        </is>
      </c>
      <c r="G289" s="21" t="n">
        <v>1</v>
      </c>
      <c r="H289" s="17" t="inlineStr">
        <is>
          <t>Sim</t>
        </is>
      </c>
      <c r="I289" s="23" t="n">
        <v>13016.85</v>
      </c>
      <c r="J289" s="24">
        <f>(D289*Premissas!$B$24+(2*ROUNDUP(D289/2,0))*Premissas!$B$26+INT((2*ROUNDUP(D289/2,0))/4)*Premissas!$B$27+MOD((2*ROUNDUP(D289/2,0)),4)/2*Premissas!$B$28+2*IF(D289&lt;=19,3*D289,IF(D289&lt;=50,ROUNDUP(2.5*D289,0),2*D289))*Premissas!$B$29+IF(C289="Micro",G289*(Premissas!$B$31+Premissas!$B$32+4*Premissas!$B$30),G289*(INDEX(Premissas!$B$40:$B$71,MATCH(F289,Premissas!$A$40:$A$71,0))+INDEX(Premissas!$C$40:$C$71,MATCH(F289,Premissas!$A$40:$A$71,0))*Premissas!$B$30)))</f>
        <v/>
      </c>
      <c r="K289" s="24">
        <f>IF(J289&lt;Premissas!$B$36,MAX(Premissas!$B$33,J289*Premissas!$B$34),J289*Premissas!$B$35)</f>
        <v/>
      </c>
      <c r="L289" s="24">
        <f>ROUND(J289+K289,2)</f>
        <v/>
      </c>
      <c r="M289" s="24">
        <f>D289*Premissas!$B$8+Premissas!$B$9+Premissas!$B$10+Premissas!$B$11+Premissas!$B$12+ROUND(Premissas!$B$13*E289,2)</f>
        <v/>
      </c>
      <c r="N289" s="25">
        <f>ROUNDUP((L289+M289-Premissas!$B$5*L289)/(1-Premissas!$B$6-Premissas!$B$7-Premissas!$B$5-Premissas!$B$14),2)</f>
        <v/>
      </c>
      <c r="O289" s="24">
        <f>ROUND(IF(N289&lt;=30000,N289*(1+Premissas!$B$21),N289+Premissas!$B$21*30000*SQRT(N289/30000)),2)</f>
        <v/>
      </c>
      <c r="P289" s="24">
        <f>N289-I289</f>
        <v/>
      </c>
      <c r="Q289" s="26">
        <f>P289/I289</f>
        <v/>
      </c>
      <c r="R289" s="26">
        <f>(I289-L289-Premissas!$B$5*(I289-L289)-(Premissas!$B$6+Premissas!$B$7)*I289-M289)/I289</f>
        <v/>
      </c>
      <c r="S289" s="24">
        <f>ROUND((CEILING((L289*Premissas!$B$17/Premissas!$B$18-97)/100,1)*100+97)*Premissas!$B$18,2)</f>
        <v/>
      </c>
    </row>
    <row r="290">
      <c r="A290" s="17" t="inlineStr">
        <is>
          <t>KIT 9 MOD. 620W + INV. SOFAR 5KW</t>
        </is>
      </c>
      <c r="B290" s="17" t="inlineStr">
        <is>
          <t>SOFAR</t>
        </is>
      </c>
      <c r="C290" s="17" t="inlineStr">
        <is>
          <t>Inversor</t>
        </is>
      </c>
      <c r="D290" s="21" t="n">
        <v>9</v>
      </c>
      <c r="E290" s="30" t="n">
        <v>5.58</v>
      </c>
      <c r="F290" s="20" t="inlineStr">
        <is>
          <t>SOFAR 5KTLM-G3</t>
        </is>
      </c>
      <c r="G290" s="21" t="n">
        <v>1</v>
      </c>
      <c r="H290" s="17" t="inlineStr">
        <is>
          <t>Sim</t>
        </is>
      </c>
      <c r="I290" s="23" t="n">
        <v>14276.85</v>
      </c>
      <c r="J290" s="24">
        <f>(D290*Premissas!$B$24+(2*ROUNDUP(D290/2,0))*Premissas!$B$26+INT((2*ROUNDUP(D290/2,0))/4)*Premissas!$B$27+MOD((2*ROUNDUP(D290/2,0)),4)/2*Premissas!$B$28+2*IF(D290&lt;=19,3*D290,IF(D290&lt;=50,ROUNDUP(2.5*D290,0),2*D290))*Premissas!$B$29+IF(C290="Micro",G290*(Premissas!$B$31+Premissas!$B$32+4*Premissas!$B$30),G290*(INDEX(Premissas!$B$40:$B$71,MATCH(F290,Premissas!$A$40:$A$71,0))+INDEX(Premissas!$C$40:$C$71,MATCH(F290,Premissas!$A$40:$A$71,0))*Premissas!$B$30)))</f>
        <v/>
      </c>
      <c r="K290" s="24">
        <f>IF(J290&lt;Premissas!$B$36,MAX(Premissas!$B$33,J290*Premissas!$B$34),J290*Premissas!$B$35)</f>
        <v/>
      </c>
      <c r="L290" s="24">
        <f>ROUND(J290+K290,2)</f>
        <v/>
      </c>
      <c r="M290" s="24">
        <f>D290*Premissas!$B$8+Premissas!$B$9+Premissas!$B$10+Premissas!$B$11+Premissas!$B$12+ROUND(Premissas!$B$13*E290,2)</f>
        <v/>
      </c>
      <c r="N290" s="25">
        <f>ROUNDUP((L290+M290-Premissas!$B$5*L290)/(1-Premissas!$B$6-Premissas!$B$7-Premissas!$B$5-Premissas!$B$14),2)</f>
        <v/>
      </c>
      <c r="O290" s="24">
        <f>ROUND(IF(N290&lt;=30000,N290*(1+Premissas!$B$21),N290+Premissas!$B$21*30000*SQRT(N290/30000)),2)</f>
        <v/>
      </c>
      <c r="P290" s="24">
        <f>N290-I290</f>
        <v/>
      </c>
      <c r="Q290" s="26">
        <f>P290/I290</f>
        <v/>
      </c>
      <c r="R290" s="26">
        <f>(I290-L290-Premissas!$B$5*(I290-L290)-(Premissas!$B$6+Premissas!$B$7)*I290-M290)/I290</f>
        <v/>
      </c>
      <c r="S290" s="24">
        <f>ROUND((CEILING((L290*Premissas!$B$17/Premissas!$B$18-97)/100,1)*100+97)*Premissas!$B$18,2)</f>
        <v/>
      </c>
    </row>
    <row r="291">
      <c r="A291" s="17" t="inlineStr">
        <is>
          <t>KIT 10 MOD. 620W + INV. SOFAR 5KW</t>
        </is>
      </c>
      <c r="B291" s="17" t="inlineStr">
        <is>
          <t>SOFAR</t>
        </is>
      </c>
      <c r="C291" s="17" t="inlineStr">
        <is>
          <t>Inversor</t>
        </is>
      </c>
      <c r="D291" s="21" t="n">
        <v>10</v>
      </c>
      <c r="E291" s="30" t="n">
        <v>6.2</v>
      </c>
      <c r="F291" s="20" t="inlineStr">
        <is>
          <t>SOFAR 5KTLM-G3</t>
        </is>
      </c>
      <c r="G291" s="21" t="n">
        <v>1</v>
      </c>
      <c r="H291" s="17" t="inlineStr">
        <is>
          <t>Sim</t>
        </is>
      </c>
      <c r="I291" s="23" t="n">
        <v>15326.85</v>
      </c>
      <c r="J291" s="24">
        <f>(D291*Premissas!$B$24+(2*ROUNDUP(D291/2,0))*Premissas!$B$26+INT((2*ROUNDUP(D291/2,0))/4)*Premissas!$B$27+MOD((2*ROUNDUP(D291/2,0)),4)/2*Premissas!$B$28+2*IF(D291&lt;=19,3*D291,IF(D291&lt;=50,ROUNDUP(2.5*D291,0),2*D291))*Premissas!$B$29+IF(C291="Micro",G291*(Premissas!$B$31+Premissas!$B$32+4*Premissas!$B$30),G291*(INDEX(Premissas!$B$40:$B$71,MATCH(F291,Premissas!$A$40:$A$71,0))+INDEX(Premissas!$C$40:$C$71,MATCH(F291,Premissas!$A$40:$A$71,0))*Premissas!$B$30)))</f>
        <v/>
      </c>
      <c r="K291" s="24">
        <f>IF(J291&lt;Premissas!$B$36,MAX(Premissas!$B$33,J291*Premissas!$B$34),J291*Premissas!$B$35)</f>
        <v/>
      </c>
      <c r="L291" s="24">
        <f>ROUND(J291+K291,2)</f>
        <v/>
      </c>
      <c r="M291" s="24">
        <f>D291*Premissas!$B$8+Premissas!$B$9+Premissas!$B$10+Premissas!$B$11+Premissas!$B$12+ROUND(Premissas!$B$13*E291,2)</f>
        <v/>
      </c>
      <c r="N291" s="25">
        <f>ROUNDUP((L291+M291-Premissas!$B$5*L291)/(1-Premissas!$B$6-Premissas!$B$7-Premissas!$B$5-Premissas!$B$14),2)</f>
        <v/>
      </c>
      <c r="O291" s="24">
        <f>ROUND(IF(N291&lt;=30000,N291*(1+Premissas!$B$21),N291+Premissas!$B$21*30000*SQRT(N291/30000)),2)</f>
        <v/>
      </c>
      <c r="P291" s="24">
        <f>N291-I291</f>
        <v/>
      </c>
      <c r="Q291" s="26">
        <f>P291/I291</f>
        <v/>
      </c>
      <c r="R291" s="26">
        <f>(I291-L291-Premissas!$B$5*(I291-L291)-(Premissas!$B$6+Premissas!$B$7)*I291-M291)/I291</f>
        <v/>
      </c>
      <c r="S291" s="24">
        <f>ROUND((CEILING((L291*Premissas!$B$17/Premissas!$B$18-97)/100,1)*100+97)*Premissas!$B$18,2)</f>
        <v/>
      </c>
    </row>
    <row r="292">
      <c r="A292" s="17" t="inlineStr">
        <is>
          <t>KIT 11 MOD. 620W + INV. SOFAR 5KW</t>
        </is>
      </c>
      <c r="B292" s="17" t="inlineStr">
        <is>
          <t>SOFAR</t>
        </is>
      </c>
      <c r="C292" s="17" t="inlineStr">
        <is>
          <t>Inversor</t>
        </is>
      </c>
      <c r="D292" s="21" t="n">
        <v>11</v>
      </c>
      <c r="E292" s="30" t="n">
        <v>6.82</v>
      </c>
      <c r="F292" s="20" t="inlineStr">
        <is>
          <t>SOFAR 5KTLM-G3</t>
        </is>
      </c>
      <c r="G292" s="21" t="n">
        <v>1</v>
      </c>
      <c r="H292" s="17" t="inlineStr">
        <is>
          <t>Sim</t>
        </is>
      </c>
      <c r="I292" s="23" t="n">
        <v>16691.85</v>
      </c>
      <c r="J292" s="24">
        <f>(D292*Premissas!$B$24+(2*ROUNDUP(D292/2,0))*Premissas!$B$26+INT((2*ROUNDUP(D292/2,0))/4)*Premissas!$B$27+MOD((2*ROUNDUP(D292/2,0)),4)/2*Premissas!$B$28+2*IF(D292&lt;=19,3*D292,IF(D292&lt;=50,ROUNDUP(2.5*D292,0),2*D292))*Premissas!$B$29+IF(C292="Micro",G292*(Premissas!$B$31+Premissas!$B$32+4*Premissas!$B$30),G292*(INDEX(Premissas!$B$40:$B$71,MATCH(F292,Premissas!$A$40:$A$71,0))+INDEX(Premissas!$C$40:$C$71,MATCH(F292,Premissas!$A$40:$A$71,0))*Premissas!$B$30)))</f>
        <v/>
      </c>
      <c r="K292" s="24">
        <f>IF(J292&lt;Premissas!$B$36,MAX(Premissas!$B$33,J292*Premissas!$B$34),J292*Premissas!$B$35)</f>
        <v/>
      </c>
      <c r="L292" s="24">
        <f>ROUND(J292+K292,2)</f>
        <v/>
      </c>
      <c r="M292" s="24">
        <f>D292*Premissas!$B$8+Premissas!$B$9+Premissas!$B$10+Premissas!$B$11+Premissas!$B$12+ROUND(Premissas!$B$13*E292,2)</f>
        <v/>
      </c>
      <c r="N292" s="25">
        <f>ROUNDUP((L292+M292-Premissas!$B$5*L292)/(1-Premissas!$B$6-Premissas!$B$7-Premissas!$B$5-Premissas!$B$14),2)</f>
        <v/>
      </c>
      <c r="O292" s="24">
        <f>ROUND(IF(N292&lt;=30000,N292*(1+Premissas!$B$21),N292+Premissas!$B$21*30000*SQRT(N292/30000)),2)</f>
        <v/>
      </c>
      <c r="P292" s="24">
        <f>N292-I292</f>
        <v/>
      </c>
      <c r="Q292" s="26">
        <f>P292/I292</f>
        <v/>
      </c>
      <c r="R292" s="26">
        <f>(I292-L292-Premissas!$B$5*(I292-L292)-(Premissas!$B$6+Premissas!$B$7)*I292-M292)/I292</f>
        <v/>
      </c>
      <c r="S292" s="24">
        <f>ROUND((CEILING((L292*Premissas!$B$17/Premissas!$B$18-97)/100,1)*100+97)*Premissas!$B$18,2)</f>
        <v/>
      </c>
    </row>
    <row r="293">
      <c r="A293" s="17" t="inlineStr">
        <is>
          <t>KIT 12 MOD. 620W + INV. SOFAR 5KW</t>
        </is>
      </c>
      <c r="B293" s="17" t="inlineStr">
        <is>
          <t>SOFAR</t>
        </is>
      </c>
      <c r="C293" s="17" t="inlineStr">
        <is>
          <t>Inversor</t>
        </is>
      </c>
      <c r="D293" s="21" t="n">
        <v>12</v>
      </c>
      <c r="E293" s="30" t="n">
        <v>7.44</v>
      </c>
      <c r="F293" s="20" t="inlineStr">
        <is>
          <t>SOFAR 5KTLM-G3</t>
        </is>
      </c>
      <c r="G293" s="21" t="n">
        <v>1</v>
      </c>
      <c r="H293" s="17" t="inlineStr">
        <is>
          <t>Sim</t>
        </is>
      </c>
      <c r="I293" s="23" t="n">
        <v>17741.85</v>
      </c>
      <c r="J293" s="24">
        <f>(D293*Premissas!$B$24+(2*ROUNDUP(D293/2,0))*Premissas!$B$26+INT((2*ROUNDUP(D293/2,0))/4)*Premissas!$B$27+MOD((2*ROUNDUP(D293/2,0)),4)/2*Premissas!$B$28+2*IF(D293&lt;=19,3*D293,IF(D293&lt;=50,ROUNDUP(2.5*D293,0),2*D293))*Premissas!$B$29+IF(C293="Micro",G293*(Premissas!$B$31+Premissas!$B$32+4*Premissas!$B$30),G293*(INDEX(Premissas!$B$40:$B$71,MATCH(F293,Premissas!$A$40:$A$71,0))+INDEX(Premissas!$C$40:$C$71,MATCH(F293,Premissas!$A$40:$A$71,0))*Premissas!$B$30)))</f>
        <v/>
      </c>
      <c r="K293" s="24">
        <f>IF(J293&lt;Premissas!$B$36,MAX(Premissas!$B$33,J293*Premissas!$B$34),J293*Premissas!$B$35)</f>
        <v/>
      </c>
      <c r="L293" s="24">
        <f>ROUND(J293+K293,2)</f>
        <v/>
      </c>
      <c r="M293" s="24">
        <f>D293*Premissas!$B$8+Premissas!$B$9+Premissas!$B$10+Premissas!$B$11+Premissas!$B$12+ROUND(Premissas!$B$13*E293,2)</f>
        <v/>
      </c>
      <c r="N293" s="25">
        <f>ROUNDUP((L293+M293-Premissas!$B$5*L293)/(1-Premissas!$B$6-Premissas!$B$7-Premissas!$B$5-Premissas!$B$14),2)</f>
        <v/>
      </c>
      <c r="O293" s="24">
        <f>ROUND(IF(N293&lt;=30000,N293*(1+Premissas!$B$21),N293+Premissas!$B$21*30000*SQRT(N293/30000)),2)</f>
        <v/>
      </c>
      <c r="P293" s="24">
        <f>N293-I293</f>
        <v/>
      </c>
      <c r="Q293" s="26">
        <f>P293/I293</f>
        <v/>
      </c>
      <c r="R293" s="26">
        <f>(I293-L293-Premissas!$B$5*(I293-L293)-(Premissas!$B$6+Premissas!$B$7)*I293-M293)/I293</f>
        <v/>
      </c>
      <c r="S293" s="24">
        <f>ROUND((CEILING((L293*Premissas!$B$17/Premissas!$B$18-97)/100,1)*100+97)*Premissas!$B$18,2)</f>
        <v/>
      </c>
    </row>
    <row r="294">
      <c r="A294" s="17" t="inlineStr">
        <is>
          <t>KIT 13 MOD. 620W + INV. SOFAR 6KW</t>
        </is>
      </c>
      <c r="B294" s="17" t="inlineStr">
        <is>
          <t>SOFAR</t>
        </is>
      </c>
      <c r="C294" s="17" t="inlineStr">
        <is>
          <t>Inversor</t>
        </is>
      </c>
      <c r="D294" s="21" t="n">
        <v>13</v>
      </c>
      <c r="E294" s="30" t="n">
        <v>8.06</v>
      </c>
      <c r="F294" s="20" t="inlineStr">
        <is>
          <t>SOFAR 6KTLM-G3</t>
        </is>
      </c>
      <c r="G294" s="21" t="n">
        <v>1</v>
      </c>
      <c r="H294" s="17" t="inlineStr">
        <is>
          <t>Sim</t>
        </is>
      </c>
      <c r="I294" s="23" t="n">
        <v>19001.85</v>
      </c>
      <c r="J294" s="24">
        <f>(D294*Premissas!$B$24+(2*ROUNDUP(D294/2,0))*Premissas!$B$26+INT((2*ROUNDUP(D294/2,0))/4)*Premissas!$B$27+MOD((2*ROUNDUP(D294/2,0)),4)/2*Premissas!$B$28+2*IF(D294&lt;=19,3*D294,IF(D294&lt;=50,ROUNDUP(2.5*D294,0),2*D294))*Premissas!$B$29+IF(C294="Micro",G294*(Premissas!$B$31+Premissas!$B$32+4*Premissas!$B$30),G294*(INDEX(Premissas!$B$40:$B$71,MATCH(F294,Premissas!$A$40:$A$71,0))+INDEX(Premissas!$C$40:$C$71,MATCH(F294,Premissas!$A$40:$A$71,0))*Premissas!$B$30)))</f>
        <v/>
      </c>
      <c r="K294" s="24">
        <f>IF(J294&lt;Premissas!$B$36,MAX(Premissas!$B$33,J294*Premissas!$B$34),J294*Premissas!$B$35)</f>
        <v/>
      </c>
      <c r="L294" s="24">
        <f>ROUND(J294+K294,2)</f>
        <v/>
      </c>
      <c r="M294" s="24">
        <f>D294*Premissas!$B$8+Premissas!$B$9+Premissas!$B$10+Premissas!$B$11+Premissas!$B$12+ROUND(Premissas!$B$13*E294,2)</f>
        <v/>
      </c>
      <c r="N294" s="25">
        <f>ROUNDUP((L294+M294-Premissas!$B$5*L294)/(1-Premissas!$B$6-Premissas!$B$7-Premissas!$B$5-Premissas!$B$14),2)</f>
        <v/>
      </c>
      <c r="O294" s="24">
        <f>ROUND(IF(N294&lt;=30000,N294*(1+Premissas!$B$21),N294+Premissas!$B$21*30000*SQRT(N294/30000)),2)</f>
        <v/>
      </c>
      <c r="P294" s="24">
        <f>N294-I294</f>
        <v/>
      </c>
      <c r="Q294" s="26">
        <f>P294/I294</f>
        <v/>
      </c>
      <c r="R294" s="26">
        <f>(I294-L294-Premissas!$B$5*(I294-L294)-(Premissas!$B$6+Premissas!$B$7)*I294-M294)/I294</f>
        <v/>
      </c>
      <c r="S294" s="24">
        <f>ROUND((CEILING((L294*Premissas!$B$17/Premissas!$B$18-97)/100,1)*100+97)*Premissas!$B$18,2)</f>
        <v/>
      </c>
    </row>
    <row r="295">
      <c r="A295" s="17" t="inlineStr">
        <is>
          <t>KIT 14 MOD. 620W + INV. SOFAR 6KW</t>
        </is>
      </c>
      <c r="B295" s="17" t="inlineStr">
        <is>
          <t>SOFAR</t>
        </is>
      </c>
      <c r="C295" s="17" t="inlineStr">
        <is>
          <t>Inversor</t>
        </is>
      </c>
      <c r="D295" s="21" t="n">
        <v>14</v>
      </c>
      <c r="E295" s="30" t="n">
        <v>8.68</v>
      </c>
      <c r="F295" s="20" t="inlineStr">
        <is>
          <t>SOFAR 6KTLM-G3</t>
        </is>
      </c>
      <c r="G295" s="21" t="n">
        <v>1</v>
      </c>
      <c r="H295" s="17" t="inlineStr">
        <is>
          <t>Sim</t>
        </is>
      </c>
      <c r="I295" s="23" t="n">
        <v>20261.85</v>
      </c>
      <c r="J295" s="24">
        <f>(D295*Premissas!$B$24+(2*ROUNDUP(D295/2,0))*Premissas!$B$26+INT((2*ROUNDUP(D295/2,0))/4)*Premissas!$B$27+MOD((2*ROUNDUP(D295/2,0)),4)/2*Premissas!$B$28+2*IF(D295&lt;=19,3*D295,IF(D295&lt;=50,ROUNDUP(2.5*D295,0),2*D295))*Premissas!$B$29+IF(C295="Micro",G295*(Premissas!$B$31+Premissas!$B$32+4*Premissas!$B$30),G295*(INDEX(Premissas!$B$40:$B$71,MATCH(F295,Premissas!$A$40:$A$71,0))+INDEX(Premissas!$C$40:$C$71,MATCH(F295,Premissas!$A$40:$A$71,0))*Premissas!$B$30)))</f>
        <v/>
      </c>
      <c r="K295" s="24">
        <f>IF(J295&lt;Premissas!$B$36,MAX(Premissas!$B$33,J295*Premissas!$B$34),J295*Premissas!$B$35)</f>
        <v/>
      </c>
      <c r="L295" s="24">
        <f>ROUND(J295+K295,2)</f>
        <v/>
      </c>
      <c r="M295" s="24">
        <f>D295*Premissas!$B$8+Premissas!$B$9+Premissas!$B$10+Premissas!$B$11+Premissas!$B$12+ROUND(Premissas!$B$13*E295,2)</f>
        <v/>
      </c>
      <c r="N295" s="25">
        <f>ROUNDUP((L295+M295-Premissas!$B$5*L295)/(1-Premissas!$B$6-Premissas!$B$7-Premissas!$B$5-Premissas!$B$14),2)</f>
        <v/>
      </c>
      <c r="O295" s="24">
        <f>ROUND(IF(N295&lt;=30000,N295*(1+Premissas!$B$21),N295+Premissas!$B$21*30000*SQRT(N295/30000)),2)</f>
        <v/>
      </c>
      <c r="P295" s="24">
        <f>N295-I295</f>
        <v/>
      </c>
      <c r="Q295" s="26">
        <f>P295/I295</f>
        <v/>
      </c>
      <c r="R295" s="26">
        <f>(I295-L295-Premissas!$B$5*(I295-L295)-(Premissas!$B$6+Premissas!$B$7)*I295-M295)/I295</f>
        <v/>
      </c>
      <c r="S295" s="24">
        <f>ROUND((CEILING((L295*Premissas!$B$17/Premissas!$B$18-97)/100,1)*100+97)*Premissas!$B$18,2)</f>
        <v/>
      </c>
    </row>
    <row r="296">
      <c r="A296" s="17" t="inlineStr">
        <is>
          <t>KIT 15 MOD. 620W + INV. SOFAR 6KW</t>
        </is>
      </c>
      <c r="B296" s="17" t="inlineStr">
        <is>
          <t>SOFAR</t>
        </is>
      </c>
      <c r="C296" s="17" t="inlineStr">
        <is>
          <t>Inversor</t>
        </is>
      </c>
      <c r="D296" s="21" t="n">
        <v>15</v>
      </c>
      <c r="E296" s="30" t="n">
        <v>9.300000000000001</v>
      </c>
      <c r="F296" s="20" t="inlineStr">
        <is>
          <t>SOFAR 6KTLM-G3</t>
        </is>
      </c>
      <c r="G296" s="21" t="n">
        <v>1</v>
      </c>
      <c r="H296" s="17" t="inlineStr">
        <is>
          <t>Sim</t>
        </is>
      </c>
      <c r="I296" s="23" t="n">
        <v>21626.85</v>
      </c>
      <c r="J296" s="24">
        <f>(D296*Premissas!$B$24+(2*ROUNDUP(D296/2,0))*Premissas!$B$26+INT((2*ROUNDUP(D296/2,0))/4)*Premissas!$B$27+MOD((2*ROUNDUP(D296/2,0)),4)/2*Premissas!$B$28+2*IF(D296&lt;=19,3*D296,IF(D296&lt;=50,ROUNDUP(2.5*D296,0),2*D296))*Premissas!$B$29+IF(C296="Micro",G296*(Premissas!$B$31+Premissas!$B$32+4*Premissas!$B$30),G296*(INDEX(Premissas!$B$40:$B$71,MATCH(F296,Premissas!$A$40:$A$71,0))+INDEX(Premissas!$C$40:$C$71,MATCH(F296,Premissas!$A$40:$A$71,0))*Premissas!$B$30)))</f>
        <v/>
      </c>
      <c r="K296" s="24">
        <f>IF(J296&lt;Premissas!$B$36,MAX(Premissas!$B$33,J296*Premissas!$B$34),J296*Premissas!$B$35)</f>
        <v/>
      </c>
      <c r="L296" s="24">
        <f>ROUND(J296+K296,2)</f>
        <v/>
      </c>
      <c r="M296" s="24">
        <f>D296*Premissas!$B$8+Premissas!$B$9+Premissas!$B$10+Premissas!$B$11+Premissas!$B$12+ROUND(Premissas!$B$13*E296,2)</f>
        <v/>
      </c>
      <c r="N296" s="25">
        <f>ROUNDUP((L296+M296-Premissas!$B$5*L296)/(1-Premissas!$B$6-Premissas!$B$7-Premissas!$B$5-Premissas!$B$14),2)</f>
        <v/>
      </c>
      <c r="O296" s="24">
        <f>ROUND(IF(N296&lt;=30000,N296*(1+Premissas!$B$21),N296+Premissas!$B$21*30000*SQRT(N296/30000)),2)</f>
        <v/>
      </c>
      <c r="P296" s="24">
        <f>N296-I296</f>
        <v/>
      </c>
      <c r="Q296" s="26">
        <f>P296/I296</f>
        <v/>
      </c>
      <c r="R296" s="26">
        <f>(I296-L296-Premissas!$B$5*(I296-L296)-(Premissas!$B$6+Premissas!$B$7)*I296-M296)/I296</f>
        <v/>
      </c>
      <c r="S296" s="24">
        <f>ROUND((CEILING((L296*Premissas!$B$17/Premissas!$B$18-97)/100,1)*100+97)*Premissas!$B$18,2)</f>
        <v/>
      </c>
    </row>
    <row r="297">
      <c r="A297" s="17" t="inlineStr">
        <is>
          <t>KIT 16 MOD. 620W + INV. SOFAR 6KW</t>
        </is>
      </c>
      <c r="B297" s="17" t="inlineStr">
        <is>
          <t>SOFAR</t>
        </is>
      </c>
      <c r="C297" s="17" t="inlineStr">
        <is>
          <t>Inversor</t>
        </is>
      </c>
      <c r="D297" s="21" t="n">
        <v>16</v>
      </c>
      <c r="E297" s="30" t="n">
        <v>9.92</v>
      </c>
      <c r="F297" s="20" t="inlineStr">
        <is>
          <t>SOFAR 6KTLM-G3</t>
        </is>
      </c>
      <c r="G297" s="21" t="n">
        <v>1</v>
      </c>
      <c r="H297" s="17" t="inlineStr">
        <is>
          <t>Sim</t>
        </is>
      </c>
      <c r="I297" s="23" t="n">
        <v>22676.85</v>
      </c>
      <c r="J297" s="24">
        <f>(D297*Premissas!$B$24+(2*ROUNDUP(D297/2,0))*Premissas!$B$26+INT((2*ROUNDUP(D297/2,0))/4)*Premissas!$B$27+MOD((2*ROUNDUP(D297/2,0)),4)/2*Premissas!$B$28+2*IF(D297&lt;=19,3*D297,IF(D297&lt;=50,ROUNDUP(2.5*D297,0),2*D297))*Premissas!$B$29+IF(C297="Micro",G297*(Premissas!$B$31+Premissas!$B$32+4*Premissas!$B$30),G297*(INDEX(Premissas!$B$40:$B$71,MATCH(F297,Premissas!$A$40:$A$71,0))+INDEX(Premissas!$C$40:$C$71,MATCH(F297,Premissas!$A$40:$A$71,0))*Premissas!$B$30)))</f>
        <v/>
      </c>
      <c r="K297" s="24">
        <f>IF(J297&lt;Premissas!$B$36,MAX(Premissas!$B$33,J297*Premissas!$B$34),J297*Premissas!$B$35)</f>
        <v/>
      </c>
      <c r="L297" s="24">
        <f>ROUND(J297+K297,2)</f>
        <v/>
      </c>
      <c r="M297" s="24">
        <f>D297*Premissas!$B$8+Premissas!$B$9+Premissas!$B$10+Premissas!$B$11+Premissas!$B$12+ROUND(Premissas!$B$13*E297,2)</f>
        <v/>
      </c>
      <c r="N297" s="25">
        <f>ROUNDUP((L297+M297-Premissas!$B$5*L297)/(1-Premissas!$B$6-Premissas!$B$7-Premissas!$B$5-Premissas!$B$14),2)</f>
        <v/>
      </c>
      <c r="O297" s="24">
        <f>ROUND(IF(N297&lt;=30000,N297*(1+Premissas!$B$21),N297+Premissas!$B$21*30000*SQRT(N297/30000)),2)</f>
        <v/>
      </c>
      <c r="P297" s="24">
        <f>N297-I297</f>
        <v/>
      </c>
      <c r="Q297" s="26">
        <f>P297/I297</f>
        <v/>
      </c>
      <c r="R297" s="26">
        <f>(I297-L297-Premissas!$B$5*(I297-L297)-(Premissas!$B$6+Premissas!$B$7)*I297-M297)/I297</f>
        <v/>
      </c>
      <c r="S297" s="24">
        <f>ROUND((CEILING((L297*Premissas!$B$17/Premissas!$B$18-97)/100,1)*100+97)*Premissas!$B$18,2)</f>
        <v/>
      </c>
    </row>
    <row r="298">
      <c r="A298" s="17" t="inlineStr">
        <is>
          <t>KIT 17 MOD. 620W + INV. SOFAR 6KW</t>
        </is>
      </c>
      <c r="B298" s="17" t="inlineStr">
        <is>
          <t>SOFAR</t>
        </is>
      </c>
      <c r="C298" s="17" t="inlineStr">
        <is>
          <t>Inversor</t>
        </is>
      </c>
      <c r="D298" s="21" t="n">
        <v>17</v>
      </c>
      <c r="E298" s="30" t="n">
        <v>10.54</v>
      </c>
      <c r="F298" s="20" t="inlineStr">
        <is>
          <t>SOFAR 6KTLM-G3</t>
        </is>
      </c>
      <c r="G298" s="21" t="n">
        <v>1</v>
      </c>
      <c r="H298" s="17" t="inlineStr">
        <is>
          <t>Sim</t>
        </is>
      </c>
      <c r="I298" s="23" t="n">
        <v>25721.85</v>
      </c>
      <c r="J298" s="24">
        <f>(D298*Premissas!$B$24+(2*ROUNDUP(D298/2,0))*Premissas!$B$26+INT((2*ROUNDUP(D298/2,0))/4)*Premissas!$B$27+MOD((2*ROUNDUP(D298/2,0)),4)/2*Premissas!$B$28+2*IF(D298&lt;=19,3*D298,IF(D298&lt;=50,ROUNDUP(2.5*D298,0),2*D298))*Premissas!$B$29+IF(C298="Micro",G298*(Premissas!$B$31+Premissas!$B$32+4*Premissas!$B$30),G298*(INDEX(Premissas!$B$40:$B$71,MATCH(F298,Premissas!$A$40:$A$71,0))+INDEX(Premissas!$C$40:$C$71,MATCH(F298,Premissas!$A$40:$A$71,0))*Premissas!$B$30)))</f>
        <v/>
      </c>
      <c r="K298" s="24">
        <f>IF(J298&lt;Premissas!$B$36,MAX(Premissas!$B$33,J298*Premissas!$B$34),J298*Premissas!$B$35)</f>
        <v/>
      </c>
      <c r="L298" s="24">
        <f>ROUND(J298+K298,2)</f>
        <v/>
      </c>
      <c r="M298" s="24">
        <f>D298*Premissas!$B$8+Premissas!$B$9+Premissas!$B$10+Premissas!$B$11+Premissas!$B$12+ROUND(Premissas!$B$13*E298,2)</f>
        <v/>
      </c>
      <c r="N298" s="25">
        <f>ROUNDUP((L298+M298-Premissas!$B$5*L298)/(1-Premissas!$B$6-Premissas!$B$7-Premissas!$B$5-Premissas!$B$14),2)</f>
        <v/>
      </c>
      <c r="O298" s="24">
        <f>ROUND(IF(N298&lt;=30000,N298*(1+Premissas!$B$21),N298+Premissas!$B$21*30000*SQRT(N298/30000)),2)</f>
        <v/>
      </c>
      <c r="P298" s="24">
        <f>N298-I298</f>
        <v/>
      </c>
      <c r="Q298" s="26">
        <f>P298/I298</f>
        <v/>
      </c>
      <c r="R298" s="26">
        <f>(I298-L298-Premissas!$B$5*(I298-L298)-(Premissas!$B$6+Premissas!$B$7)*I298-M298)/I298</f>
        <v/>
      </c>
      <c r="S298" s="24">
        <f>ROUND((CEILING((L298*Premissas!$B$17/Premissas!$B$18-97)/100,1)*100+97)*Premissas!$B$18,2)</f>
        <v/>
      </c>
    </row>
    <row r="299">
      <c r="A299" s="17" t="inlineStr">
        <is>
          <t>KIT 18 MOD. 620W + INV. SOFAR 7,5KW</t>
        </is>
      </c>
      <c r="B299" s="17" t="inlineStr">
        <is>
          <t>SOFAR</t>
        </is>
      </c>
      <c r="C299" s="17" t="inlineStr">
        <is>
          <t>Inversor</t>
        </is>
      </c>
      <c r="D299" s="21" t="n">
        <v>18</v>
      </c>
      <c r="E299" s="30" t="n">
        <v>11.16</v>
      </c>
      <c r="F299" s="20" t="inlineStr">
        <is>
          <t>SOFAR 7,5K</t>
        </is>
      </c>
      <c r="G299" s="21" t="n">
        <v>1</v>
      </c>
      <c r="H299" s="17" t="inlineStr">
        <is>
          <t>Sim</t>
        </is>
      </c>
      <c r="I299" s="23" t="n">
        <v>26771.85</v>
      </c>
      <c r="J299" s="24">
        <f>(D299*Premissas!$B$24+(2*ROUNDUP(D299/2,0))*Premissas!$B$26+INT((2*ROUNDUP(D299/2,0))/4)*Premissas!$B$27+MOD((2*ROUNDUP(D299/2,0)),4)/2*Premissas!$B$28+2*IF(D299&lt;=19,3*D299,IF(D299&lt;=50,ROUNDUP(2.5*D299,0),2*D299))*Premissas!$B$29+IF(C299="Micro",G299*(Premissas!$B$31+Premissas!$B$32+4*Premissas!$B$30),G299*(INDEX(Premissas!$B$40:$B$71,MATCH(F299,Premissas!$A$40:$A$71,0))+INDEX(Premissas!$C$40:$C$71,MATCH(F299,Premissas!$A$40:$A$71,0))*Premissas!$B$30)))</f>
        <v/>
      </c>
      <c r="K299" s="24">
        <f>IF(J299&lt;Premissas!$B$36,MAX(Premissas!$B$33,J299*Premissas!$B$34),J299*Premissas!$B$35)</f>
        <v/>
      </c>
      <c r="L299" s="24">
        <f>ROUND(J299+K299,2)</f>
        <v/>
      </c>
      <c r="M299" s="24">
        <f>D299*Premissas!$B$8+Premissas!$B$9+Premissas!$B$10+Premissas!$B$11+Premissas!$B$12+ROUND(Premissas!$B$13*E299,2)</f>
        <v/>
      </c>
      <c r="N299" s="25">
        <f>ROUNDUP((L299+M299-Premissas!$B$5*L299)/(1-Premissas!$B$6-Premissas!$B$7-Premissas!$B$5-Premissas!$B$14),2)</f>
        <v/>
      </c>
      <c r="O299" s="24">
        <f>ROUND(IF(N299&lt;=30000,N299*(1+Premissas!$B$21),N299+Premissas!$B$21*30000*SQRT(N299/30000)),2)</f>
        <v/>
      </c>
      <c r="P299" s="24">
        <f>N299-I299</f>
        <v/>
      </c>
      <c r="Q299" s="26">
        <f>P299/I299</f>
        <v/>
      </c>
      <c r="R299" s="26">
        <f>(I299-L299-Premissas!$B$5*(I299-L299)-(Premissas!$B$6+Premissas!$B$7)*I299-M299)/I299</f>
        <v/>
      </c>
      <c r="S299" s="24">
        <f>ROUND((CEILING((L299*Premissas!$B$17/Premissas!$B$18-97)/100,1)*100+97)*Premissas!$B$18,2)</f>
        <v/>
      </c>
    </row>
    <row r="300">
      <c r="A300" s="17" t="inlineStr">
        <is>
          <t>KIT 19 MOD. 620W + INV. SOFAR 7,5KW</t>
        </is>
      </c>
      <c r="B300" s="17" t="inlineStr">
        <is>
          <t>SOFAR</t>
        </is>
      </c>
      <c r="C300" s="17" t="inlineStr">
        <is>
          <t>Inversor</t>
        </is>
      </c>
      <c r="D300" s="21" t="n">
        <v>19</v>
      </c>
      <c r="E300" s="30" t="n">
        <v>11.78</v>
      </c>
      <c r="F300" s="20" t="inlineStr">
        <is>
          <t>SOFAR 7,5K</t>
        </is>
      </c>
      <c r="G300" s="21" t="n">
        <v>1</v>
      </c>
      <c r="H300" s="17" t="inlineStr">
        <is>
          <t>Sim</t>
        </is>
      </c>
      <c r="I300" s="23" t="n">
        <v>28136.85</v>
      </c>
      <c r="J300" s="24">
        <f>(D300*Premissas!$B$24+(2*ROUNDUP(D300/2,0))*Premissas!$B$26+INT((2*ROUNDUP(D300/2,0))/4)*Premissas!$B$27+MOD((2*ROUNDUP(D300/2,0)),4)/2*Premissas!$B$28+2*IF(D300&lt;=19,3*D300,IF(D300&lt;=50,ROUNDUP(2.5*D300,0),2*D300))*Premissas!$B$29+IF(C300="Micro",G300*(Premissas!$B$31+Premissas!$B$32+4*Premissas!$B$30),G300*(INDEX(Premissas!$B$40:$B$71,MATCH(F300,Premissas!$A$40:$A$71,0))+INDEX(Premissas!$C$40:$C$71,MATCH(F300,Premissas!$A$40:$A$71,0))*Premissas!$B$30)))</f>
        <v/>
      </c>
      <c r="K300" s="24">
        <f>IF(J300&lt;Premissas!$B$36,MAX(Premissas!$B$33,J300*Premissas!$B$34),J300*Premissas!$B$35)</f>
        <v/>
      </c>
      <c r="L300" s="24">
        <f>ROUND(J300+K300,2)</f>
        <v/>
      </c>
      <c r="M300" s="24">
        <f>D300*Premissas!$B$8+Premissas!$B$9+Premissas!$B$10+Premissas!$B$11+Premissas!$B$12+ROUND(Premissas!$B$13*E300,2)</f>
        <v/>
      </c>
      <c r="N300" s="25">
        <f>ROUNDUP((L300+M300-Premissas!$B$5*L300)/(1-Premissas!$B$6-Premissas!$B$7-Premissas!$B$5-Premissas!$B$14),2)</f>
        <v/>
      </c>
      <c r="O300" s="24">
        <f>ROUND(IF(N300&lt;=30000,N300*(1+Premissas!$B$21),N300+Premissas!$B$21*30000*SQRT(N300/30000)),2)</f>
        <v/>
      </c>
      <c r="P300" s="24">
        <f>N300-I300</f>
        <v/>
      </c>
      <c r="Q300" s="26">
        <f>P300/I300</f>
        <v/>
      </c>
      <c r="R300" s="26">
        <f>(I300-L300-Premissas!$B$5*(I300-L300)-(Premissas!$B$6+Premissas!$B$7)*I300-M300)/I300</f>
        <v/>
      </c>
      <c r="S300" s="24">
        <f>ROUND((CEILING((L300*Premissas!$B$17/Premissas!$B$18-97)/100,1)*100+97)*Premissas!$B$18,2)</f>
        <v/>
      </c>
    </row>
    <row r="301">
      <c r="A301" s="17" t="inlineStr">
        <is>
          <t>KIT 20 MOD. 620W + INV. SOFAR 7,5KW</t>
        </is>
      </c>
      <c r="B301" s="17" t="inlineStr">
        <is>
          <t>SOFAR</t>
        </is>
      </c>
      <c r="C301" s="17" t="inlineStr">
        <is>
          <t>Inversor</t>
        </is>
      </c>
      <c r="D301" s="21" t="n">
        <v>20</v>
      </c>
      <c r="E301" s="30" t="n">
        <v>12.4</v>
      </c>
      <c r="F301" s="20" t="inlineStr">
        <is>
          <t>SOFAR 7,5K</t>
        </is>
      </c>
      <c r="G301" s="21" t="n">
        <v>1</v>
      </c>
      <c r="H301" s="17" t="inlineStr">
        <is>
          <t>Sim</t>
        </is>
      </c>
      <c r="I301" s="23" t="n">
        <v>28976.85</v>
      </c>
      <c r="J301" s="24">
        <f>(D301*Premissas!$B$24+(2*ROUNDUP(D301/2,0))*Premissas!$B$26+INT((2*ROUNDUP(D301/2,0))/4)*Premissas!$B$27+MOD((2*ROUNDUP(D301/2,0)),4)/2*Premissas!$B$28+2*IF(D301&lt;=19,3*D301,IF(D301&lt;=50,ROUNDUP(2.5*D301,0),2*D301))*Premissas!$B$29+IF(C301="Micro",G301*(Premissas!$B$31+Premissas!$B$32+4*Premissas!$B$30),G301*(INDEX(Premissas!$B$40:$B$71,MATCH(F301,Premissas!$A$40:$A$71,0))+INDEX(Premissas!$C$40:$C$71,MATCH(F301,Premissas!$A$40:$A$71,0))*Premissas!$B$30)))</f>
        <v/>
      </c>
      <c r="K301" s="24">
        <f>IF(J301&lt;Premissas!$B$36,MAX(Premissas!$B$33,J301*Premissas!$B$34),J301*Premissas!$B$35)</f>
        <v/>
      </c>
      <c r="L301" s="24">
        <f>ROUND(J301+K301,2)</f>
        <v/>
      </c>
      <c r="M301" s="24">
        <f>D301*Premissas!$B$8+Premissas!$B$9+Premissas!$B$10+Premissas!$B$11+Premissas!$B$12+ROUND(Premissas!$B$13*E301,2)</f>
        <v/>
      </c>
      <c r="N301" s="25">
        <f>ROUNDUP((L301+M301-Premissas!$B$5*L301)/(1-Premissas!$B$6-Premissas!$B$7-Premissas!$B$5-Premissas!$B$14),2)</f>
        <v/>
      </c>
      <c r="O301" s="24">
        <f>ROUND(IF(N301&lt;=30000,N301*(1+Premissas!$B$21),N301+Premissas!$B$21*30000*SQRT(N301/30000)),2)</f>
        <v/>
      </c>
      <c r="P301" s="24">
        <f>N301-I301</f>
        <v/>
      </c>
      <c r="Q301" s="26">
        <f>P301/I301</f>
        <v/>
      </c>
      <c r="R301" s="26">
        <f>(I301-L301-Premissas!$B$5*(I301-L301)-(Premissas!$B$6+Premissas!$B$7)*I301-M301)/I301</f>
        <v/>
      </c>
      <c r="S301" s="24">
        <f>ROUND((CEILING((L301*Premissas!$B$17/Premissas!$B$18-97)/100,1)*100+97)*Premissas!$B$18,2)</f>
        <v/>
      </c>
    </row>
    <row r="302">
      <c r="A302" s="17" t="inlineStr">
        <is>
          <t>KIT 22 MOD. 620W + INV. SOFAR 10KW</t>
        </is>
      </c>
      <c r="B302" s="17" t="inlineStr">
        <is>
          <t>SOFAR</t>
        </is>
      </c>
      <c r="C302" s="17" t="inlineStr">
        <is>
          <t>Inversor</t>
        </is>
      </c>
      <c r="D302" s="21" t="n">
        <v>22</v>
      </c>
      <c r="E302" s="30" t="n">
        <v>13.64</v>
      </c>
      <c r="F302" s="20" t="inlineStr">
        <is>
          <t>SOFAR 10KTLM-G3</t>
        </is>
      </c>
      <c r="G302" s="21" t="n">
        <v>1</v>
      </c>
      <c r="H302" s="17" t="inlineStr">
        <is>
          <t>Sim</t>
        </is>
      </c>
      <c r="I302" s="23" t="n">
        <v>32231.85</v>
      </c>
      <c r="J302" s="24">
        <f>(D302*Premissas!$B$24+(2*ROUNDUP(D302/2,0))*Premissas!$B$26+INT((2*ROUNDUP(D302/2,0))/4)*Premissas!$B$27+MOD((2*ROUNDUP(D302/2,0)),4)/2*Premissas!$B$28+2*IF(D302&lt;=19,3*D302,IF(D302&lt;=50,ROUNDUP(2.5*D302,0),2*D302))*Premissas!$B$29+IF(C302="Micro",G302*(Premissas!$B$31+Premissas!$B$32+4*Premissas!$B$30),G302*(INDEX(Premissas!$B$40:$B$71,MATCH(F302,Premissas!$A$40:$A$71,0))+INDEX(Premissas!$C$40:$C$71,MATCH(F302,Premissas!$A$40:$A$71,0))*Premissas!$B$30)))</f>
        <v/>
      </c>
      <c r="K302" s="24">
        <f>IF(J302&lt;Premissas!$B$36,MAX(Premissas!$B$33,J302*Premissas!$B$34),J302*Premissas!$B$35)</f>
        <v/>
      </c>
      <c r="L302" s="24">
        <f>ROUND(J302+K302,2)</f>
        <v/>
      </c>
      <c r="M302" s="24">
        <f>D302*Premissas!$B$8+Premissas!$B$9+Premissas!$B$10+Premissas!$B$11+Premissas!$B$12+ROUND(Premissas!$B$13*E302,2)</f>
        <v/>
      </c>
      <c r="N302" s="25">
        <f>ROUNDUP((L302+M302-Premissas!$B$5*L302)/(1-Premissas!$B$6-Premissas!$B$7-Premissas!$B$5-Premissas!$B$14),2)</f>
        <v/>
      </c>
      <c r="O302" s="24">
        <f>ROUND(IF(N302&lt;=30000,N302*(1+Premissas!$B$21),N302+Premissas!$B$21*30000*SQRT(N302/30000)),2)</f>
        <v/>
      </c>
      <c r="P302" s="24">
        <f>N302-I302</f>
        <v/>
      </c>
      <c r="Q302" s="26">
        <f>P302/I302</f>
        <v/>
      </c>
      <c r="R302" s="26">
        <f>(I302-L302-Premissas!$B$5*(I302-L302)-(Premissas!$B$6+Premissas!$B$7)*I302-M302)/I302</f>
        <v/>
      </c>
      <c r="S302" s="24">
        <f>ROUND((CEILING((L302*Premissas!$B$17/Premissas!$B$18-97)/100,1)*100+97)*Premissas!$B$18,2)</f>
        <v/>
      </c>
    </row>
    <row r="303">
      <c r="A303" s="17" t="inlineStr">
        <is>
          <t>KIT 23 MOD. 620W + INV. SOFAR 10KW</t>
        </is>
      </c>
      <c r="B303" s="17" t="inlineStr">
        <is>
          <t>SOFAR</t>
        </is>
      </c>
      <c r="C303" s="17" t="inlineStr">
        <is>
          <t>Inversor</t>
        </is>
      </c>
      <c r="D303" s="21" t="n">
        <v>23</v>
      </c>
      <c r="E303" s="30" t="n">
        <v>14.26</v>
      </c>
      <c r="F303" s="20" t="inlineStr">
        <is>
          <t>SOFAR 10KTLM-G3</t>
        </is>
      </c>
      <c r="G303" s="21" t="n">
        <v>1</v>
      </c>
      <c r="H303" s="17" t="inlineStr">
        <is>
          <t>Sim</t>
        </is>
      </c>
      <c r="I303" s="23" t="n">
        <v>33596.85</v>
      </c>
      <c r="J303" s="24">
        <f>(D303*Premissas!$B$24+(2*ROUNDUP(D303/2,0))*Premissas!$B$26+INT((2*ROUNDUP(D303/2,0))/4)*Premissas!$B$27+MOD((2*ROUNDUP(D303/2,0)),4)/2*Premissas!$B$28+2*IF(D303&lt;=19,3*D303,IF(D303&lt;=50,ROUNDUP(2.5*D303,0),2*D303))*Premissas!$B$29+IF(C303="Micro",G303*(Premissas!$B$31+Premissas!$B$32+4*Premissas!$B$30),G303*(INDEX(Premissas!$B$40:$B$71,MATCH(F303,Premissas!$A$40:$A$71,0))+INDEX(Premissas!$C$40:$C$71,MATCH(F303,Premissas!$A$40:$A$71,0))*Premissas!$B$30)))</f>
        <v/>
      </c>
      <c r="K303" s="24">
        <f>IF(J303&lt;Premissas!$B$36,MAX(Premissas!$B$33,J303*Premissas!$B$34),J303*Premissas!$B$35)</f>
        <v/>
      </c>
      <c r="L303" s="24">
        <f>ROUND(J303+K303,2)</f>
        <v/>
      </c>
      <c r="M303" s="24">
        <f>D303*Premissas!$B$8+Premissas!$B$9+Premissas!$B$10+Premissas!$B$11+Premissas!$B$12+ROUND(Premissas!$B$13*E303,2)</f>
        <v/>
      </c>
      <c r="N303" s="25">
        <f>ROUNDUP((L303+M303-Premissas!$B$5*L303)/(1-Premissas!$B$6-Premissas!$B$7-Premissas!$B$5-Premissas!$B$14),2)</f>
        <v/>
      </c>
      <c r="O303" s="24">
        <f>ROUND(IF(N303&lt;=30000,N303*(1+Premissas!$B$21),N303+Premissas!$B$21*30000*SQRT(N303/30000)),2)</f>
        <v/>
      </c>
      <c r="P303" s="24">
        <f>N303-I303</f>
        <v/>
      </c>
      <c r="Q303" s="26">
        <f>P303/I303</f>
        <v/>
      </c>
      <c r="R303" s="26">
        <f>(I303-L303-Premissas!$B$5*(I303-L303)-(Premissas!$B$6+Premissas!$B$7)*I303-M303)/I303</f>
        <v/>
      </c>
      <c r="S303" s="24">
        <f>ROUND((CEILING((L303*Premissas!$B$17/Premissas!$B$18-97)/100,1)*100+97)*Premissas!$B$18,2)</f>
        <v/>
      </c>
    </row>
    <row r="304">
      <c r="A304" s="17" t="inlineStr">
        <is>
          <t>KIT 24 MOD. 620W + INV. SOFAR 10KW</t>
        </is>
      </c>
      <c r="B304" s="17" t="inlineStr">
        <is>
          <t>SOFAR</t>
        </is>
      </c>
      <c r="C304" s="17" t="inlineStr">
        <is>
          <t>Inversor</t>
        </is>
      </c>
      <c r="D304" s="21" t="n">
        <v>24</v>
      </c>
      <c r="E304" s="30" t="n">
        <v>14.88</v>
      </c>
      <c r="F304" s="20" t="inlineStr">
        <is>
          <t>SOFAR 10KTLM-G3</t>
        </is>
      </c>
      <c r="G304" s="21" t="n">
        <v>1</v>
      </c>
      <c r="H304" s="17" t="inlineStr">
        <is>
          <t>Sim</t>
        </is>
      </c>
      <c r="I304" s="23" t="n">
        <v>34646.85</v>
      </c>
      <c r="J304" s="24">
        <f>(D304*Premissas!$B$24+(2*ROUNDUP(D304/2,0))*Premissas!$B$26+INT((2*ROUNDUP(D304/2,0))/4)*Premissas!$B$27+MOD((2*ROUNDUP(D304/2,0)),4)/2*Premissas!$B$28+2*IF(D304&lt;=19,3*D304,IF(D304&lt;=50,ROUNDUP(2.5*D304,0),2*D304))*Premissas!$B$29+IF(C304="Micro",G304*(Premissas!$B$31+Premissas!$B$32+4*Premissas!$B$30),G304*(INDEX(Premissas!$B$40:$B$71,MATCH(F304,Premissas!$A$40:$A$71,0))+INDEX(Premissas!$C$40:$C$71,MATCH(F304,Premissas!$A$40:$A$71,0))*Premissas!$B$30)))</f>
        <v/>
      </c>
      <c r="K304" s="24">
        <f>IF(J304&lt;Premissas!$B$36,MAX(Premissas!$B$33,J304*Premissas!$B$34),J304*Premissas!$B$35)</f>
        <v/>
      </c>
      <c r="L304" s="24">
        <f>ROUND(J304+K304,2)</f>
        <v/>
      </c>
      <c r="M304" s="24">
        <f>D304*Premissas!$B$8+Premissas!$B$9+Premissas!$B$10+Premissas!$B$11+Premissas!$B$12+ROUND(Premissas!$B$13*E304,2)</f>
        <v/>
      </c>
      <c r="N304" s="25">
        <f>ROUNDUP((L304+M304-Premissas!$B$5*L304)/(1-Premissas!$B$6-Premissas!$B$7-Premissas!$B$5-Premissas!$B$14),2)</f>
        <v/>
      </c>
      <c r="O304" s="24">
        <f>ROUND(IF(N304&lt;=30000,N304*(1+Premissas!$B$21),N304+Premissas!$B$21*30000*SQRT(N304/30000)),2)</f>
        <v/>
      </c>
      <c r="P304" s="24">
        <f>N304-I304</f>
        <v/>
      </c>
      <c r="Q304" s="26">
        <f>P304/I304</f>
        <v/>
      </c>
      <c r="R304" s="26">
        <f>(I304-L304-Premissas!$B$5*(I304-L304)-(Premissas!$B$6+Premissas!$B$7)*I304-M304)/I304</f>
        <v/>
      </c>
      <c r="S304" s="24">
        <f>ROUND((CEILING((L304*Premissas!$B$17/Premissas!$B$18-97)/100,1)*100+97)*Premissas!$B$18,2)</f>
        <v/>
      </c>
    </row>
    <row r="305">
      <c r="A305" s="17" t="inlineStr">
        <is>
          <t>KIT 25 MOD. 620W + INV. SOFAR 10KW</t>
        </is>
      </c>
      <c r="B305" s="17" t="inlineStr">
        <is>
          <t>SOFAR</t>
        </is>
      </c>
      <c r="C305" s="17" t="inlineStr">
        <is>
          <t>Inversor</t>
        </is>
      </c>
      <c r="D305" s="21" t="n">
        <v>25</v>
      </c>
      <c r="E305" s="30" t="n">
        <v>15.5</v>
      </c>
      <c r="F305" s="20" t="inlineStr">
        <is>
          <t>SOFAR 10KTLM-G3</t>
        </is>
      </c>
      <c r="G305" s="21" t="n">
        <v>1</v>
      </c>
      <c r="H305" s="17" t="inlineStr">
        <is>
          <t>Sim</t>
        </is>
      </c>
      <c r="I305" s="23" t="n">
        <v>36011.85</v>
      </c>
      <c r="J305" s="24">
        <f>(D305*Premissas!$B$24+(2*ROUNDUP(D305/2,0))*Premissas!$B$26+INT((2*ROUNDUP(D305/2,0))/4)*Premissas!$B$27+MOD((2*ROUNDUP(D305/2,0)),4)/2*Premissas!$B$28+2*IF(D305&lt;=19,3*D305,IF(D305&lt;=50,ROUNDUP(2.5*D305,0),2*D305))*Premissas!$B$29+IF(C305="Micro",G305*(Premissas!$B$31+Premissas!$B$32+4*Premissas!$B$30),G305*(INDEX(Premissas!$B$40:$B$71,MATCH(F305,Premissas!$A$40:$A$71,0))+INDEX(Premissas!$C$40:$C$71,MATCH(F305,Premissas!$A$40:$A$71,0))*Premissas!$B$30)))</f>
        <v/>
      </c>
      <c r="K305" s="24">
        <f>IF(J305&lt;Premissas!$B$36,MAX(Premissas!$B$33,J305*Premissas!$B$34),J305*Premissas!$B$35)</f>
        <v/>
      </c>
      <c r="L305" s="24">
        <f>ROUND(J305+K305,2)</f>
        <v/>
      </c>
      <c r="M305" s="24">
        <f>D305*Premissas!$B$8+Premissas!$B$9+Premissas!$B$10+Premissas!$B$11+Premissas!$B$12+ROUND(Premissas!$B$13*E305,2)</f>
        <v/>
      </c>
      <c r="N305" s="25">
        <f>ROUNDUP((L305+M305-Premissas!$B$5*L305)/(1-Premissas!$B$6-Premissas!$B$7-Premissas!$B$5-Premissas!$B$14),2)</f>
        <v/>
      </c>
      <c r="O305" s="24">
        <f>ROUND(IF(N305&lt;=30000,N305*(1+Premissas!$B$21),N305+Premissas!$B$21*30000*SQRT(N305/30000)),2)</f>
        <v/>
      </c>
      <c r="P305" s="24">
        <f>N305-I305</f>
        <v/>
      </c>
      <c r="Q305" s="26">
        <f>P305/I305</f>
        <v/>
      </c>
      <c r="R305" s="26">
        <f>(I305-L305-Premissas!$B$5*(I305-L305)-(Premissas!$B$6+Premissas!$B$7)*I305-M305)/I305</f>
        <v/>
      </c>
      <c r="S305" s="24">
        <f>ROUND((CEILING((L305*Premissas!$B$17/Premissas!$B$18-97)/100,1)*100+97)*Premissas!$B$18,2)</f>
        <v/>
      </c>
    </row>
    <row r="306">
      <c r="A306" s="17" t="inlineStr">
        <is>
          <t>KIT 26 MOD. 620W + INV. SOFAR 10KW</t>
        </is>
      </c>
      <c r="B306" s="17" t="inlineStr">
        <is>
          <t>SOFAR</t>
        </is>
      </c>
      <c r="C306" s="17" t="inlineStr">
        <is>
          <t>Inversor</t>
        </is>
      </c>
      <c r="D306" s="21" t="n">
        <v>26</v>
      </c>
      <c r="E306" s="30" t="n">
        <v>16.12</v>
      </c>
      <c r="F306" s="20" t="inlineStr">
        <is>
          <t>SOFAR 10KTLM-G3</t>
        </is>
      </c>
      <c r="G306" s="21" t="n">
        <v>1</v>
      </c>
      <c r="H306" s="17" t="inlineStr">
        <is>
          <t>Sim</t>
        </is>
      </c>
      <c r="I306" s="23" t="n">
        <v>37061.85</v>
      </c>
      <c r="J306" s="24">
        <f>(D306*Premissas!$B$24+(2*ROUNDUP(D306/2,0))*Premissas!$B$26+INT((2*ROUNDUP(D306/2,0))/4)*Premissas!$B$27+MOD((2*ROUNDUP(D306/2,0)),4)/2*Premissas!$B$28+2*IF(D306&lt;=19,3*D306,IF(D306&lt;=50,ROUNDUP(2.5*D306,0),2*D306))*Premissas!$B$29+IF(C306="Micro",G306*(Premissas!$B$31+Premissas!$B$32+4*Premissas!$B$30),G306*(INDEX(Premissas!$B$40:$B$71,MATCH(F306,Premissas!$A$40:$A$71,0))+INDEX(Premissas!$C$40:$C$71,MATCH(F306,Premissas!$A$40:$A$71,0))*Premissas!$B$30)))</f>
        <v/>
      </c>
      <c r="K306" s="24">
        <f>IF(J306&lt;Premissas!$B$36,MAX(Premissas!$B$33,J306*Premissas!$B$34),J306*Premissas!$B$35)</f>
        <v/>
      </c>
      <c r="L306" s="24">
        <f>ROUND(J306+K306,2)</f>
        <v/>
      </c>
      <c r="M306" s="24">
        <f>D306*Premissas!$B$8+Premissas!$B$9+Premissas!$B$10+Premissas!$B$11+Premissas!$B$12+ROUND(Premissas!$B$13*E306,2)</f>
        <v/>
      </c>
      <c r="N306" s="25">
        <f>ROUNDUP((L306+M306-Premissas!$B$5*L306)/(1-Premissas!$B$6-Premissas!$B$7-Premissas!$B$5-Premissas!$B$14),2)</f>
        <v/>
      </c>
      <c r="O306" s="24">
        <f>ROUND(IF(N306&lt;=30000,N306*(1+Premissas!$B$21),N306+Premissas!$B$21*30000*SQRT(N306/30000)),2)</f>
        <v/>
      </c>
      <c r="P306" s="24">
        <f>N306-I306</f>
        <v/>
      </c>
      <c r="Q306" s="26">
        <f>P306/I306</f>
        <v/>
      </c>
      <c r="R306" s="26">
        <f>(I306-L306-Premissas!$B$5*(I306-L306)-(Premissas!$B$6+Premissas!$B$7)*I306-M306)/I306</f>
        <v/>
      </c>
      <c r="S306" s="24">
        <f>ROUND((CEILING((L306*Premissas!$B$17/Premissas!$B$18-97)/100,1)*100+97)*Premissas!$B$18,2)</f>
        <v/>
      </c>
    </row>
    <row r="307">
      <c r="A307" s="17" t="inlineStr">
        <is>
          <t>KIT 27 MOD. 620W + INV. SOFAR 10KW</t>
        </is>
      </c>
      <c r="B307" s="17" t="inlineStr">
        <is>
          <t>SOFAR</t>
        </is>
      </c>
      <c r="C307" s="17" t="inlineStr">
        <is>
          <t>Inversor</t>
        </is>
      </c>
      <c r="D307" s="21" t="n">
        <v>27</v>
      </c>
      <c r="E307" s="30" t="n">
        <v>16.74</v>
      </c>
      <c r="F307" s="20" t="inlineStr">
        <is>
          <t>SOFAR 10KTLM-G3</t>
        </is>
      </c>
      <c r="G307" s="21" t="n">
        <v>1</v>
      </c>
      <c r="H307" s="17" t="inlineStr">
        <is>
          <t>Sim</t>
        </is>
      </c>
      <c r="I307" s="23" t="n">
        <v>38426.85</v>
      </c>
      <c r="J307" s="24">
        <f>(D307*Premissas!$B$24+(2*ROUNDUP(D307/2,0))*Premissas!$B$26+INT((2*ROUNDUP(D307/2,0))/4)*Premissas!$B$27+MOD((2*ROUNDUP(D307/2,0)),4)/2*Premissas!$B$28+2*IF(D307&lt;=19,3*D307,IF(D307&lt;=50,ROUNDUP(2.5*D307,0),2*D307))*Premissas!$B$29+IF(C307="Micro",G307*(Premissas!$B$31+Premissas!$B$32+4*Premissas!$B$30),G307*(INDEX(Premissas!$B$40:$B$71,MATCH(F307,Premissas!$A$40:$A$71,0))+INDEX(Premissas!$C$40:$C$71,MATCH(F307,Premissas!$A$40:$A$71,0))*Premissas!$B$30)))</f>
        <v/>
      </c>
      <c r="K307" s="24">
        <f>IF(J307&lt;Premissas!$B$36,MAX(Premissas!$B$33,J307*Premissas!$B$34),J307*Premissas!$B$35)</f>
        <v/>
      </c>
      <c r="L307" s="24">
        <f>ROUND(J307+K307,2)</f>
        <v/>
      </c>
      <c r="M307" s="24">
        <f>D307*Premissas!$B$8+Premissas!$B$9+Premissas!$B$10+Premissas!$B$11+Premissas!$B$12+ROUND(Premissas!$B$13*E307,2)</f>
        <v/>
      </c>
      <c r="N307" s="25">
        <f>ROUNDUP((L307+M307-Premissas!$B$5*L307)/(1-Premissas!$B$6-Premissas!$B$7-Premissas!$B$5-Premissas!$B$14),2)</f>
        <v/>
      </c>
      <c r="O307" s="24">
        <f>ROUND(IF(N307&lt;=30000,N307*(1+Premissas!$B$21),N307+Premissas!$B$21*30000*SQRT(N307/30000)),2)</f>
        <v/>
      </c>
      <c r="P307" s="24">
        <f>N307-I307</f>
        <v/>
      </c>
      <c r="Q307" s="26">
        <f>P307/I307</f>
        <v/>
      </c>
      <c r="R307" s="26">
        <f>(I307-L307-Premissas!$B$5*(I307-L307)-(Premissas!$B$6+Premissas!$B$7)*I307-M307)/I307</f>
        <v/>
      </c>
      <c r="S307" s="24">
        <f>ROUND((CEILING((L307*Premissas!$B$17/Premissas!$B$18-97)/100,1)*100+97)*Premissas!$B$18,2)</f>
        <v/>
      </c>
    </row>
    <row r="308">
      <c r="A308" s="17" t="inlineStr">
        <is>
          <t>KIT 28 MOD. 620W + INV. SOFAR 10KW</t>
        </is>
      </c>
      <c r="B308" s="17" t="inlineStr">
        <is>
          <t>SOFAR</t>
        </is>
      </c>
      <c r="C308" s="17" t="inlineStr">
        <is>
          <t>Inversor</t>
        </is>
      </c>
      <c r="D308" s="21" t="n">
        <v>28</v>
      </c>
      <c r="E308" s="30" t="n">
        <v>17.36</v>
      </c>
      <c r="F308" s="20" t="inlineStr">
        <is>
          <t>SOFAR 10KTLM-G3</t>
        </is>
      </c>
      <c r="G308" s="21" t="n">
        <v>1</v>
      </c>
      <c r="H308" s="17" t="inlineStr">
        <is>
          <t>Sim</t>
        </is>
      </c>
      <c r="I308" s="23" t="n">
        <v>39476.85</v>
      </c>
      <c r="J308" s="24">
        <f>(D308*Premissas!$B$24+(2*ROUNDUP(D308/2,0))*Premissas!$B$26+INT((2*ROUNDUP(D308/2,0))/4)*Premissas!$B$27+MOD((2*ROUNDUP(D308/2,0)),4)/2*Premissas!$B$28+2*IF(D308&lt;=19,3*D308,IF(D308&lt;=50,ROUNDUP(2.5*D308,0),2*D308))*Premissas!$B$29+IF(C308="Micro",G308*(Premissas!$B$31+Premissas!$B$32+4*Premissas!$B$30),G308*(INDEX(Premissas!$B$40:$B$71,MATCH(F308,Premissas!$A$40:$A$71,0))+INDEX(Premissas!$C$40:$C$71,MATCH(F308,Premissas!$A$40:$A$71,0))*Premissas!$B$30)))</f>
        <v/>
      </c>
      <c r="K308" s="24">
        <f>IF(J308&lt;Premissas!$B$36,MAX(Premissas!$B$33,J308*Premissas!$B$34),J308*Premissas!$B$35)</f>
        <v/>
      </c>
      <c r="L308" s="24">
        <f>ROUND(J308+K308,2)</f>
        <v/>
      </c>
      <c r="M308" s="24">
        <f>D308*Premissas!$B$8+Premissas!$B$9+Premissas!$B$10+Premissas!$B$11+Premissas!$B$12+ROUND(Premissas!$B$13*E308,2)</f>
        <v/>
      </c>
      <c r="N308" s="25">
        <f>ROUNDUP((L308+M308-Premissas!$B$5*L308)/(1-Premissas!$B$6-Premissas!$B$7-Premissas!$B$5-Premissas!$B$14),2)</f>
        <v/>
      </c>
      <c r="O308" s="24">
        <f>ROUND(IF(N308&lt;=30000,N308*(1+Premissas!$B$21),N308+Premissas!$B$21*30000*SQRT(N308/30000)),2)</f>
        <v/>
      </c>
      <c r="P308" s="24">
        <f>N308-I308</f>
        <v/>
      </c>
      <c r="Q308" s="26">
        <f>P308/I308</f>
        <v/>
      </c>
      <c r="R308" s="26">
        <f>(I308-L308-Premissas!$B$5*(I308-L308)-(Premissas!$B$6+Premissas!$B$7)*I308-M308)/I308</f>
        <v/>
      </c>
      <c r="S308" s="24">
        <f>ROUND((CEILING((L308*Premissas!$B$17/Premissas!$B$18-97)/100,1)*100+97)*Premissas!$B$18,2)</f>
        <v/>
      </c>
    </row>
    <row r="309">
      <c r="A309" s="17" t="inlineStr">
        <is>
          <t>KIT 11 MOD. 620W + INV. SOLIS 9KW</t>
        </is>
      </c>
      <c r="B309" s="17" t="inlineStr">
        <is>
          <t>SOLIS</t>
        </is>
      </c>
      <c r="C309" s="17" t="inlineStr">
        <is>
          <t>Inversor</t>
        </is>
      </c>
      <c r="D309" s="21" t="n">
        <v>11</v>
      </c>
      <c r="E309" s="30" t="n">
        <v>6.82</v>
      </c>
      <c r="F309" s="20" t="inlineStr">
        <is>
          <t>SOLIS S5-GR1P9K</t>
        </is>
      </c>
      <c r="G309" s="21" t="n">
        <v>1</v>
      </c>
      <c r="H309" s="17" t="inlineStr">
        <is>
          <t>Sim</t>
        </is>
      </c>
      <c r="I309" s="23" t="n">
        <v>19946.85</v>
      </c>
      <c r="J309" s="24">
        <f>(D309*Premissas!$B$24+(2*ROUNDUP(D309/2,0))*Premissas!$B$26+INT((2*ROUNDUP(D309/2,0))/4)*Premissas!$B$27+MOD((2*ROUNDUP(D309/2,0)),4)/2*Premissas!$B$28+2*IF(D309&lt;=19,3*D309,IF(D309&lt;=50,ROUNDUP(2.5*D309,0),2*D309))*Premissas!$B$29+IF(C309="Micro",G309*(Premissas!$B$31+Premissas!$B$32+4*Premissas!$B$30),G309*(INDEX(Premissas!$B$40:$B$71,MATCH(F309,Premissas!$A$40:$A$71,0))+INDEX(Premissas!$C$40:$C$71,MATCH(F309,Premissas!$A$40:$A$71,0))*Premissas!$B$30)))</f>
        <v/>
      </c>
      <c r="K309" s="24">
        <f>IF(J309&lt;Premissas!$B$36,MAX(Premissas!$B$33,J309*Premissas!$B$34),J309*Premissas!$B$35)</f>
        <v/>
      </c>
      <c r="L309" s="24">
        <f>ROUND(J309+K309,2)</f>
        <v/>
      </c>
      <c r="M309" s="24">
        <f>D309*Premissas!$B$8+Premissas!$B$9+Premissas!$B$10+Premissas!$B$11+Premissas!$B$12+ROUND(Premissas!$B$13*E309,2)</f>
        <v/>
      </c>
      <c r="N309" s="25">
        <f>ROUNDUP((L309+M309-Premissas!$B$5*L309)/(1-Premissas!$B$6-Premissas!$B$7-Premissas!$B$5-Premissas!$B$14),2)</f>
        <v/>
      </c>
      <c r="O309" s="24">
        <f>ROUND(IF(N309&lt;=30000,N309*(1+Premissas!$B$21),N309+Premissas!$B$21*30000*SQRT(N309/30000)),2)</f>
        <v/>
      </c>
      <c r="P309" s="24">
        <f>N309-I309</f>
        <v/>
      </c>
      <c r="Q309" s="26">
        <f>P309/I309</f>
        <v/>
      </c>
      <c r="R309" s="26">
        <f>(I309-L309-Premissas!$B$5*(I309-L309)-(Premissas!$B$6+Premissas!$B$7)*I309-M309)/I309</f>
        <v/>
      </c>
      <c r="S309" s="24">
        <f>ROUND((CEILING((L309*Premissas!$B$17/Premissas!$B$18-97)/100,1)*100+97)*Premissas!$B$18,2)</f>
        <v/>
      </c>
    </row>
    <row r="310">
      <c r="A310" s="17" t="inlineStr">
        <is>
          <t>KIT 12 MOD. 620W + INV. SOLIS 9KW</t>
        </is>
      </c>
      <c r="B310" s="17" t="inlineStr">
        <is>
          <t>SOLIS</t>
        </is>
      </c>
      <c r="C310" s="17" t="inlineStr">
        <is>
          <t>Inversor</t>
        </is>
      </c>
      <c r="D310" s="21" t="n">
        <v>12</v>
      </c>
      <c r="E310" s="30" t="n">
        <v>7.44</v>
      </c>
      <c r="F310" s="20" t="inlineStr">
        <is>
          <t>SOLIS S5-GR1P9K</t>
        </is>
      </c>
      <c r="G310" s="21" t="n">
        <v>1</v>
      </c>
      <c r="H310" s="17" t="inlineStr">
        <is>
          <t>Sim</t>
        </is>
      </c>
      <c r="I310" s="23" t="n">
        <v>20996.85</v>
      </c>
      <c r="J310" s="24">
        <f>(D310*Premissas!$B$24+(2*ROUNDUP(D310/2,0))*Premissas!$B$26+INT((2*ROUNDUP(D310/2,0))/4)*Premissas!$B$27+MOD((2*ROUNDUP(D310/2,0)),4)/2*Premissas!$B$28+2*IF(D310&lt;=19,3*D310,IF(D310&lt;=50,ROUNDUP(2.5*D310,0),2*D310))*Premissas!$B$29+IF(C310="Micro",G310*(Premissas!$B$31+Premissas!$B$32+4*Premissas!$B$30),G310*(INDEX(Premissas!$B$40:$B$71,MATCH(F310,Premissas!$A$40:$A$71,0))+INDEX(Premissas!$C$40:$C$71,MATCH(F310,Premissas!$A$40:$A$71,0))*Premissas!$B$30)))</f>
        <v/>
      </c>
      <c r="K310" s="24">
        <f>IF(J310&lt;Premissas!$B$36,MAX(Premissas!$B$33,J310*Premissas!$B$34),J310*Premissas!$B$35)</f>
        <v/>
      </c>
      <c r="L310" s="24">
        <f>ROUND(J310+K310,2)</f>
        <v/>
      </c>
      <c r="M310" s="24">
        <f>D310*Premissas!$B$8+Premissas!$B$9+Premissas!$B$10+Premissas!$B$11+Premissas!$B$12+ROUND(Premissas!$B$13*E310,2)</f>
        <v/>
      </c>
      <c r="N310" s="25">
        <f>ROUNDUP((L310+M310-Premissas!$B$5*L310)/(1-Premissas!$B$6-Premissas!$B$7-Premissas!$B$5-Premissas!$B$14),2)</f>
        <v/>
      </c>
      <c r="O310" s="24">
        <f>ROUND(IF(N310&lt;=30000,N310*(1+Premissas!$B$21),N310+Premissas!$B$21*30000*SQRT(N310/30000)),2)</f>
        <v/>
      </c>
      <c r="P310" s="24">
        <f>N310-I310</f>
        <v/>
      </c>
      <c r="Q310" s="26">
        <f>P310/I310</f>
        <v/>
      </c>
      <c r="R310" s="26">
        <f>(I310-L310-Premissas!$B$5*(I310-L310)-(Premissas!$B$6+Premissas!$B$7)*I310-M310)/I310</f>
        <v/>
      </c>
      <c r="S310" s="24">
        <f>ROUND((CEILING((L310*Premissas!$B$17/Premissas!$B$18-97)/100,1)*100+97)*Premissas!$B$18,2)</f>
        <v/>
      </c>
    </row>
    <row r="311">
      <c r="A311" s="17" t="inlineStr">
        <is>
          <t>KIT 13 MOD. 620W + INV. SOLIS 9KW</t>
        </is>
      </c>
      <c r="B311" s="17" t="inlineStr">
        <is>
          <t>SOLIS</t>
        </is>
      </c>
      <c r="C311" s="17" t="inlineStr">
        <is>
          <t>Inversor</t>
        </is>
      </c>
      <c r="D311" s="21" t="n">
        <v>13</v>
      </c>
      <c r="E311" s="30" t="n">
        <v>8.06</v>
      </c>
      <c r="F311" s="20" t="inlineStr">
        <is>
          <t>SOLIS S5-GR1P9K</t>
        </is>
      </c>
      <c r="G311" s="21" t="n">
        <v>1</v>
      </c>
      <c r="H311" s="17" t="inlineStr">
        <is>
          <t>Sim</t>
        </is>
      </c>
      <c r="I311" s="23" t="n">
        <v>22361.85</v>
      </c>
      <c r="J311" s="24">
        <f>(D311*Premissas!$B$24+(2*ROUNDUP(D311/2,0))*Premissas!$B$26+INT((2*ROUNDUP(D311/2,0))/4)*Premissas!$B$27+MOD((2*ROUNDUP(D311/2,0)),4)/2*Premissas!$B$28+2*IF(D311&lt;=19,3*D311,IF(D311&lt;=50,ROUNDUP(2.5*D311,0),2*D311))*Premissas!$B$29+IF(C311="Micro",G311*(Premissas!$B$31+Premissas!$B$32+4*Premissas!$B$30),G311*(INDEX(Premissas!$B$40:$B$71,MATCH(F311,Premissas!$A$40:$A$71,0))+INDEX(Premissas!$C$40:$C$71,MATCH(F311,Premissas!$A$40:$A$71,0))*Premissas!$B$30)))</f>
        <v/>
      </c>
      <c r="K311" s="24">
        <f>IF(J311&lt;Premissas!$B$36,MAX(Premissas!$B$33,J311*Premissas!$B$34),J311*Premissas!$B$35)</f>
        <v/>
      </c>
      <c r="L311" s="24">
        <f>ROUND(J311+K311,2)</f>
        <v/>
      </c>
      <c r="M311" s="24">
        <f>D311*Premissas!$B$8+Premissas!$B$9+Premissas!$B$10+Premissas!$B$11+Premissas!$B$12+ROUND(Premissas!$B$13*E311,2)</f>
        <v/>
      </c>
      <c r="N311" s="25">
        <f>ROUNDUP((L311+M311-Premissas!$B$5*L311)/(1-Premissas!$B$6-Premissas!$B$7-Premissas!$B$5-Premissas!$B$14),2)</f>
        <v/>
      </c>
      <c r="O311" s="24">
        <f>ROUND(IF(N311&lt;=30000,N311*(1+Premissas!$B$21),N311+Premissas!$B$21*30000*SQRT(N311/30000)),2)</f>
        <v/>
      </c>
      <c r="P311" s="24">
        <f>N311-I311</f>
        <v/>
      </c>
      <c r="Q311" s="26">
        <f>P311/I311</f>
        <v/>
      </c>
      <c r="R311" s="26">
        <f>(I311-L311-Premissas!$B$5*(I311-L311)-(Premissas!$B$6+Premissas!$B$7)*I311-M311)/I311</f>
        <v/>
      </c>
      <c r="S311" s="24">
        <f>ROUND((CEILING((L311*Premissas!$B$17/Premissas!$B$18-97)/100,1)*100+97)*Premissas!$B$18,2)</f>
        <v/>
      </c>
    </row>
    <row r="312">
      <c r="A312" s="17" t="inlineStr">
        <is>
          <t>KIT 14 MOD. 620W + INV. SOLIS 9KW</t>
        </is>
      </c>
      <c r="B312" s="17" t="inlineStr">
        <is>
          <t>SOLIS</t>
        </is>
      </c>
      <c r="C312" s="17" t="inlineStr">
        <is>
          <t>Inversor</t>
        </is>
      </c>
      <c r="D312" s="21" t="n">
        <v>14</v>
      </c>
      <c r="E312" s="30" t="n">
        <v>8.68</v>
      </c>
      <c r="F312" s="20" t="inlineStr">
        <is>
          <t>SOLIS S5-GR1P9K</t>
        </is>
      </c>
      <c r="G312" s="21" t="n">
        <v>1</v>
      </c>
      <c r="H312" s="17" t="inlineStr">
        <is>
          <t>Sim</t>
        </is>
      </c>
      <c r="I312" s="23" t="n">
        <v>23411.85</v>
      </c>
      <c r="J312" s="24">
        <f>(D312*Premissas!$B$24+(2*ROUNDUP(D312/2,0))*Premissas!$B$26+INT((2*ROUNDUP(D312/2,0))/4)*Premissas!$B$27+MOD((2*ROUNDUP(D312/2,0)),4)/2*Premissas!$B$28+2*IF(D312&lt;=19,3*D312,IF(D312&lt;=50,ROUNDUP(2.5*D312,0),2*D312))*Premissas!$B$29+IF(C312="Micro",G312*(Premissas!$B$31+Premissas!$B$32+4*Premissas!$B$30),G312*(INDEX(Premissas!$B$40:$B$71,MATCH(F312,Premissas!$A$40:$A$71,0))+INDEX(Premissas!$C$40:$C$71,MATCH(F312,Premissas!$A$40:$A$71,0))*Premissas!$B$30)))</f>
        <v/>
      </c>
      <c r="K312" s="24">
        <f>IF(J312&lt;Premissas!$B$36,MAX(Premissas!$B$33,J312*Premissas!$B$34),J312*Premissas!$B$35)</f>
        <v/>
      </c>
      <c r="L312" s="24">
        <f>ROUND(J312+K312,2)</f>
        <v/>
      </c>
      <c r="M312" s="24">
        <f>D312*Premissas!$B$8+Premissas!$B$9+Premissas!$B$10+Premissas!$B$11+Premissas!$B$12+ROUND(Premissas!$B$13*E312,2)</f>
        <v/>
      </c>
      <c r="N312" s="25">
        <f>ROUNDUP((L312+M312-Premissas!$B$5*L312)/(1-Premissas!$B$6-Premissas!$B$7-Premissas!$B$5-Premissas!$B$14),2)</f>
        <v/>
      </c>
      <c r="O312" s="24">
        <f>ROUND(IF(N312&lt;=30000,N312*(1+Premissas!$B$21),N312+Premissas!$B$21*30000*SQRT(N312/30000)),2)</f>
        <v/>
      </c>
      <c r="P312" s="24">
        <f>N312-I312</f>
        <v/>
      </c>
      <c r="Q312" s="26">
        <f>P312/I312</f>
        <v/>
      </c>
      <c r="R312" s="26">
        <f>(I312-L312-Premissas!$B$5*(I312-L312)-(Premissas!$B$6+Premissas!$B$7)*I312-M312)/I312</f>
        <v/>
      </c>
      <c r="S312" s="24">
        <f>ROUND((CEILING((L312*Premissas!$B$17/Premissas!$B$18-97)/100,1)*100+97)*Premissas!$B$18,2)</f>
        <v/>
      </c>
    </row>
    <row r="313">
      <c r="A313" s="17" t="inlineStr">
        <is>
          <t>KIT 15 MOD. 620W + INV. SOLIS 9KW</t>
        </is>
      </c>
      <c r="B313" s="17" t="inlineStr">
        <is>
          <t>SOLIS</t>
        </is>
      </c>
      <c r="C313" s="17" t="inlineStr">
        <is>
          <t>Inversor</t>
        </is>
      </c>
      <c r="D313" s="21" t="n">
        <v>15</v>
      </c>
      <c r="E313" s="30" t="n">
        <v>9.300000000000001</v>
      </c>
      <c r="F313" s="20" t="inlineStr">
        <is>
          <t>SOLIS S5-GR1P9K</t>
        </is>
      </c>
      <c r="G313" s="21" t="n">
        <v>1</v>
      </c>
      <c r="H313" s="17" t="inlineStr">
        <is>
          <t>Sim</t>
        </is>
      </c>
      <c r="I313" s="23" t="n">
        <v>24776.85</v>
      </c>
      <c r="J313" s="24">
        <f>(D313*Premissas!$B$24+(2*ROUNDUP(D313/2,0))*Premissas!$B$26+INT((2*ROUNDUP(D313/2,0))/4)*Premissas!$B$27+MOD((2*ROUNDUP(D313/2,0)),4)/2*Premissas!$B$28+2*IF(D313&lt;=19,3*D313,IF(D313&lt;=50,ROUNDUP(2.5*D313,0),2*D313))*Premissas!$B$29+IF(C313="Micro",G313*(Premissas!$B$31+Premissas!$B$32+4*Premissas!$B$30),G313*(INDEX(Premissas!$B$40:$B$71,MATCH(F313,Premissas!$A$40:$A$71,0))+INDEX(Premissas!$C$40:$C$71,MATCH(F313,Premissas!$A$40:$A$71,0))*Premissas!$B$30)))</f>
        <v/>
      </c>
      <c r="K313" s="24">
        <f>IF(J313&lt;Premissas!$B$36,MAX(Premissas!$B$33,J313*Premissas!$B$34),J313*Premissas!$B$35)</f>
        <v/>
      </c>
      <c r="L313" s="24">
        <f>ROUND(J313+K313,2)</f>
        <v/>
      </c>
      <c r="M313" s="24">
        <f>D313*Premissas!$B$8+Premissas!$B$9+Premissas!$B$10+Premissas!$B$11+Premissas!$B$12+ROUND(Premissas!$B$13*E313,2)</f>
        <v/>
      </c>
      <c r="N313" s="25">
        <f>ROUNDUP((L313+M313-Premissas!$B$5*L313)/(1-Premissas!$B$6-Premissas!$B$7-Premissas!$B$5-Premissas!$B$14),2)</f>
        <v/>
      </c>
      <c r="O313" s="24">
        <f>ROUND(IF(N313&lt;=30000,N313*(1+Premissas!$B$21),N313+Premissas!$B$21*30000*SQRT(N313/30000)),2)</f>
        <v/>
      </c>
      <c r="P313" s="24">
        <f>N313-I313</f>
        <v/>
      </c>
      <c r="Q313" s="26">
        <f>P313/I313</f>
        <v/>
      </c>
      <c r="R313" s="26">
        <f>(I313-L313-Premissas!$B$5*(I313-L313)-(Premissas!$B$6+Premissas!$B$7)*I313-M313)/I313</f>
        <v/>
      </c>
      <c r="S313" s="24">
        <f>ROUND((CEILING((L313*Premissas!$B$17/Premissas!$B$18-97)/100,1)*100+97)*Premissas!$B$18,2)</f>
        <v/>
      </c>
    </row>
    <row r="314">
      <c r="A314" s="17" t="inlineStr">
        <is>
          <t>KIT 16 MOD. 620W + INV. SOLIS 9KW</t>
        </is>
      </c>
      <c r="B314" s="17" t="inlineStr">
        <is>
          <t>SOLIS</t>
        </is>
      </c>
      <c r="C314" s="17" t="inlineStr">
        <is>
          <t>Inversor</t>
        </is>
      </c>
      <c r="D314" s="21" t="n">
        <v>16</v>
      </c>
      <c r="E314" s="30" t="n">
        <v>9.92</v>
      </c>
      <c r="F314" s="20" t="inlineStr">
        <is>
          <t>SOLIS S5-GR1P9K</t>
        </is>
      </c>
      <c r="G314" s="21" t="n">
        <v>1</v>
      </c>
      <c r="H314" s="17" t="inlineStr">
        <is>
          <t>Sim</t>
        </is>
      </c>
      <c r="I314" s="23" t="n">
        <v>25826.85</v>
      </c>
      <c r="J314" s="24">
        <f>(D314*Premissas!$B$24+(2*ROUNDUP(D314/2,0))*Premissas!$B$26+INT((2*ROUNDUP(D314/2,0))/4)*Premissas!$B$27+MOD((2*ROUNDUP(D314/2,0)),4)/2*Premissas!$B$28+2*IF(D314&lt;=19,3*D314,IF(D314&lt;=50,ROUNDUP(2.5*D314,0),2*D314))*Premissas!$B$29+IF(C314="Micro",G314*(Premissas!$B$31+Premissas!$B$32+4*Premissas!$B$30),G314*(INDEX(Premissas!$B$40:$B$71,MATCH(F314,Premissas!$A$40:$A$71,0))+INDEX(Premissas!$C$40:$C$71,MATCH(F314,Premissas!$A$40:$A$71,0))*Premissas!$B$30)))</f>
        <v/>
      </c>
      <c r="K314" s="24">
        <f>IF(J314&lt;Premissas!$B$36,MAX(Premissas!$B$33,J314*Premissas!$B$34),J314*Premissas!$B$35)</f>
        <v/>
      </c>
      <c r="L314" s="24">
        <f>ROUND(J314+K314,2)</f>
        <v/>
      </c>
      <c r="M314" s="24">
        <f>D314*Premissas!$B$8+Premissas!$B$9+Premissas!$B$10+Premissas!$B$11+Premissas!$B$12+ROUND(Premissas!$B$13*E314,2)</f>
        <v/>
      </c>
      <c r="N314" s="25">
        <f>ROUNDUP((L314+M314-Premissas!$B$5*L314)/(1-Premissas!$B$6-Premissas!$B$7-Premissas!$B$5-Premissas!$B$14),2)</f>
        <v/>
      </c>
      <c r="O314" s="24">
        <f>ROUND(IF(N314&lt;=30000,N314*(1+Premissas!$B$21),N314+Premissas!$B$21*30000*SQRT(N314/30000)),2)</f>
        <v/>
      </c>
      <c r="P314" s="24">
        <f>N314-I314</f>
        <v/>
      </c>
      <c r="Q314" s="26">
        <f>P314/I314</f>
        <v/>
      </c>
      <c r="R314" s="26">
        <f>(I314-L314-Premissas!$B$5*(I314-L314)-(Premissas!$B$6+Premissas!$B$7)*I314-M314)/I314</f>
        <v/>
      </c>
      <c r="S314" s="24">
        <f>ROUND((CEILING((L314*Premissas!$B$17/Premissas!$B$18-97)/100,1)*100+97)*Premissas!$B$18,2)</f>
        <v/>
      </c>
    </row>
    <row r="315">
      <c r="A315" s="17" t="inlineStr">
        <is>
          <t>KIT 17 MOD. 620W + INV. SOLIS 9KW</t>
        </is>
      </c>
      <c r="B315" s="17" t="inlineStr">
        <is>
          <t>SOLIS</t>
        </is>
      </c>
      <c r="C315" s="17" t="inlineStr">
        <is>
          <t>Inversor</t>
        </is>
      </c>
      <c r="D315" s="21" t="n">
        <v>17</v>
      </c>
      <c r="E315" s="30" t="n">
        <v>10.54</v>
      </c>
      <c r="F315" s="20" t="inlineStr">
        <is>
          <t>SOLIS S5-GR1P9K</t>
        </is>
      </c>
      <c r="G315" s="21" t="n">
        <v>1</v>
      </c>
      <c r="H315" s="17" t="inlineStr">
        <is>
          <t>Sim</t>
        </is>
      </c>
      <c r="I315" s="23" t="n">
        <v>27086.85</v>
      </c>
      <c r="J315" s="24">
        <f>(D315*Premissas!$B$24+(2*ROUNDUP(D315/2,0))*Premissas!$B$26+INT((2*ROUNDUP(D315/2,0))/4)*Premissas!$B$27+MOD((2*ROUNDUP(D315/2,0)),4)/2*Premissas!$B$28+2*IF(D315&lt;=19,3*D315,IF(D315&lt;=50,ROUNDUP(2.5*D315,0),2*D315))*Premissas!$B$29+IF(C315="Micro",G315*(Premissas!$B$31+Premissas!$B$32+4*Premissas!$B$30),G315*(INDEX(Premissas!$B$40:$B$71,MATCH(F315,Premissas!$A$40:$A$71,0))+INDEX(Premissas!$C$40:$C$71,MATCH(F315,Premissas!$A$40:$A$71,0))*Premissas!$B$30)))</f>
        <v/>
      </c>
      <c r="K315" s="24">
        <f>IF(J315&lt;Premissas!$B$36,MAX(Premissas!$B$33,J315*Premissas!$B$34),J315*Premissas!$B$35)</f>
        <v/>
      </c>
      <c r="L315" s="24">
        <f>ROUND(J315+K315,2)</f>
        <v/>
      </c>
      <c r="M315" s="24">
        <f>D315*Premissas!$B$8+Premissas!$B$9+Premissas!$B$10+Premissas!$B$11+Premissas!$B$12+ROUND(Premissas!$B$13*E315,2)</f>
        <v/>
      </c>
      <c r="N315" s="25">
        <f>ROUNDUP((L315+M315-Premissas!$B$5*L315)/(1-Premissas!$B$6-Premissas!$B$7-Premissas!$B$5-Premissas!$B$14),2)</f>
        <v/>
      </c>
      <c r="O315" s="24">
        <f>ROUND(IF(N315&lt;=30000,N315*(1+Premissas!$B$21),N315+Premissas!$B$21*30000*SQRT(N315/30000)),2)</f>
        <v/>
      </c>
      <c r="P315" s="24">
        <f>N315-I315</f>
        <v/>
      </c>
      <c r="Q315" s="26">
        <f>P315/I315</f>
        <v/>
      </c>
      <c r="R315" s="26">
        <f>(I315-L315-Premissas!$B$5*(I315-L315)-(Premissas!$B$6+Premissas!$B$7)*I315-M315)/I315</f>
        <v/>
      </c>
      <c r="S315" s="24">
        <f>ROUND((CEILING((L315*Premissas!$B$17/Premissas!$B$18-97)/100,1)*100+97)*Premissas!$B$18,2)</f>
        <v/>
      </c>
    </row>
    <row r="316">
      <c r="A316" s="17" t="inlineStr">
        <is>
          <t>KIT 18 MOD. 620W + INV. SOLIS 9KW</t>
        </is>
      </c>
      <c r="B316" s="17" t="inlineStr">
        <is>
          <t>SOLIS</t>
        </is>
      </c>
      <c r="C316" s="17" t="inlineStr">
        <is>
          <t>Inversor</t>
        </is>
      </c>
      <c r="D316" s="21" t="n">
        <v>18</v>
      </c>
      <c r="E316" s="30" t="n">
        <v>11.16</v>
      </c>
      <c r="F316" s="20" t="inlineStr">
        <is>
          <t>SOLIS S5-GR1P9K</t>
        </is>
      </c>
      <c r="G316" s="21" t="n">
        <v>1</v>
      </c>
      <c r="H316" s="17" t="inlineStr">
        <is>
          <t>Sim</t>
        </is>
      </c>
      <c r="I316" s="23" t="n">
        <v>28136.85</v>
      </c>
      <c r="J316" s="24">
        <f>(D316*Premissas!$B$24+(2*ROUNDUP(D316/2,0))*Premissas!$B$26+INT((2*ROUNDUP(D316/2,0))/4)*Premissas!$B$27+MOD((2*ROUNDUP(D316/2,0)),4)/2*Premissas!$B$28+2*IF(D316&lt;=19,3*D316,IF(D316&lt;=50,ROUNDUP(2.5*D316,0),2*D316))*Premissas!$B$29+IF(C316="Micro",G316*(Premissas!$B$31+Premissas!$B$32+4*Premissas!$B$30),G316*(INDEX(Premissas!$B$40:$B$71,MATCH(F316,Premissas!$A$40:$A$71,0))+INDEX(Premissas!$C$40:$C$71,MATCH(F316,Premissas!$A$40:$A$71,0))*Premissas!$B$30)))</f>
        <v/>
      </c>
      <c r="K316" s="24">
        <f>IF(J316&lt;Premissas!$B$36,MAX(Premissas!$B$33,J316*Premissas!$B$34),J316*Premissas!$B$35)</f>
        <v/>
      </c>
      <c r="L316" s="24">
        <f>ROUND(J316+K316,2)</f>
        <v/>
      </c>
      <c r="M316" s="24">
        <f>D316*Premissas!$B$8+Premissas!$B$9+Premissas!$B$10+Premissas!$B$11+Premissas!$B$12+ROUND(Premissas!$B$13*E316,2)</f>
        <v/>
      </c>
      <c r="N316" s="25">
        <f>ROUNDUP((L316+M316-Premissas!$B$5*L316)/(1-Premissas!$B$6-Premissas!$B$7-Premissas!$B$5-Premissas!$B$14),2)</f>
        <v/>
      </c>
      <c r="O316" s="24">
        <f>ROUND(IF(N316&lt;=30000,N316*(1+Premissas!$B$21),N316+Premissas!$B$21*30000*SQRT(N316/30000)),2)</f>
        <v/>
      </c>
      <c r="P316" s="24">
        <f>N316-I316</f>
        <v/>
      </c>
      <c r="Q316" s="26">
        <f>P316/I316</f>
        <v/>
      </c>
      <c r="R316" s="26">
        <f>(I316-L316-Premissas!$B$5*(I316-L316)-(Premissas!$B$6+Premissas!$B$7)*I316-M316)/I316</f>
        <v/>
      </c>
      <c r="S316" s="24">
        <f>ROUND((CEILING((L316*Premissas!$B$17/Premissas!$B$18-97)/100,1)*100+97)*Premissas!$B$18,2)</f>
        <v/>
      </c>
    </row>
    <row r="317">
      <c r="A317" s="17" t="inlineStr">
        <is>
          <t>KIT 19 MOD. 620W + INV. SOLIS 9KW</t>
        </is>
      </c>
      <c r="B317" s="17" t="inlineStr">
        <is>
          <t>SOLIS</t>
        </is>
      </c>
      <c r="C317" s="17" t="inlineStr">
        <is>
          <t>Inversor</t>
        </is>
      </c>
      <c r="D317" s="21" t="n">
        <v>19</v>
      </c>
      <c r="E317" s="30" t="n">
        <v>11.78</v>
      </c>
      <c r="F317" s="20" t="inlineStr">
        <is>
          <t>SOLIS S5-GR1P9K</t>
        </is>
      </c>
      <c r="G317" s="21" t="n">
        <v>1</v>
      </c>
      <c r="H317" s="17" t="inlineStr">
        <is>
          <t>Sim</t>
        </is>
      </c>
      <c r="I317" s="23" t="n">
        <v>29501.85</v>
      </c>
      <c r="J317" s="24">
        <f>(D317*Premissas!$B$24+(2*ROUNDUP(D317/2,0))*Premissas!$B$26+INT((2*ROUNDUP(D317/2,0))/4)*Premissas!$B$27+MOD((2*ROUNDUP(D317/2,0)),4)/2*Premissas!$B$28+2*IF(D317&lt;=19,3*D317,IF(D317&lt;=50,ROUNDUP(2.5*D317,0),2*D317))*Premissas!$B$29+IF(C317="Micro",G317*(Premissas!$B$31+Premissas!$B$32+4*Premissas!$B$30),G317*(INDEX(Premissas!$B$40:$B$71,MATCH(F317,Premissas!$A$40:$A$71,0))+INDEX(Premissas!$C$40:$C$71,MATCH(F317,Premissas!$A$40:$A$71,0))*Premissas!$B$30)))</f>
        <v/>
      </c>
      <c r="K317" s="24">
        <f>IF(J317&lt;Premissas!$B$36,MAX(Premissas!$B$33,J317*Premissas!$B$34),J317*Premissas!$B$35)</f>
        <v/>
      </c>
      <c r="L317" s="24">
        <f>ROUND(J317+K317,2)</f>
        <v/>
      </c>
      <c r="M317" s="24">
        <f>D317*Premissas!$B$8+Premissas!$B$9+Premissas!$B$10+Premissas!$B$11+Premissas!$B$12+ROUND(Premissas!$B$13*E317,2)</f>
        <v/>
      </c>
      <c r="N317" s="25">
        <f>ROUNDUP((L317+M317-Premissas!$B$5*L317)/(1-Premissas!$B$6-Premissas!$B$7-Premissas!$B$5-Premissas!$B$14),2)</f>
        <v/>
      </c>
      <c r="O317" s="24">
        <f>ROUND(IF(N317&lt;=30000,N317*(1+Premissas!$B$21),N317+Premissas!$B$21*30000*SQRT(N317/30000)),2)</f>
        <v/>
      </c>
      <c r="P317" s="24">
        <f>N317-I317</f>
        <v/>
      </c>
      <c r="Q317" s="26">
        <f>P317/I317</f>
        <v/>
      </c>
      <c r="R317" s="26">
        <f>(I317-L317-Premissas!$B$5*(I317-L317)-(Premissas!$B$6+Premissas!$B$7)*I317-M317)/I317</f>
        <v/>
      </c>
      <c r="S317" s="24">
        <f>ROUND((CEILING((L317*Premissas!$B$17/Premissas!$B$18-97)/100,1)*100+97)*Premissas!$B$18,2)</f>
        <v/>
      </c>
    </row>
    <row r="318">
      <c r="A318" s="17" t="inlineStr">
        <is>
          <t>KIT 20 MOD. 620W + INV. SOLIS 9KW</t>
        </is>
      </c>
      <c r="B318" s="17" t="inlineStr">
        <is>
          <t>SOLIS</t>
        </is>
      </c>
      <c r="C318" s="17" t="inlineStr">
        <is>
          <t>Inversor</t>
        </is>
      </c>
      <c r="D318" s="21" t="n">
        <v>20</v>
      </c>
      <c r="E318" s="30" t="n">
        <v>12.4</v>
      </c>
      <c r="F318" s="20" t="inlineStr">
        <is>
          <t>SOLIS S5-GR1P9K</t>
        </is>
      </c>
      <c r="G318" s="21" t="n">
        <v>1</v>
      </c>
      <c r="H318" s="17" t="inlineStr">
        <is>
          <t>Sim</t>
        </is>
      </c>
      <c r="I318" s="23" t="n">
        <v>30446.85</v>
      </c>
      <c r="J318" s="24">
        <f>(D318*Premissas!$B$24+(2*ROUNDUP(D318/2,0))*Premissas!$B$26+INT((2*ROUNDUP(D318/2,0))/4)*Premissas!$B$27+MOD((2*ROUNDUP(D318/2,0)),4)/2*Premissas!$B$28+2*IF(D318&lt;=19,3*D318,IF(D318&lt;=50,ROUNDUP(2.5*D318,0),2*D318))*Premissas!$B$29+IF(C318="Micro",G318*(Premissas!$B$31+Premissas!$B$32+4*Premissas!$B$30),G318*(INDEX(Premissas!$B$40:$B$71,MATCH(F318,Premissas!$A$40:$A$71,0))+INDEX(Premissas!$C$40:$C$71,MATCH(F318,Premissas!$A$40:$A$71,0))*Premissas!$B$30)))</f>
        <v/>
      </c>
      <c r="K318" s="24">
        <f>IF(J318&lt;Premissas!$B$36,MAX(Premissas!$B$33,J318*Premissas!$B$34),J318*Premissas!$B$35)</f>
        <v/>
      </c>
      <c r="L318" s="24">
        <f>ROUND(J318+K318,2)</f>
        <v/>
      </c>
      <c r="M318" s="24">
        <f>D318*Premissas!$B$8+Premissas!$B$9+Premissas!$B$10+Premissas!$B$11+Premissas!$B$12+ROUND(Premissas!$B$13*E318,2)</f>
        <v/>
      </c>
      <c r="N318" s="25">
        <f>ROUNDUP((L318+M318-Premissas!$B$5*L318)/(1-Premissas!$B$6-Premissas!$B$7-Premissas!$B$5-Premissas!$B$14),2)</f>
        <v/>
      </c>
      <c r="O318" s="24">
        <f>ROUND(IF(N318&lt;=30000,N318*(1+Premissas!$B$21),N318+Premissas!$B$21*30000*SQRT(N318/30000)),2)</f>
        <v/>
      </c>
      <c r="P318" s="24">
        <f>N318-I318</f>
        <v/>
      </c>
      <c r="Q318" s="26">
        <f>P318/I318</f>
        <v/>
      </c>
      <c r="R318" s="26">
        <f>(I318-L318-Premissas!$B$5*(I318-L318)-(Premissas!$B$6+Premissas!$B$7)*I318-M318)/I318</f>
        <v/>
      </c>
      <c r="S318" s="24">
        <f>ROUND((CEILING((L318*Premissas!$B$17/Premissas!$B$18-97)/100,1)*100+97)*Premissas!$B$18,2)</f>
        <v/>
      </c>
    </row>
    <row r="319">
      <c r="A319" s="17" t="inlineStr">
        <is>
          <t>KIT 21 MOD. 620W + INV. SOLIS 9KW</t>
        </is>
      </c>
      <c r="B319" s="17" t="inlineStr">
        <is>
          <t>SOLIS</t>
        </is>
      </c>
      <c r="C319" s="17" t="inlineStr">
        <is>
          <t>Inversor</t>
        </is>
      </c>
      <c r="D319" s="21" t="n">
        <v>21</v>
      </c>
      <c r="E319" s="30" t="n">
        <v>13.02</v>
      </c>
      <c r="F319" s="20" t="inlineStr">
        <is>
          <t>SOLIS S5-GR1P9K</t>
        </is>
      </c>
      <c r="G319" s="21" t="n">
        <v>1</v>
      </c>
      <c r="H319" s="17" t="inlineStr">
        <is>
          <t>Sim</t>
        </is>
      </c>
      <c r="I319" s="23" t="n">
        <v>31811.85</v>
      </c>
      <c r="J319" s="24">
        <f>(D319*Premissas!$B$24+(2*ROUNDUP(D319/2,0))*Premissas!$B$26+INT((2*ROUNDUP(D319/2,0))/4)*Premissas!$B$27+MOD((2*ROUNDUP(D319/2,0)),4)/2*Premissas!$B$28+2*IF(D319&lt;=19,3*D319,IF(D319&lt;=50,ROUNDUP(2.5*D319,0),2*D319))*Premissas!$B$29+IF(C319="Micro",G319*(Premissas!$B$31+Premissas!$B$32+4*Premissas!$B$30),G319*(INDEX(Premissas!$B$40:$B$71,MATCH(F319,Premissas!$A$40:$A$71,0))+INDEX(Premissas!$C$40:$C$71,MATCH(F319,Premissas!$A$40:$A$71,0))*Premissas!$B$30)))</f>
        <v/>
      </c>
      <c r="K319" s="24">
        <f>IF(J319&lt;Premissas!$B$36,MAX(Premissas!$B$33,J319*Premissas!$B$34),J319*Premissas!$B$35)</f>
        <v/>
      </c>
      <c r="L319" s="24">
        <f>ROUND(J319+K319,2)</f>
        <v/>
      </c>
      <c r="M319" s="24">
        <f>D319*Premissas!$B$8+Premissas!$B$9+Premissas!$B$10+Premissas!$B$11+Premissas!$B$12+ROUND(Premissas!$B$13*E319,2)</f>
        <v/>
      </c>
      <c r="N319" s="25">
        <f>ROUNDUP((L319+M319-Premissas!$B$5*L319)/(1-Premissas!$B$6-Premissas!$B$7-Premissas!$B$5-Premissas!$B$14),2)</f>
        <v/>
      </c>
      <c r="O319" s="24">
        <f>ROUND(IF(N319&lt;=30000,N319*(1+Premissas!$B$21),N319+Premissas!$B$21*30000*SQRT(N319/30000)),2)</f>
        <v/>
      </c>
      <c r="P319" s="24">
        <f>N319-I319</f>
        <v/>
      </c>
      <c r="Q319" s="26">
        <f>P319/I319</f>
        <v/>
      </c>
      <c r="R319" s="26">
        <f>(I319-L319-Premissas!$B$5*(I319-L319)-(Premissas!$B$6+Premissas!$B$7)*I319-M319)/I319</f>
        <v/>
      </c>
      <c r="S319" s="24">
        <f>ROUND((CEILING((L319*Premissas!$B$17/Premissas!$B$18-97)/100,1)*100+97)*Premissas!$B$18,2)</f>
        <v/>
      </c>
    </row>
    <row r="320">
      <c r="A320" s="17" t="inlineStr">
        <is>
          <t>KIT 22 MOD. 620W + INV. SOLIS 9KW</t>
        </is>
      </c>
      <c r="B320" s="17" t="inlineStr">
        <is>
          <t>SOLIS</t>
        </is>
      </c>
      <c r="C320" s="17" t="inlineStr">
        <is>
          <t>Inversor</t>
        </is>
      </c>
      <c r="D320" s="21" t="n">
        <v>22</v>
      </c>
      <c r="E320" s="30" t="n">
        <v>13.64</v>
      </c>
      <c r="F320" s="20" t="inlineStr">
        <is>
          <t>SOLIS S5-GR1P9K</t>
        </is>
      </c>
      <c r="G320" s="21" t="n">
        <v>1</v>
      </c>
      <c r="H320" s="17" t="inlineStr">
        <is>
          <t>Sim</t>
        </is>
      </c>
      <c r="I320" s="23" t="n">
        <v>32861.85</v>
      </c>
      <c r="J320" s="24">
        <f>(D320*Premissas!$B$24+(2*ROUNDUP(D320/2,0))*Premissas!$B$26+INT((2*ROUNDUP(D320/2,0))/4)*Premissas!$B$27+MOD((2*ROUNDUP(D320/2,0)),4)/2*Premissas!$B$28+2*IF(D320&lt;=19,3*D320,IF(D320&lt;=50,ROUNDUP(2.5*D320,0),2*D320))*Premissas!$B$29+IF(C320="Micro",G320*(Premissas!$B$31+Premissas!$B$32+4*Premissas!$B$30),G320*(INDEX(Premissas!$B$40:$B$71,MATCH(F320,Premissas!$A$40:$A$71,0))+INDEX(Premissas!$C$40:$C$71,MATCH(F320,Premissas!$A$40:$A$71,0))*Premissas!$B$30)))</f>
        <v/>
      </c>
      <c r="K320" s="24">
        <f>IF(J320&lt;Premissas!$B$36,MAX(Premissas!$B$33,J320*Premissas!$B$34),J320*Premissas!$B$35)</f>
        <v/>
      </c>
      <c r="L320" s="24">
        <f>ROUND(J320+K320,2)</f>
        <v/>
      </c>
      <c r="M320" s="24">
        <f>D320*Premissas!$B$8+Premissas!$B$9+Premissas!$B$10+Premissas!$B$11+Premissas!$B$12+ROUND(Premissas!$B$13*E320,2)</f>
        <v/>
      </c>
      <c r="N320" s="25">
        <f>ROUNDUP((L320+M320-Premissas!$B$5*L320)/(1-Premissas!$B$6-Premissas!$B$7-Premissas!$B$5-Premissas!$B$14),2)</f>
        <v/>
      </c>
      <c r="O320" s="24">
        <f>ROUND(IF(N320&lt;=30000,N320*(1+Premissas!$B$21),N320+Premissas!$B$21*30000*SQRT(N320/30000)),2)</f>
        <v/>
      </c>
      <c r="P320" s="24">
        <f>N320-I320</f>
        <v/>
      </c>
      <c r="Q320" s="26">
        <f>P320/I320</f>
        <v/>
      </c>
      <c r="R320" s="26">
        <f>(I320-L320-Premissas!$B$5*(I320-L320)-(Premissas!$B$6+Premissas!$B$7)*I320-M320)/I320</f>
        <v/>
      </c>
      <c r="S320" s="24">
        <f>ROUND((CEILING((L320*Premissas!$B$17/Premissas!$B$18-97)/100,1)*100+97)*Premissas!$B$18,2)</f>
        <v/>
      </c>
    </row>
    <row r="321">
      <c r="A321" s="17" t="inlineStr">
        <is>
          <t>KIT 23 MOD. 620W + INV. SOLIS 9KW</t>
        </is>
      </c>
      <c r="B321" s="17" t="inlineStr">
        <is>
          <t>SOLIS</t>
        </is>
      </c>
      <c r="C321" s="17" t="inlineStr">
        <is>
          <t>Inversor</t>
        </is>
      </c>
      <c r="D321" s="21" t="n">
        <v>23</v>
      </c>
      <c r="E321" s="30" t="n">
        <v>14.26</v>
      </c>
      <c r="F321" s="20" t="inlineStr">
        <is>
          <t>SOLIS S5-GR1P9K</t>
        </is>
      </c>
      <c r="G321" s="21" t="n">
        <v>1</v>
      </c>
      <c r="H321" s="17" t="inlineStr">
        <is>
          <t>Sim</t>
        </is>
      </c>
      <c r="I321" s="23" t="n">
        <v>34121.85</v>
      </c>
      <c r="J321" s="24">
        <f>(D321*Premissas!$B$24+(2*ROUNDUP(D321/2,0))*Premissas!$B$26+INT((2*ROUNDUP(D321/2,0))/4)*Premissas!$B$27+MOD((2*ROUNDUP(D321/2,0)),4)/2*Premissas!$B$28+2*IF(D321&lt;=19,3*D321,IF(D321&lt;=50,ROUNDUP(2.5*D321,0),2*D321))*Premissas!$B$29+IF(C321="Micro",G321*(Premissas!$B$31+Premissas!$B$32+4*Premissas!$B$30),G321*(INDEX(Premissas!$B$40:$B$71,MATCH(F321,Premissas!$A$40:$A$71,0))+INDEX(Premissas!$C$40:$C$71,MATCH(F321,Premissas!$A$40:$A$71,0))*Premissas!$B$30)))</f>
        <v/>
      </c>
      <c r="K321" s="24">
        <f>IF(J321&lt;Premissas!$B$36,MAX(Premissas!$B$33,J321*Premissas!$B$34),J321*Premissas!$B$35)</f>
        <v/>
      </c>
      <c r="L321" s="24">
        <f>ROUND(J321+K321,2)</f>
        <v/>
      </c>
      <c r="M321" s="24">
        <f>D321*Premissas!$B$8+Premissas!$B$9+Premissas!$B$10+Premissas!$B$11+Premissas!$B$12+ROUND(Premissas!$B$13*E321,2)</f>
        <v/>
      </c>
      <c r="N321" s="25">
        <f>ROUNDUP((L321+M321-Premissas!$B$5*L321)/(1-Premissas!$B$6-Premissas!$B$7-Premissas!$B$5-Premissas!$B$14),2)</f>
        <v/>
      </c>
      <c r="O321" s="24">
        <f>ROUND(IF(N321&lt;=30000,N321*(1+Premissas!$B$21),N321+Premissas!$B$21*30000*SQRT(N321/30000)),2)</f>
        <v/>
      </c>
      <c r="P321" s="24">
        <f>N321-I321</f>
        <v/>
      </c>
      <c r="Q321" s="26">
        <f>P321/I321</f>
        <v/>
      </c>
      <c r="R321" s="26">
        <f>(I321-L321-Premissas!$B$5*(I321-L321)-(Premissas!$B$6+Premissas!$B$7)*I321-M321)/I321</f>
        <v/>
      </c>
      <c r="S321" s="24">
        <f>ROUND((CEILING((L321*Premissas!$B$17/Premissas!$B$18-97)/100,1)*100+97)*Premissas!$B$18,2)</f>
        <v/>
      </c>
    </row>
    <row r="322">
      <c r="A322" s="17" t="inlineStr">
        <is>
          <t>KIT 24 MOD. 620W + INV. SOLIS 9KW</t>
        </is>
      </c>
      <c r="B322" s="17" t="inlineStr">
        <is>
          <t>SOLIS</t>
        </is>
      </c>
      <c r="C322" s="17" t="inlineStr">
        <is>
          <t>Inversor</t>
        </is>
      </c>
      <c r="D322" s="21" t="n">
        <v>24</v>
      </c>
      <c r="E322" s="30" t="n">
        <v>14.88</v>
      </c>
      <c r="F322" s="20" t="inlineStr">
        <is>
          <t>SOLIS S5-GR1P9K</t>
        </is>
      </c>
      <c r="G322" s="21" t="n">
        <v>1</v>
      </c>
      <c r="H322" s="17" t="inlineStr">
        <is>
          <t>Sim</t>
        </is>
      </c>
      <c r="I322" s="23" t="n">
        <v>35171.85</v>
      </c>
      <c r="J322" s="24">
        <f>(D322*Premissas!$B$24+(2*ROUNDUP(D322/2,0))*Premissas!$B$26+INT((2*ROUNDUP(D322/2,0))/4)*Premissas!$B$27+MOD((2*ROUNDUP(D322/2,0)),4)/2*Premissas!$B$28+2*IF(D322&lt;=19,3*D322,IF(D322&lt;=50,ROUNDUP(2.5*D322,0),2*D322))*Premissas!$B$29+IF(C322="Micro",G322*(Premissas!$B$31+Premissas!$B$32+4*Premissas!$B$30),G322*(INDEX(Premissas!$B$40:$B$71,MATCH(F322,Premissas!$A$40:$A$71,0))+INDEX(Premissas!$C$40:$C$71,MATCH(F322,Premissas!$A$40:$A$71,0))*Premissas!$B$30)))</f>
        <v/>
      </c>
      <c r="K322" s="24">
        <f>IF(J322&lt;Premissas!$B$36,MAX(Premissas!$B$33,J322*Premissas!$B$34),J322*Premissas!$B$35)</f>
        <v/>
      </c>
      <c r="L322" s="24">
        <f>ROUND(J322+K322,2)</f>
        <v/>
      </c>
      <c r="M322" s="24">
        <f>D322*Premissas!$B$8+Premissas!$B$9+Premissas!$B$10+Premissas!$B$11+Premissas!$B$12+ROUND(Premissas!$B$13*E322,2)</f>
        <v/>
      </c>
      <c r="N322" s="25">
        <f>ROUNDUP((L322+M322-Premissas!$B$5*L322)/(1-Premissas!$B$6-Premissas!$B$7-Premissas!$B$5-Premissas!$B$14),2)</f>
        <v/>
      </c>
      <c r="O322" s="24">
        <f>ROUND(IF(N322&lt;=30000,N322*(1+Premissas!$B$21),N322+Premissas!$B$21*30000*SQRT(N322/30000)),2)</f>
        <v/>
      </c>
      <c r="P322" s="24">
        <f>N322-I322</f>
        <v/>
      </c>
      <c r="Q322" s="26">
        <f>P322/I322</f>
        <v/>
      </c>
      <c r="R322" s="26">
        <f>(I322-L322-Premissas!$B$5*(I322-L322)-(Premissas!$B$6+Premissas!$B$7)*I322-M322)/I322</f>
        <v/>
      </c>
      <c r="S322" s="24">
        <f>ROUND((CEILING((L322*Premissas!$B$17/Premissas!$B$18-97)/100,1)*100+97)*Premissas!$B$18,2)</f>
        <v/>
      </c>
    </row>
    <row r="323">
      <c r="A323" s="17" t="inlineStr">
        <is>
          <t>KIT 29 MOD. 620W + INV. SOLIS 15KW</t>
        </is>
      </c>
      <c r="B323" s="17" t="inlineStr">
        <is>
          <t>SOLIS</t>
        </is>
      </c>
      <c r="C323" s="17" t="inlineStr">
        <is>
          <t>Inversor</t>
        </is>
      </c>
      <c r="D323" s="21" t="n">
        <v>29</v>
      </c>
      <c r="E323" s="30" t="n">
        <v>17.98</v>
      </c>
      <c r="F323" s="20" t="inlineStr">
        <is>
          <t>SOLIS S5-GC15K-LV TRI 220V</t>
        </is>
      </c>
      <c r="G323" s="21" t="n">
        <v>1</v>
      </c>
      <c r="H323" s="17" t="inlineStr">
        <is>
          <t>Sim</t>
        </is>
      </c>
      <c r="I323" s="23" t="n">
        <v>47561.85</v>
      </c>
      <c r="J323" s="24">
        <f>(D323*Premissas!$B$24+(2*ROUNDUP(D323/2,0))*Premissas!$B$26+INT((2*ROUNDUP(D323/2,0))/4)*Premissas!$B$27+MOD((2*ROUNDUP(D323/2,0)),4)/2*Premissas!$B$28+2*IF(D323&lt;=19,3*D323,IF(D323&lt;=50,ROUNDUP(2.5*D323,0),2*D323))*Premissas!$B$29+IF(C323="Micro",G323*(Premissas!$B$31+Premissas!$B$32+4*Premissas!$B$30),G323*(INDEX(Premissas!$B$40:$B$71,MATCH(F323,Premissas!$A$40:$A$71,0))+INDEX(Premissas!$C$40:$C$71,MATCH(F323,Premissas!$A$40:$A$71,0))*Premissas!$B$30)))</f>
        <v/>
      </c>
      <c r="K323" s="24">
        <f>IF(J323&lt;Premissas!$B$36,MAX(Premissas!$B$33,J323*Premissas!$B$34),J323*Premissas!$B$35)</f>
        <v/>
      </c>
      <c r="L323" s="24">
        <f>ROUND(J323+K323,2)</f>
        <v/>
      </c>
      <c r="M323" s="24">
        <f>D323*Premissas!$B$8+Premissas!$B$9+Premissas!$B$10+Premissas!$B$11+Premissas!$B$12+ROUND(Premissas!$B$13*E323,2)</f>
        <v/>
      </c>
      <c r="N323" s="25">
        <f>ROUNDUP((L323+M323-Premissas!$B$5*L323)/(1-Premissas!$B$6-Premissas!$B$7-Premissas!$B$5-Premissas!$B$14),2)</f>
        <v/>
      </c>
      <c r="O323" s="24">
        <f>ROUND(IF(N323&lt;=30000,N323*(1+Premissas!$B$21),N323+Premissas!$B$21*30000*SQRT(N323/30000)),2)</f>
        <v/>
      </c>
      <c r="P323" s="24">
        <f>N323-I323</f>
        <v/>
      </c>
      <c r="Q323" s="26">
        <f>P323/I323</f>
        <v/>
      </c>
      <c r="R323" s="26">
        <f>(I323-L323-Premissas!$B$5*(I323-L323)-(Premissas!$B$6+Premissas!$B$7)*I323-M323)/I323</f>
        <v/>
      </c>
      <c r="S323" s="24">
        <f>ROUND((CEILING((L323*Premissas!$B$17/Premissas!$B$18-97)/100,1)*100+97)*Premissas!$B$18,2)</f>
        <v/>
      </c>
    </row>
    <row r="324">
      <c r="A324" s="17" t="inlineStr">
        <is>
          <t>KIT 30 MOD. 620W + INV. SOLIS 15KW</t>
        </is>
      </c>
      <c r="B324" s="17" t="inlineStr">
        <is>
          <t>SOLIS</t>
        </is>
      </c>
      <c r="C324" s="17" t="inlineStr">
        <is>
          <t>Inversor</t>
        </is>
      </c>
      <c r="D324" s="21" t="n">
        <v>30</v>
      </c>
      <c r="E324" s="30" t="n">
        <v>18.6</v>
      </c>
      <c r="F324" s="20" t="inlineStr">
        <is>
          <t>SOLIS S5-GC15K-LV TRI 220V</t>
        </is>
      </c>
      <c r="G324" s="21" t="n">
        <v>1</v>
      </c>
      <c r="H324" s="17" t="inlineStr">
        <is>
          <t>Sim</t>
        </is>
      </c>
      <c r="I324" s="23" t="n">
        <v>48611.85</v>
      </c>
      <c r="J324" s="24">
        <f>(D324*Premissas!$B$24+(2*ROUNDUP(D324/2,0))*Premissas!$B$26+INT((2*ROUNDUP(D324/2,0))/4)*Premissas!$B$27+MOD((2*ROUNDUP(D324/2,0)),4)/2*Premissas!$B$28+2*IF(D324&lt;=19,3*D324,IF(D324&lt;=50,ROUNDUP(2.5*D324,0),2*D324))*Premissas!$B$29+IF(C324="Micro",G324*(Premissas!$B$31+Premissas!$B$32+4*Premissas!$B$30),G324*(INDEX(Premissas!$B$40:$B$71,MATCH(F324,Premissas!$A$40:$A$71,0))+INDEX(Premissas!$C$40:$C$71,MATCH(F324,Premissas!$A$40:$A$71,0))*Premissas!$B$30)))</f>
        <v/>
      </c>
      <c r="K324" s="24">
        <f>IF(J324&lt;Premissas!$B$36,MAX(Premissas!$B$33,J324*Premissas!$B$34),J324*Premissas!$B$35)</f>
        <v/>
      </c>
      <c r="L324" s="24">
        <f>ROUND(J324+K324,2)</f>
        <v/>
      </c>
      <c r="M324" s="24">
        <f>D324*Premissas!$B$8+Premissas!$B$9+Premissas!$B$10+Premissas!$B$11+Premissas!$B$12+ROUND(Premissas!$B$13*E324,2)</f>
        <v/>
      </c>
      <c r="N324" s="25">
        <f>ROUNDUP((L324+M324-Premissas!$B$5*L324)/(1-Premissas!$B$6-Premissas!$B$7-Premissas!$B$5-Premissas!$B$14),2)</f>
        <v/>
      </c>
      <c r="O324" s="24">
        <f>ROUND(IF(N324&lt;=30000,N324*(1+Premissas!$B$21),N324+Premissas!$B$21*30000*SQRT(N324/30000)),2)</f>
        <v/>
      </c>
      <c r="P324" s="24">
        <f>N324-I324</f>
        <v/>
      </c>
      <c r="Q324" s="26">
        <f>P324/I324</f>
        <v/>
      </c>
      <c r="R324" s="26">
        <f>(I324-L324-Premissas!$B$5*(I324-L324)-(Premissas!$B$6+Premissas!$B$7)*I324-M324)/I324</f>
        <v/>
      </c>
      <c r="S324" s="24">
        <f>ROUND((CEILING((L324*Premissas!$B$17/Premissas!$B$18-97)/100,1)*100+97)*Premissas!$B$18,2)</f>
        <v/>
      </c>
    </row>
    <row r="325">
      <c r="A325" s="17" t="inlineStr">
        <is>
          <t>KIT 31 MOD. 620W + INV. SOLIS 15KW</t>
        </is>
      </c>
      <c r="B325" s="17" t="inlineStr">
        <is>
          <t>SOLIS</t>
        </is>
      </c>
      <c r="C325" s="17" t="inlineStr">
        <is>
          <t>Inversor</t>
        </is>
      </c>
      <c r="D325" s="21" t="n">
        <v>31</v>
      </c>
      <c r="E325" s="30" t="n">
        <v>19.22</v>
      </c>
      <c r="F325" s="20" t="inlineStr">
        <is>
          <t>SOLIS S5-GC15K-LV TRI 220V</t>
        </is>
      </c>
      <c r="G325" s="21" t="n">
        <v>1</v>
      </c>
      <c r="H325" s="17" t="inlineStr">
        <is>
          <t>Sim</t>
        </is>
      </c>
      <c r="I325" s="23" t="n">
        <v>49976.85</v>
      </c>
      <c r="J325" s="24">
        <f>(D325*Premissas!$B$24+(2*ROUNDUP(D325/2,0))*Premissas!$B$26+INT((2*ROUNDUP(D325/2,0))/4)*Premissas!$B$27+MOD((2*ROUNDUP(D325/2,0)),4)/2*Premissas!$B$28+2*IF(D325&lt;=19,3*D325,IF(D325&lt;=50,ROUNDUP(2.5*D325,0),2*D325))*Premissas!$B$29+IF(C325="Micro",G325*(Premissas!$B$31+Premissas!$B$32+4*Premissas!$B$30),G325*(INDEX(Premissas!$B$40:$B$71,MATCH(F325,Premissas!$A$40:$A$71,0))+INDEX(Premissas!$C$40:$C$71,MATCH(F325,Premissas!$A$40:$A$71,0))*Premissas!$B$30)))</f>
        <v/>
      </c>
      <c r="K325" s="24">
        <f>IF(J325&lt;Premissas!$B$36,MAX(Premissas!$B$33,J325*Premissas!$B$34),J325*Premissas!$B$35)</f>
        <v/>
      </c>
      <c r="L325" s="24">
        <f>ROUND(J325+K325,2)</f>
        <v/>
      </c>
      <c r="M325" s="24">
        <f>D325*Premissas!$B$8+Premissas!$B$9+Premissas!$B$10+Premissas!$B$11+Premissas!$B$12+ROUND(Premissas!$B$13*E325,2)</f>
        <v/>
      </c>
      <c r="N325" s="25">
        <f>ROUNDUP((L325+M325-Premissas!$B$5*L325)/(1-Premissas!$B$6-Premissas!$B$7-Premissas!$B$5-Premissas!$B$14),2)</f>
        <v/>
      </c>
      <c r="O325" s="24">
        <f>ROUND(IF(N325&lt;=30000,N325*(1+Premissas!$B$21),N325+Premissas!$B$21*30000*SQRT(N325/30000)),2)</f>
        <v/>
      </c>
      <c r="P325" s="24">
        <f>N325-I325</f>
        <v/>
      </c>
      <c r="Q325" s="26">
        <f>P325/I325</f>
        <v/>
      </c>
      <c r="R325" s="26">
        <f>(I325-L325-Premissas!$B$5*(I325-L325)-(Premissas!$B$6+Premissas!$B$7)*I325-M325)/I325</f>
        <v/>
      </c>
      <c r="S325" s="24">
        <f>ROUND((CEILING((L325*Premissas!$B$17/Premissas!$B$18-97)/100,1)*100+97)*Premissas!$B$18,2)</f>
        <v/>
      </c>
    </row>
    <row r="326">
      <c r="A326" s="17" t="inlineStr">
        <is>
          <t>KIT 32 MOD. 620W + INV. SOLIS 15KW</t>
        </is>
      </c>
      <c r="B326" s="17" t="inlineStr">
        <is>
          <t>SOLIS</t>
        </is>
      </c>
      <c r="C326" s="17" t="inlineStr">
        <is>
          <t>Inversor</t>
        </is>
      </c>
      <c r="D326" s="21" t="n">
        <v>32</v>
      </c>
      <c r="E326" s="30" t="n">
        <v>19.84</v>
      </c>
      <c r="F326" s="20" t="inlineStr">
        <is>
          <t>SOLIS S5-GC15K-LV TRI 220V</t>
        </is>
      </c>
      <c r="G326" s="21" t="n">
        <v>1</v>
      </c>
      <c r="H326" s="17" t="inlineStr">
        <is>
          <t>Sim</t>
        </is>
      </c>
      <c r="I326" s="23" t="n">
        <v>51026.85</v>
      </c>
      <c r="J326" s="24">
        <f>(D326*Premissas!$B$24+(2*ROUNDUP(D326/2,0))*Premissas!$B$26+INT((2*ROUNDUP(D326/2,0))/4)*Premissas!$B$27+MOD((2*ROUNDUP(D326/2,0)),4)/2*Premissas!$B$28+2*IF(D326&lt;=19,3*D326,IF(D326&lt;=50,ROUNDUP(2.5*D326,0),2*D326))*Premissas!$B$29+IF(C326="Micro",G326*(Premissas!$B$31+Premissas!$B$32+4*Premissas!$B$30),G326*(INDEX(Premissas!$B$40:$B$71,MATCH(F326,Premissas!$A$40:$A$71,0))+INDEX(Premissas!$C$40:$C$71,MATCH(F326,Premissas!$A$40:$A$71,0))*Premissas!$B$30)))</f>
        <v/>
      </c>
      <c r="K326" s="24">
        <f>IF(J326&lt;Premissas!$B$36,MAX(Premissas!$B$33,J326*Premissas!$B$34),J326*Premissas!$B$35)</f>
        <v/>
      </c>
      <c r="L326" s="24">
        <f>ROUND(J326+K326,2)</f>
        <v/>
      </c>
      <c r="M326" s="24">
        <f>D326*Premissas!$B$8+Premissas!$B$9+Premissas!$B$10+Premissas!$B$11+Premissas!$B$12+ROUND(Premissas!$B$13*E326,2)</f>
        <v/>
      </c>
      <c r="N326" s="25">
        <f>ROUNDUP((L326+M326-Premissas!$B$5*L326)/(1-Premissas!$B$6-Premissas!$B$7-Premissas!$B$5-Premissas!$B$14),2)</f>
        <v/>
      </c>
      <c r="O326" s="24">
        <f>ROUND(IF(N326&lt;=30000,N326*(1+Premissas!$B$21),N326+Premissas!$B$21*30000*SQRT(N326/30000)),2)</f>
        <v/>
      </c>
      <c r="P326" s="24">
        <f>N326-I326</f>
        <v/>
      </c>
      <c r="Q326" s="26">
        <f>P326/I326</f>
        <v/>
      </c>
      <c r="R326" s="26">
        <f>(I326-L326-Premissas!$B$5*(I326-L326)-(Premissas!$B$6+Premissas!$B$7)*I326-M326)/I326</f>
        <v/>
      </c>
      <c r="S326" s="24">
        <f>ROUND((CEILING((L326*Premissas!$B$17/Premissas!$B$18-97)/100,1)*100+97)*Premissas!$B$18,2)</f>
        <v/>
      </c>
    </row>
    <row r="327">
      <c r="A327" s="17" t="inlineStr">
        <is>
          <t>KIT 33 MOD. 620W + INV. SOLIS 15KW</t>
        </is>
      </c>
      <c r="B327" s="17" t="inlineStr">
        <is>
          <t>SOLIS</t>
        </is>
      </c>
      <c r="C327" s="17" t="inlineStr">
        <is>
          <t>Inversor</t>
        </is>
      </c>
      <c r="D327" s="21" t="n">
        <v>33</v>
      </c>
      <c r="E327" s="30" t="n">
        <v>20.46</v>
      </c>
      <c r="F327" s="20" t="inlineStr">
        <is>
          <t>SOLIS S5-GC15K-LV TRI 220V</t>
        </is>
      </c>
      <c r="G327" s="21" t="n">
        <v>1</v>
      </c>
      <c r="H327" s="17" t="inlineStr">
        <is>
          <t>Sim</t>
        </is>
      </c>
      <c r="I327" s="23" t="n">
        <v>52391.85</v>
      </c>
      <c r="J327" s="24">
        <f>(D327*Premissas!$B$24+(2*ROUNDUP(D327/2,0))*Premissas!$B$26+INT((2*ROUNDUP(D327/2,0))/4)*Premissas!$B$27+MOD((2*ROUNDUP(D327/2,0)),4)/2*Premissas!$B$28+2*IF(D327&lt;=19,3*D327,IF(D327&lt;=50,ROUNDUP(2.5*D327,0),2*D327))*Premissas!$B$29+IF(C327="Micro",G327*(Premissas!$B$31+Premissas!$B$32+4*Premissas!$B$30),G327*(INDEX(Premissas!$B$40:$B$71,MATCH(F327,Premissas!$A$40:$A$71,0))+INDEX(Premissas!$C$40:$C$71,MATCH(F327,Premissas!$A$40:$A$71,0))*Premissas!$B$30)))</f>
        <v/>
      </c>
      <c r="K327" s="24">
        <f>IF(J327&lt;Premissas!$B$36,MAX(Premissas!$B$33,J327*Premissas!$B$34),J327*Premissas!$B$35)</f>
        <v/>
      </c>
      <c r="L327" s="24">
        <f>ROUND(J327+K327,2)</f>
        <v/>
      </c>
      <c r="M327" s="24">
        <f>D327*Premissas!$B$8+Premissas!$B$9+Premissas!$B$10+Premissas!$B$11+Premissas!$B$12+ROUND(Premissas!$B$13*E327,2)</f>
        <v/>
      </c>
      <c r="N327" s="25">
        <f>ROUNDUP((L327+M327-Premissas!$B$5*L327)/(1-Premissas!$B$6-Premissas!$B$7-Premissas!$B$5-Premissas!$B$14),2)</f>
        <v/>
      </c>
      <c r="O327" s="24">
        <f>ROUND(IF(N327&lt;=30000,N327*(1+Premissas!$B$21),N327+Premissas!$B$21*30000*SQRT(N327/30000)),2)</f>
        <v/>
      </c>
      <c r="P327" s="24">
        <f>N327-I327</f>
        <v/>
      </c>
      <c r="Q327" s="26">
        <f>P327/I327</f>
        <v/>
      </c>
      <c r="R327" s="26">
        <f>(I327-L327-Premissas!$B$5*(I327-L327)-(Premissas!$B$6+Premissas!$B$7)*I327-M327)/I327</f>
        <v/>
      </c>
      <c r="S327" s="24">
        <f>ROUND((CEILING((L327*Premissas!$B$17/Premissas!$B$18-97)/100,1)*100+97)*Premissas!$B$18,2)</f>
        <v/>
      </c>
    </row>
    <row r="328">
      <c r="A328" s="17" t="inlineStr">
        <is>
          <t>KIT 34 MOD. 620W + INV. SOLIS 15KW</t>
        </is>
      </c>
      <c r="B328" s="17" t="inlineStr">
        <is>
          <t>SOLIS</t>
        </is>
      </c>
      <c r="C328" s="17" t="inlineStr">
        <is>
          <t>Inversor</t>
        </is>
      </c>
      <c r="D328" s="21" t="n">
        <v>34</v>
      </c>
      <c r="E328" s="30" t="n">
        <v>21.08</v>
      </c>
      <c r="F328" s="20" t="inlineStr">
        <is>
          <t>SOLIS S5-GC15K-LV TRI 220V</t>
        </is>
      </c>
      <c r="G328" s="21" t="n">
        <v>1</v>
      </c>
      <c r="H328" s="17" t="inlineStr">
        <is>
          <t>Sim</t>
        </is>
      </c>
      <c r="I328" s="23" t="n">
        <v>53441.85</v>
      </c>
      <c r="J328" s="24">
        <f>(D328*Premissas!$B$24+(2*ROUNDUP(D328/2,0))*Premissas!$B$26+INT((2*ROUNDUP(D328/2,0))/4)*Premissas!$B$27+MOD((2*ROUNDUP(D328/2,0)),4)/2*Premissas!$B$28+2*IF(D328&lt;=19,3*D328,IF(D328&lt;=50,ROUNDUP(2.5*D328,0),2*D328))*Premissas!$B$29+IF(C328="Micro",G328*(Premissas!$B$31+Premissas!$B$32+4*Premissas!$B$30),G328*(INDEX(Premissas!$B$40:$B$71,MATCH(F328,Premissas!$A$40:$A$71,0))+INDEX(Premissas!$C$40:$C$71,MATCH(F328,Premissas!$A$40:$A$71,0))*Premissas!$B$30)))</f>
        <v/>
      </c>
      <c r="K328" s="24">
        <f>IF(J328&lt;Premissas!$B$36,MAX(Premissas!$B$33,J328*Premissas!$B$34),J328*Premissas!$B$35)</f>
        <v/>
      </c>
      <c r="L328" s="24">
        <f>ROUND(J328+K328,2)</f>
        <v/>
      </c>
      <c r="M328" s="24">
        <f>D328*Premissas!$B$8+Premissas!$B$9+Premissas!$B$10+Premissas!$B$11+Premissas!$B$12+ROUND(Premissas!$B$13*E328,2)</f>
        <v/>
      </c>
      <c r="N328" s="25">
        <f>ROUNDUP((L328+M328-Premissas!$B$5*L328)/(1-Premissas!$B$6-Premissas!$B$7-Premissas!$B$5-Premissas!$B$14),2)</f>
        <v/>
      </c>
      <c r="O328" s="24">
        <f>ROUND(IF(N328&lt;=30000,N328*(1+Premissas!$B$21),N328+Premissas!$B$21*30000*SQRT(N328/30000)),2)</f>
        <v/>
      </c>
      <c r="P328" s="24">
        <f>N328-I328</f>
        <v/>
      </c>
      <c r="Q328" s="26">
        <f>P328/I328</f>
        <v/>
      </c>
      <c r="R328" s="26">
        <f>(I328-L328-Premissas!$B$5*(I328-L328)-(Premissas!$B$6+Premissas!$B$7)*I328-M328)/I328</f>
        <v/>
      </c>
      <c r="S328" s="24">
        <f>ROUND((CEILING((L328*Premissas!$B$17/Premissas!$B$18-97)/100,1)*100+97)*Premissas!$B$18,2)</f>
        <v/>
      </c>
    </row>
    <row r="329">
      <c r="A329" s="17" t="inlineStr">
        <is>
          <t>KIT 35 MOD. 620W + INV. SOLIS 15KW</t>
        </is>
      </c>
      <c r="B329" s="17" t="inlineStr">
        <is>
          <t>SOLIS</t>
        </is>
      </c>
      <c r="C329" s="17" t="inlineStr">
        <is>
          <t>Inversor</t>
        </is>
      </c>
      <c r="D329" s="21" t="n">
        <v>35</v>
      </c>
      <c r="E329" s="30" t="n">
        <v>21.7</v>
      </c>
      <c r="F329" s="20" t="inlineStr">
        <is>
          <t>SOLIS S5-GC15K-LV TRI 220V</t>
        </is>
      </c>
      <c r="G329" s="21" t="n">
        <v>1</v>
      </c>
      <c r="H329" s="17" t="inlineStr">
        <is>
          <t>Sim</t>
        </is>
      </c>
      <c r="I329" s="23" t="n">
        <v>54701.85</v>
      </c>
      <c r="J329" s="24">
        <f>(D329*Premissas!$B$24+(2*ROUNDUP(D329/2,0))*Premissas!$B$26+INT((2*ROUNDUP(D329/2,0))/4)*Premissas!$B$27+MOD((2*ROUNDUP(D329/2,0)),4)/2*Premissas!$B$28+2*IF(D329&lt;=19,3*D329,IF(D329&lt;=50,ROUNDUP(2.5*D329,0),2*D329))*Premissas!$B$29+IF(C329="Micro",G329*(Premissas!$B$31+Premissas!$B$32+4*Premissas!$B$30),G329*(INDEX(Premissas!$B$40:$B$71,MATCH(F329,Premissas!$A$40:$A$71,0))+INDEX(Premissas!$C$40:$C$71,MATCH(F329,Premissas!$A$40:$A$71,0))*Premissas!$B$30)))</f>
        <v/>
      </c>
      <c r="K329" s="24">
        <f>IF(J329&lt;Premissas!$B$36,MAX(Premissas!$B$33,J329*Premissas!$B$34),J329*Premissas!$B$35)</f>
        <v/>
      </c>
      <c r="L329" s="24">
        <f>ROUND(J329+K329,2)</f>
        <v/>
      </c>
      <c r="M329" s="24">
        <f>D329*Premissas!$B$8+Premissas!$B$9+Premissas!$B$10+Premissas!$B$11+Premissas!$B$12+ROUND(Premissas!$B$13*E329,2)</f>
        <v/>
      </c>
      <c r="N329" s="25">
        <f>ROUNDUP((L329+M329-Premissas!$B$5*L329)/(1-Premissas!$B$6-Premissas!$B$7-Premissas!$B$5-Premissas!$B$14),2)</f>
        <v/>
      </c>
      <c r="O329" s="24">
        <f>ROUND(IF(N329&lt;=30000,N329*(1+Premissas!$B$21),N329+Premissas!$B$21*30000*SQRT(N329/30000)),2)</f>
        <v/>
      </c>
      <c r="P329" s="24">
        <f>N329-I329</f>
        <v/>
      </c>
      <c r="Q329" s="26">
        <f>P329/I329</f>
        <v/>
      </c>
      <c r="R329" s="26">
        <f>(I329-L329-Premissas!$B$5*(I329-L329)-(Premissas!$B$6+Premissas!$B$7)*I329-M329)/I329</f>
        <v/>
      </c>
      <c r="S329" s="24">
        <f>ROUND((CEILING((L329*Premissas!$B$17/Premissas!$B$18-97)/100,1)*100+97)*Premissas!$B$18,2)</f>
        <v/>
      </c>
    </row>
    <row r="330">
      <c r="A330" s="17" t="inlineStr">
        <is>
          <t>KIT 36 MOD. 620W + INV. SOLIS 15KW</t>
        </is>
      </c>
      <c r="B330" s="17" t="inlineStr">
        <is>
          <t>SOLIS</t>
        </is>
      </c>
      <c r="C330" s="17" t="inlineStr">
        <is>
          <t>Inversor</t>
        </is>
      </c>
      <c r="D330" s="21" t="n">
        <v>36</v>
      </c>
      <c r="E330" s="30" t="n">
        <v>22.32</v>
      </c>
      <c r="F330" s="20" t="inlineStr">
        <is>
          <t>SOLIS S5-GC15K-LV TRI 220V</t>
        </is>
      </c>
      <c r="G330" s="21" t="n">
        <v>1</v>
      </c>
      <c r="H330" s="17" t="inlineStr">
        <is>
          <t>Sim</t>
        </is>
      </c>
      <c r="I330" s="23" t="n">
        <v>55751.85</v>
      </c>
      <c r="J330" s="24">
        <f>(D330*Premissas!$B$24+(2*ROUNDUP(D330/2,0))*Premissas!$B$26+INT((2*ROUNDUP(D330/2,0))/4)*Premissas!$B$27+MOD((2*ROUNDUP(D330/2,0)),4)/2*Premissas!$B$28+2*IF(D330&lt;=19,3*D330,IF(D330&lt;=50,ROUNDUP(2.5*D330,0),2*D330))*Premissas!$B$29+IF(C330="Micro",G330*(Premissas!$B$31+Premissas!$B$32+4*Premissas!$B$30),G330*(INDEX(Premissas!$B$40:$B$71,MATCH(F330,Premissas!$A$40:$A$71,0))+INDEX(Premissas!$C$40:$C$71,MATCH(F330,Premissas!$A$40:$A$71,0))*Premissas!$B$30)))</f>
        <v/>
      </c>
      <c r="K330" s="24">
        <f>IF(J330&lt;Premissas!$B$36,MAX(Premissas!$B$33,J330*Premissas!$B$34),J330*Premissas!$B$35)</f>
        <v/>
      </c>
      <c r="L330" s="24">
        <f>ROUND(J330+K330,2)</f>
        <v/>
      </c>
      <c r="M330" s="24">
        <f>D330*Premissas!$B$8+Premissas!$B$9+Premissas!$B$10+Premissas!$B$11+Premissas!$B$12+ROUND(Premissas!$B$13*E330,2)</f>
        <v/>
      </c>
      <c r="N330" s="25">
        <f>ROUNDUP((L330+M330-Premissas!$B$5*L330)/(1-Premissas!$B$6-Premissas!$B$7-Premissas!$B$5-Premissas!$B$14),2)</f>
        <v/>
      </c>
      <c r="O330" s="24">
        <f>ROUND(IF(N330&lt;=30000,N330*(1+Premissas!$B$21),N330+Premissas!$B$21*30000*SQRT(N330/30000)),2)</f>
        <v/>
      </c>
      <c r="P330" s="24">
        <f>N330-I330</f>
        <v/>
      </c>
      <c r="Q330" s="26">
        <f>P330/I330</f>
        <v/>
      </c>
      <c r="R330" s="26">
        <f>(I330-L330-Premissas!$B$5*(I330-L330)-(Premissas!$B$6+Premissas!$B$7)*I330-M330)/I330</f>
        <v/>
      </c>
      <c r="S330" s="24">
        <f>ROUND((CEILING((L330*Premissas!$B$17/Premissas!$B$18-97)/100,1)*100+97)*Premissas!$B$18,2)</f>
        <v/>
      </c>
    </row>
    <row r="331">
      <c r="A331" s="17" t="inlineStr">
        <is>
          <t>KIT 37 MOD. 620W + INV. SOLIS 15KW</t>
        </is>
      </c>
      <c r="B331" s="17" t="inlineStr">
        <is>
          <t>SOLIS</t>
        </is>
      </c>
      <c r="C331" s="17" t="inlineStr">
        <is>
          <t>Inversor</t>
        </is>
      </c>
      <c r="D331" s="21" t="n">
        <v>37</v>
      </c>
      <c r="E331" s="30" t="n">
        <v>22.94</v>
      </c>
      <c r="F331" s="20" t="inlineStr">
        <is>
          <t>SOLIS S5-GC15K-LV TRI 220V</t>
        </is>
      </c>
      <c r="G331" s="21" t="n">
        <v>1</v>
      </c>
      <c r="H331" s="17" t="inlineStr">
        <is>
          <t>Sim</t>
        </is>
      </c>
      <c r="I331" s="23" t="n">
        <v>57116.85</v>
      </c>
      <c r="J331" s="24">
        <f>(D331*Premissas!$B$24+(2*ROUNDUP(D331/2,0))*Premissas!$B$26+INT((2*ROUNDUP(D331/2,0))/4)*Premissas!$B$27+MOD((2*ROUNDUP(D331/2,0)),4)/2*Premissas!$B$28+2*IF(D331&lt;=19,3*D331,IF(D331&lt;=50,ROUNDUP(2.5*D331,0),2*D331))*Premissas!$B$29+IF(C331="Micro",G331*(Premissas!$B$31+Premissas!$B$32+4*Premissas!$B$30),G331*(INDEX(Premissas!$B$40:$B$71,MATCH(F331,Premissas!$A$40:$A$71,0))+INDEX(Premissas!$C$40:$C$71,MATCH(F331,Premissas!$A$40:$A$71,0))*Premissas!$B$30)))</f>
        <v/>
      </c>
      <c r="K331" s="24">
        <f>IF(J331&lt;Premissas!$B$36,MAX(Premissas!$B$33,J331*Premissas!$B$34),J331*Premissas!$B$35)</f>
        <v/>
      </c>
      <c r="L331" s="24">
        <f>ROUND(J331+K331,2)</f>
        <v/>
      </c>
      <c r="M331" s="24">
        <f>D331*Premissas!$B$8+Premissas!$B$9+Premissas!$B$10+Premissas!$B$11+Premissas!$B$12+ROUND(Premissas!$B$13*E331,2)</f>
        <v/>
      </c>
      <c r="N331" s="25">
        <f>ROUNDUP((L331+M331-Premissas!$B$5*L331)/(1-Premissas!$B$6-Premissas!$B$7-Premissas!$B$5-Premissas!$B$14),2)</f>
        <v/>
      </c>
      <c r="O331" s="24">
        <f>ROUND(IF(N331&lt;=30000,N331*(1+Premissas!$B$21),N331+Premissas!$B$21*30000*SQRT(N331/30000)),2)</f>
        <v/>
      </c>
      <c r="P331" s="24">
        <f>N331-I331</f>
        <v/>
      </c>
      <c r="Q331" s="26">
        <f>P331/I331</f>
        <v/>
      </c>
      <c r="R331" s="26">
        <f>(I331-L331-Premissas!$B$5*(I331-L331)-(Premissas!$B$6+Premissas!$B$7)*I331-M331)/I331</f>
        <v/>
      </c>
      <c r="S331" s="24">
        <f>ROUND((CEILING((L331*Premissas!$B$17/Premissas!$B$18-97)/100,1)*100+97)*Premissas!$B$18,2)</f>
        <v/>
      </c>
    </row>
    <row r="332">
      <c r="A332" s="17" t="inlineStr">
        <is>
          <t>KIT 38 MOD. 620W + INV. SOLIS 15KW</t>
        </is>
      </c>
      <c r="B332" s="17" t="inlineStr">
        <is>
          <t>SOLIS</t>
        </is>
      </c>
      <c r="C332" s="17" t="inlineStr">
        <is>
          <t>Inversor</t>
        </is>
      </c>
      <c r="D332" s="21" t="n">
        <v>38</v>
      </c>
      <c r="E332" s="30" t="n">
        <v>23.56</v>
      </c>
      <c r="F332" s="20" t="inlineStr">
        <is>
          <t>SOLIS S5-GC15K-LV TRI 220V</t>
        </is>
      </c>
      <c r="G332" s="21" t="n">
        <v>1</v>
      </c>
      <c r="H332" s="17" t="inlineStr">
        <is>
          <t>Sim</t>
        </is>
      </c>
      <c r="I332" s="23" t="n">
        <v>58166.85</v>
      </c>
      <c r="J332" s="24">
        <f>(D332*Premissas!$B$24+(2*ROUNDUP(D332/2,0))*Premissas!$B$26+INT((2*ROUNDUP(D332/2,0))/4)*Premissas!$B$27+MOD((2*ROUNDUP(D332/2,0)),4)/2*Premissas!$B$28+2*IF(D332&lt;=19,3*D332,IF(D332&lt;=50,ROUNDUP(2.5*D332,0),2*D332))*Premissas!$B$29+IF(C332="Micro",G332*(Premissas!$B$31+Premissas!$B$32+4*Premissas!$B$30),G332*(INDEX(Premissas!$B$40:$B$71,MATCH(F332,Premissas!$A$40:$A$71,0))+INDEX(Premissas!$C$40:$C$71,MATCH(F332,Premissas!$A$40:$A$71,0))*Premissas!$B$30)))</f>
        <v/>
      </c>
      <c r="K332" s="24">
        <f>IF(J332&lt;Premissas!$B$36,MAX(Premissas!$B$33,J332*Premissas!$B$34),J332*Premissas!$B$35)</f>
        <v/>
      </c>
      <c r="L332" s="24">
        <f>ROUND(J332+K332,2)</f>
        <v/>
      </c>
      <c r="M332" s="24">
        <f>D332*Premissas!$B$8+Premissas!$B$9+Premissas!$B$10+Premissas!$B$11+Premissas!$B$12+ROUND(Premissas!$B$13*E332,2)</f>
        <v/>
      </c>
      <c r="N332" s="25">
        <f>ROUNDUP((L332+M332-Premissas!$B$5*L332)/(1-Premissas!$B$6-Premissas!$B$7-Premissas!$B$5-Premissas!$B$14),2)</f>
        <v/>
      </c>
      <c r="O332" s="24">
        <f>ROUND(IF(N332&lt;=30000,N332*(1+Premissas!$B$21),N332+Premissas!$B$21*30000*SQRT(N332/30000)),2)</f>
        <v/>
      </c>
      <c r="P332" s="24">
        <f>N332-I332</f>
        <v/>
      </c>
      <c r="Q332" s="26">
        <f>P332/I332</f>
        <v/>
      </c>
      <c r="R332" s="26">
        <f>(I332-L332-Premissas!$B$5*(I332-L332)-(Premissas!$B$6+Premissas!$B$7)*I332-M332)/I332</f>
        <v/>
      </c>
      <c r="S332" s="24">
        <f>ROUND((CEILING((L332*Premissas!$B$17/Premissas!$B$18-97)/100,1)*100+97)*Premissas!$B$18,2)</f>
        <v/>
      </c>
    </row>
    <row r="333">
      <c r="A333" s="17" t="inlineStr">
        <is>
          <t>KIT 39 MOD. 620W + INV. SOLIS 15KW</t>
        </is>
      </c>
      <c r="B333" s="17" t="inlineStr">
        <is>
          <t>SOLIS</t>
        </is>
      </c>
      <c r="C333" s="17" t="inlineStr">
        <is>
          <t>Inversor</t>
        </is>
      </c>
      <c r="D333" s="21" t="n">
        <v>39</v>
      </c>
      <c r="E333" s="30" t="n">
        <v>24.18</v>
      </c>
      <c r="F333" s="20" t="inlineStr">
        <is>
          <t>SOLIS S5-GC15K-LV TRI 220V</t>
        </is>
      </c>
      <c r="G333" s="21" t="n">
        <v>1</v>
      </c>
      <c r="H333" s="17" t="inlineStr">
        <is>
          <t>Sim</t>
        </is>
      </c>
      <c r="I333" s="23" t="n">
        <v>59531.85</v>
      </c>
      <c r="J333" s="24">
        <f>(D333*Premissas!$B$24+(2*ROUNDUP(D333/2,0))*Premissas!$B$26+INT((2*ROUNDUP(D333/2,0))/4)*Premissas!$B$27+MOD((2*ROUNDUP(D333/2,0)),4)/2*Premissas!$B$28+2*IF(D333&lt;=19,3*D333,IF(D333&lt;=50,ROUNDUP(2.5*D333,0),2*D333))*Premissas!$B$29+IF(C333="Micro",G333*(Premissas!$B$31+Premissas!$B$32+4*Premissas!$B$30),G333*(INDEX(Premissas!$B$40:$B$71,MATCH(F333,Premissas!$A$40:$A$71,0))+INDEX(Premissas!$C$40:$C$71,MATCH(F333,Premissas!$A$40:$A$71,0))*Premissas!$B$30)))</f>
        <v/>
      </c>
      <c r="K333" s="24">
        <f>IF(J333&lt;Premissas!$B$36,MAX(Premissas!$B$33,J333*Premissas!$B$34),J333*Premissas!$B$35)</f>
        <v/>
      </c>
      <c r="L333" s="24">
        <f>ROUND(J333+K333,2)</f>
        <v/>
      </c>
      <c r="M333" s="24">
        <f>D333*Premissas!$B$8+Premissas!$B$9+Premissas!$B$10+Premissas!$B$11+Premissas!$B$12+ROUND(Premissas!$B$13*E333,2)</f>
        <v/>
      </c>
      <c r="N333" s="25">
        <f>ROUNDUP((L333+M333-Premissas!$B$5*L333)/(1-Premissas!$B$6-Premissas!$B$7-Premissas!$B$5-Premissas!$B$14),2)</f>
        <v/>
      </c>
      <c r="O333" s="24">
        <f>ROUND(IF(N333&lt;=30000,N333*(1+Premissas!$B$21),N333+Premissas!$B$21*30000*SQRT(N333/30000)),2)</f>
        <v/>
      </c>
      <c r="P333" s="24">
        <f>N333-I333</f>
        <v/>
      </c>
      <c r="Q333" s="26">
        <f>P333/I333</f>
        <v/>
      </c>
      <c r="R333" s="26">
        <f>(I333-L333-Premissas!$B$5*(I333-L333)-(Premissas!$B$6+Premissas!$B$7)*I333-M333)/I333</f>
        <v/>
      </c>
      <c r="S333" s="24">
        <f>ROUND((CEILING((L333*Premissas!$B$17/Premissas!$B$18-97)/100,1)*100+97)*Premissas!$B$18,2)</f>
        <v/>
      </c>
    </row>
    <row r="334">
      <c r="A334" s="17" t="inlineStr">
        <is>
          <t>KIT 40 MOD. 620W + INV. SOLIS 15KW</t>
        </is>
      </c>
      <c r="B334" s="17" t="inlineStr">
        <is>
          <t>SOLIS</t>
        </is>
      </c>
      <c r="C334" s="17" t="inlineStr">
        <is>
          <t>Inversor</t>
        </is>
      </c>
      <c r="D334" s="21" t="n">
        <v>40</v>
      </c>
      <c r="E334" s="30" t="n">
        <v>24.8</v>
      </c>
      <c r="F334" s="20" t="inlineStr">
        <is>
          <t>SOLIS S5-GC15K-LV TRI 220V</t>
        </is>
      </c>
      <c r="G334" s="21" t="n">
        <v>1</v>
      </c>
      <c r="H334" s="17" t="inlineStr">
        <is>
          <t>Sim</t>
        </is>
      </c>
      <c r="I334" s="23" t="n">
        <v>60581.85</v>
      </c>
      <c r="J334" s="24">
        <f>(D334*Premissas!$B$24+(2*ROUNDUP(D334/2,0))*Premissas!$B$26+INT((2*ROUNDUP(D334/2,0))/4)*Premissas!$B$27+MOD((2*ROUNDUP(D334/2,0)),4)/2*Premissas!$B$28+2*IF(D334&lt;=19,3*D334,IF(D334&lt;=50,ROUNDUP(2.5*D334,0),2*D334))*Premissas!$B$29+IF(C334="Micro",G334*(Premissas!$B$31+Premissas!$B$32+4*Premissas!$B$30),G334*(INDEX(Premissas!$B$40:$B$71,MATCH(F334,Premissas!$A$40:$A$71,0))+INDEX(Premissas!$C$40:$C$71,MATCH(F334,Premissas!$A$40:$A$71,0))*Premissas!$B$30)))</f>
        <v/>
      </c>
      <c r="K334" s="24">
        <f>IF(J334&lt;Premissas!$B$36,MAX(Premissas!$B$33,J334*Premissas!$B$34),J334*Premissas!$B$35)</f>
        <v/>
      </c>
      <c r="L334" s="24">
        <f>ROUND(J334+K334,2)</f>
        <v/>
      </c>
      <c r="M334" s="24">
        <f>D334*Premissas!$B$8+Premissas!$B$9+Premissas!$B$10+Premissas!$B$11+Premissas!$B$12+ROUND(Premissas!$B$13*E334,2)</f>
        <v/>
      </c>
      <c r="N334" s="25">
        <f>ROUNDUP((L334+M334-Premissas!$B$5*L334)/(1-Premissas!$B$6-Premissas!$B$7-Premissas!$B$5-Premissas!$B$14),2)</f>
        <v/>
      </c>
      <c r="O334" s="24">
        <f>ROUND(IF(N334&lt;=30000,N334*(1+Premissas!$B$21),N334+Premissas!$B$21*30000*SQRT(N334/30000)),2)</f>
        <v/>
      </c>
      <c r="P334" s="24">
        <f>N334-I334</f>
        <v/>
      </c>
      <c r="Q334" s="26">
        <f>P334/I334</f>
        <v/>
      </c>
      <c r="R334" s="26">
        <f>(I334-L334-Premissas!$B$5*(I334-L334)-(Premissas!$B$6+Premissas!$B$7)*I334-M334)/I334</f>
        <v/>
      </c>
      <c r="S334" s="24">
        <f>ROUND((CEILING((L334*Premissas!$B$17/Premissas!$B$18-97)/100,1)*100+97)*Premissas!$B$18,2)</f>
        <v/>
      </c>
    </row>
    <row r="335">
      <c r="A335" s="17" t="inlineStr">
        <is>
          <t>KIT 41 MOD. 620W + INV. SOLIS 15KW</t>
        </is>
      </c>
      <c r="B335" s="17" t="inlineStr">
        <is>
          <t>SOLIS</t>
        </is>
      </c>
      <c r="C335" s="17" t="inlineStr">
        <is>
          <t>Inversor</t>
        </is>
      </c>
      <c r="D335" s="21" t="n">
        <v>41</v>
      </c>
      <c r="E335" s="30" t="n">
        <v>25.42</v>
      </c>
      <c r="F335" s="20" t="inlineStr">
        <is>
          <t>SOLIS S5-GC15K-LV TRI 220V</t>
        </is>
      </c>
      <c r="G335" s="21" t="n">
        <v>1</v>
      </c>
      <c r="H335" s="17" t="inlineStr">
        <is>
          <t>Sim</t>
        </is>
      </c>
      <c r="I335" s="23" t="n">
        <v>61946.85</v>
      </c>
      <c r="J335" s="24">
        <f>(D335*Premissas!$B$24+(2*ROUNDUP(D335/2,0))*Premissas!$B$26+INT((2*ROUNDUP(D335/2,0))/4)*Premissas!$B$27+MOD((2*ROUNDUP(D335/2,0)),4)/2*Premissas!$B$28+2*IF(D335&lt;=19,3*D335,IF(D335&lt;=50,ROUNDUP(2.5*D335,0),2*D335))*Premissas!$B$29+IF(C335="Micro",G335*(Premissas!$B$31+Premissas!$B$32+4*Premissas!$B$30),G335*(INDEX(Premissas!$B$40:$B$71,MATCH(F335,Premissas!$A$40:$A$71,0))+INDEX(Premissas!$C$40:$C$71,MATCH(F335,Premissas!$A$40:$A$71,0))*Premissas!$B$30)))</f>
        <v/>
      </c>
      <c r="K335" s="24">
        <f>IF(J335&lt;Premissas!$B$36,MAX(Premissas!$B$33,J335*Premissas!$B$34),J335*Premissas!$B$35)</f>
        <v/>
      </c>
      <c r="L335" s="24">
        <f>ROUND(J335+K335,2)</f>
        <v/>
      </c>
      <c r="M335" s="24">
        <f>D335*Premissas!$B$8+Premissas!$B$9+Premissas!$B$10+Premissas!$B$11+Premissas!$B$12+ROUND(Premissas!$B$13*E335,2)</f>
        <v/>
      </c>
      <c r="N335" s="25">
        <f>ROUNDUP((L335+M335-Premissas!$B$5*L335)/(1-Premissas!$B$6-Premissas!$B$7-Premissas!$B$5-Premissas!$B$14),2)</f>
        <v/>
      </c>
      <c r="O335" s="24">
        <f>ROUND(IF(N335&lt;=30000,N335*(1+Premissas!$B$21),N335+Premissas!$B$21*30000*SQRT(N335/30000)),2)</f>
        <v/>
      </c>
      <c r="P335" s="24">
        <f>N335-I335</f>
        <v/>
      </c>
      <c r="Q335" s="26">
        <f>P335/I335</f>
        <v/>
      </c>
      <c r="R335" s="26">
        <f>(I335-L335-Premissas!$B$5*(I335-L335)-(Premissas!$B$6+Premissas!$B$7)*I335-M335)/I335</f>
        <v/>
      </c>
      <c r="S335" s="24">
        <f>ROUND((CEILING((L335*Premissas!$B$17/Premissas!$B$18-97)/100,1)*100+97)*Premissas!$B$18,2)</f>
        <v/>
      </c>
    </row>
    <row r="336">
      <c r="A336" s="17" t="inlineStr">
        <is>
          <t>KIT 42 MOD. 620W + INV. SOLIS 37,5KW</t>
        </is>
      </c>
      <c r="B336" s="17" t="inlineStr">
        <is>
          <t>SOLIS</t>
        </is>
      </c>
      <c r="C336" s="17" t="inlineStr">
        <is>
          <t>Inversor</t>
        </is>
      </c>
      <c r="D336" s="21" t="n">
        <v>42</v>
      </c>
      <c r="E336" s="30" t="n">
        <v>26.04</v>
      </c>
      <c r="F336" s="20" t="inlineStr">
        <is>
          <t>SOLIS S5-GC37.5K-LV TRI 220V</t>
        </is>
      </c>
      <c r="G336" s="21" t="n">
        <v>1</v>
      </c>
      <c r="H336" s="17" t="inlineStr">
        <is>
          <t>Sim</t>
        </is>
      </c>
      <c r="I336" s="23" t="n">
        <v>72026.85000000001</v>
      </c>
      <c r="J336" s="24">
        <f>(D336*Premissas!$B$24+(2*ROUNDUP(D336/2,0))*Premissas!$B$26+INT((2*ROUNDUP(D336/2,0))/4)*Premissas!$B$27+MOD((2*ROUNDUP(D336/2,0)),4)/2*Premissas!$B$28+2*IF(D336&lt;=19,3*D336,IF(D336&lt;=50,ROUNDUP(2.5*D336,0),2*D336))*Premissas!$B$29+IF(C336="Micro",G336*(Premissas!$B$31+Premissas!$B$32+4*Premissas!$B$30),G336*(INDEX(Premissas!$B$40:$B$71,MATCH(F336,Premissas!$A$40:$A$71,0))+INDEX(Premissas!$C$40:$C$71,MATCH(F336,Premissas!$A$40:$A$71,0))*Premissas!$B$30)))</f>
        <v/>
      </c>
      <c r="K336" s="24">
        <f>IF(J336&lt;Premissas!$B$36,MAX(Premissas!$B$33,J336*Premissas!$B$34),J336*Premissas!$B$35)</f>
        <v/>
      </c>
      <c r="L336" s="24">
        <f>ROUND(J336+K336,2)</f>
        <v/>
      </c>
      <c r="M336" s="24">
        <f>D336*Premissas!$B$8+Premissas!$B$9+Premissas!$B$10+Premissas!$B$11+Premissas!$B$12+ROUND(Premissas!$B$13*E336,2)</f>
        <v/>
      </c>
      <c r="N336" s="25">
        <f>ROUNDUP((L336+M336-Premissas!$B$5*L336)/(1-Premissas!$B$6-Premissas!$B$7-Premissas!$B$5-Premissas!$B$14),2)</f>
        <v/>
      </c>
      <c r="O336" s="24">
        <f>ROUND(IF(N336&lt;=30000,N336*(1+Premissas!$B$21),N336+Premissas!$B$21*30000*SQRT(N336/30000)),2)</f>
        <v/>
      </c>
      <c r="P336" s="24">
        <f>N336-I336</f>
        <v/>
      </c>
      <c r="Q336" s="26">
        <f>P336/I336</f>
        <v/>
      </c>
      <c r="R336" s="26">
        <f>(I336-L336-Premissas!$B$5*(I336-L336)-(Premissas!$B$6+Premissas!$B$7)*I336-M336)/I336</f>
        <v/>
      </c>
      <c r="S336" s="24">
        <f>ROUND((CEILING((L336*Premissas!$B$17/Premissas!$B$18-97)/100,1)*100+97)*Premissas!$B$18,2)</f>
        <v/>
      </c>
    </row>
    <row r="337">
      <c r="A337" s="17" t="inlineStr">
        <is>
          <t>KIT 43 MOD. 620W + INV. SOLIS 37,5KW</t>
        </is>
      </c>
      <c r="B337" s="17" t="inlineStr">
        <is>
          <t>SOLIS</t>
        </is>
      </c>
      <c r="C337" s="17" t="inlineStr">
        <is>
          <t>Inversor</t>
        </is>
      </c>
      <c r="D337" s="21" t="n">
        <v>43</v>
      </c>
      <c r="E337" s="30" t="n">
        <v>26.66</v>
      </c>
      <c r="F337" s="20" t="inlineStr">
        <is>
          <t>SOLIS S5-GC37.5K-LV TRI 220V</t>
        </is>
      </c>
      <c r="G337" s="21" t="n">
        <v>1</v>
      </c>
      <c r="H337" s="17" t="inlineStr">
        <is>
          <t>Sim</t>
        </is>
      </c>
      <c r="I337" s="23" t="n">
        <v>73391.85000000001</v>
      </c>
      <c r="J337" s="24">
        <f>(D337*Premissas!$B$24+(2*ROUNDUP(D337/2,0))*Premissas!$B$26+INT((2*ROUNDUP(D337/2,0))/4)*Premissas!$B$27+MOD((2*ROUNDUP(D337/2,0)),4)/2*Premissas!$B$28+2*IF(D337&lt;=19,3*D337,IF(D337&lt;=50,ROUNDUP(2.5*D337,0),2*D337))*Premissas!$B$29+IF(C337="Micro",G337*(Premissas!$B$31+Premissas!$B$32+4*Premissas!$B$30),G337*(INDEX(Premissas!$B$40:$B$71,MATCH(F337,Premissas!$A$40:$A$71,0))+INDEX(Premissas!$C$40:$C$71,MATCH(F337,Premissas!$A$40:$A$71,0))*Premissas!$B$30)))</f>
        <v/>
      </c>
      <c r="K337" s="24">
        <f>IF(J337&lt;Premissas!$B$36,MAX(Premissas!$B$33,J337*Premissas!$B$34),J337*Premissas!$B$35)</f>
        <v/>
      </c>
      <c r="L337" s="24">
        <f>ROUND(J337+K337,2)</f>
        <v/>
      </c>
      <c r="M337" s="24">
        <f>D337*Premissas!$B$8+Premissas!$B$9+Premissas!$B$10+Premissas!$B$11+Premissas!$B$12+ROUND(Premissas!$B$13*E337,2)</f>
        <v/>
      </c>
      <c r="N337" s="25">
        <f>ROUNDUP((L337+M337-Premissas!$B$5*L337)/(1-Premissas!$B$6-Premissas!$B$7-Premissas!$B$5-Premissas!$B$14),2)</f>
        <v/>
      </c>
      <c r="O337" s="24">
        <f>ROUND(IF(N337&lt;=30000,N337*(1+Premissas!$B$21),N337+Premissas!$B$21*30000*SQRT(N337/30000)),2)</f>
        <v/>
      </c>
      <c r="P337" s="24">
        <f>N337-I337</f>
        <v/>
      </c>
      <c r="Q337" s="26">
        <f>P337/I337</f>
        <v/>
      </c>
      <c r="R337" s="26">
        <f>(I337-L337-Premissas!$B$5*(I337-L337)-(Premissas!$B$6+Premissas!$B$7)*I337-M337)/I337</f>
        <v/>
      </c>
      <c r="S337" s="24">
        <f>ROUND((CEILING((L337*Premissas!$B$17/Premissas!$B$18-97)/100,1)*100+97)*Premissas!$B$18,2)</f>
        <v/>
      </c>
    </row>
    <row r="338">
      <c r="A338" s="17" t="inlineStr">
        <is>
          <t>KIT 44 MOD. 620W + INV. SOLIS 37,5KW</t>
        </is>
      </c>
      <c r="B338" s="17" t="inlineStr">
        <is>
          <t>SOLIS</t>
        </is>
      </c>
      <c r="C338" s="17" t="inlineStr">
        <is>
          <t>Inversor</t>
        </is>
      </c>
      <c r="D338" s="21" t="n">
        <v>44</v>
      </c>
      <c r="E338" s="30" t="n">
        <v>27.28</v>
      </c>
      <c r="F338" s="20" t="inlineStr">
        <is>
          <t>SOLIS S5-GC37.5K-LV TRI 220V</t>
        </is>
      </c>
      <c r="G338" s="21" t="n">
        <v>1</v>
      </c>
      <c r="H338" s="17" t="inlineStr">
        <is>
          <t>Sim</t>
        </is>
      </c>
      <c r="I338" s="23" t="n">
        <v>74441.85000000001</v>
      </c>
      <c r="J338" s="24">
        <f>(D338*Premissas!$B$24+(2*ROUNDUP(D338/2,0))*Premissas!$B$26+INT((2*ROUNDUP(D338/2,0))/4)*Premissas!$B$27+MOD((2*ROUNDUP(D338/2,0)),4)/2*Premissas!$B$28+2*IF(D338&lt;=19,3*D338,IF(D338&lt;=50,ROUNDUP(2.5*D338,0),2*D338))*Premissas!$B$29+IF(C338="Micro",G338*(Premissas!$B$31+Premissas!$B$32+4*Premissas!$B$30),G338*(INDEX(Premissas!$B$40:$B$71,MATCH(F338,Premissas!$A$40:$A$71,0))+INDEX(Premissas!$C$40:$C$71,MATCH(F338,Premissas!$A$40:$A$71,0))*Premissas!$B$30)))</f>
        <v/>
      </c>
      <c r="K338" s="24">
        <f>IF(J338&lt;Premissas!$B$36,MAX(Premissas!$B$33,J338*Premissas!$B$34),J338*Premissas!$B$35)</f>
        <v/>
      </c>
      <c r="L338" s="24">
        <f>ROUND(J338+K338,2)</f>
        <v/>
      </c>
      <c r="M338" s="24">
        <f>D338*Premissas!$B$8+Premissas!$B$9+Premissas!$B$10+Premissas!$B$11+Premissas!$B$12+ROUND(Premissas!$B$13*E338,2)</f>
        <v/>
      </c>
      <c r="N338" s="25">
        <f>ROUNDUP((L338+M338-Premissas!$B$5*L338)/(1-Premissas!$B$6-Premissas!$B$7-Premissas!$B$5-Premissas!$B$14),2)</f>
        <v/>
      </c>
      <c r="O338" s="24">
        <f>ROUND(IF(N338&lt;=30000,N338*(1+Premissas!$B$21),N338+Premissas!$B$21*30000*SQRT(N338/30000)),2)</f>
        <v/>
      </c>
      <c r="P338" s="24">
        <f>N338-I338</f>
        <v/>
      </c>
      <c r="Q338" s="26">
        <f>P338/I338</f>
        <v/>
      </c>
      <c r="R338" s="26">
        <f>(I338-L338-Premissas!$B$5*(I338-L338)-(Premissas!$B$6+Premissas!$B$7)*I338-M338)/I338</f>
        <v/>
      </c>
      <c r="S338" s="24">
        <f>ROUND((CEILING((L338*Premissas!$B$17/Premissas!$B$18-97)/100,1)*100+97)*Premissas!$B$18,2)</f>
        <v/>
      </c>
    </row>
    <row r="339">
      <c r="A339" s="17" t="inlineStr">
        <is>
          <t>KIT 45 MOD. 620W + INV. SOLIS 37,5KW</t>
        </is>
      </c>
      <c r="B339" s="17" t="inlineStr">
        <is>
          <t>SOLIS</t>
        </is>
      </c>
      <c r="C339" s="17" t="inlineStr">
        <is>
          <t>Inversor</t>
        </is>
      </c>
      <c r="D339" s="21" t="n">
        <v>45</v>
      </c>
      <c r="E339" s="30" t="n">
        <v>27.9</v>
      </c>
      <c r="F339" s="20" t="inlineStr">
        <is>
          <t>SOLIS S5-GC37.5K-LV TRI 220V</t>
        </is>
      </c>
      <c r="G339" s="21" t="n">
        <v>1</v>
      </c>
      <c r="H339" s="17" t="inlineStr">
        <is>
          <t>Sim</t>
        </is>
      </c>
      <c r="I339" s="23" t="n">
        <v>75806.85000000001</v>
      </c>
      <c r="J339" s="24">
        <f>(D339*Premissas!$B$24+(2*ROUNDUP(D339/2,0))*Premissas!$B$26+INT((2*ROUNDUP(D339/2,0))/4)*Premissas!$B$27+MOD((2*ROUNDUP(D339/2,0)),4)/2*Premissas!$B$28+2*IF(D339&lt;=19,3*D339,IF(D339&lt;=50,ROUNDUP(2.5*D339,0),2*D339))*Premissas!$B$29+IF(C339="Micro",G339*(Premissas!$B$31+Premissas!$B$32+4*Premissas!$B$30),G339*(INDEX(Premissas!$B$40:$B$71,MATCH(F339,Premissas!$A$40:$A$71,0))+INDEX(Premissas!$C$40:$C$71,MATCH(F339,Premissas!$A$40:$A$71,0))*Premissas!$B$30)))</f>
        <v/>
      </c>
      <c r="K339" s="24">
        <f>IF(J339&lt;Premissas!$B$36,MAX(Premissas!$B$33,J339*Premissas!$B$34),J339*Premissas!$B$35)</f>
        <v/>
      </c>
      <c r="L339" s="24">
        <f>ROUND(J339+K339,2)</f>
        <v/>
      </c>
      <c r="M339" s="24">
        <f>D339*Premissas!$B$8+Premissas!$B$9+Premissas!$B$10+Premissas!$B$11+Premissas!$B$12+ROUND(Premissas!$B$13*E339,2)</f>
        <v/>
      </c>
      <c r="N339" s="25">
        <f>ROUNDUP((L339+M339-Premissas!$B$5*L339)/(1-Premissas!$B$6-Premissas!$B$7-Premissas!$B$5-Premissas!$B$14),2)</f>
        <v/>
      </c>
      <c r="O339" s="24">
        <f>ROUND(IF(N339&lt;=30000,N339*(1+Premissas!$B$21),N339+Premissas!$B$21*30000*SQRT(N339/30000)),2)</f>
        <v/>
      </c>
      <c r="P339" s="24">
        <f>N339-I339</f>
        <v/>
      </c>
      <c r="Q339" s="26">
        <f>P339/I339</f>
        <v/>
      </c>
      <c r="R339" s="26">
        <f>(I339-L339-Premissas!$B$5*(I339-L339)-(Premissas!$B$6+Premissas!$B$7)*I339-M339)/I339</f>
        <v/>
      </c>
      <c r="S339" s="24">
        <f>ROUND((CEILING((L339*Premissas!$B$17/Premissas!$B$18-97)/100,1)*100+97)*Premissas!$B$18,2)</f>
        <v/>
      </c>
    </row>
    <row r="340">
      <c r="A340" s="17" t="inlineStr">
        <is>
          <t>KIT 46 MOD. 620W + INV. SOLIS 37,5KW</t>
        </is>
      </c>
      <c r="B340" s="17" t="inlineStr">
        <is>
          <t>SOLIS</t>
        </is>
      </c>
      <c r="C340" s="17" t="inlineStr">
        <is>
          <t>Inversor</t>
        </is>
      </c>
      <c r="D340" s="21" t="n">
        <v>46</v>
      </c>
      <c r="E340" s="30" t="n">
        <v>28.52</v>
      </c>
      <c r="F340" s="20" t="inlineStr">
        <is>
          <t>SOLIS S5-GC37.5K-LV TRI 220V</t>
        </is>
      </c>
      <c r="G340" s="21" t="n">
        <v>1</v>
      </c>
      <c r="H340" s="17" t="inlineStr">
        <is>
          <t>Sim</t>
        </is>
      </c>
      <c r="I340" s="23" t="n">
        <v>76856.85000000001</v>
      </c>
      <c r="J340" s="24">
        <f>(D340*Premissas!$B$24+(2*ROUNDUP(D340/2,0))*Premissas!$B$26+INT((2*ROUNDUP(D340/2,0))/4)*Premissas!$B$27+MOD((2*ROUNDUP(D340/2,0)),4)/2*Premissas!$B$28+2*IF(D340&lt;=19,3*D340,IF(D340&lt;=50,ROUNDUP(2.5*D340,0),2*D340))*Premissas!$B$29+IF(C340="Micro",G340*(Premissas!$B$31+Premissas!$B$32+4*Premissas!$B$30),G340*(INDEX(Premissas!$B$40:$B$71,MATCH(F340,Premissas!$A$40:$A$71,0))+INDEX(Premissas!$C$40:$C$71,MATCH(F340,Premissas!$A$40:$A$71,0))*Premissas!$B$30)))</f>
        <v/>
      </c>
      <c r="K340" s="24">
        <f>IF(J340&lt;Premissas!$B$36,MAX(Premissas!$B$33,J340*Premissas!$B$34),J340*Premissas!$B$35)</f>
        <v/>
      </c>
      <c r="L340" s="24">
        <f>ROUND(J340+K340,2)</f>
        <v/>
      </c>
      <c r="M340" s="24">
        <f>D340*Premissas!$B$8+Premissas!$B$9+Premissas!$B$10+Premissas!$B$11+Premissas!$B$12+ROUND(Premissas!$B$13*E340,2)</f>
        <v/>
      </c>
      <c r="N340" s="25">
        <f>ROUNDUP((L340+M340-Premissas!$B$5*L340)/(1-Premissas!$B$6-Premissas!$B$7-Premissas!$B$5-Premissas!$B$14),2)</f>
        <v/>
      </c>
      <c r="O340" s="24">
        <f>ROUND(IF(N340&lt;=30000,N340*(1+Premissas!$B$21),N340+Premissas!$B$21*30000*SQRT(N340/30000)),2)</f>
        <v/>
      </c>
      <c r="P340" s="24">
        <f>N340-I340</f>
        <v/>
      </c>
      <c r="Q340" s="26">
        <f>P340/I340</f>
        <v/>
      </c>
      <c r="R340" s="26">
        <f>(I340-L340-Premissas!$B$5*(I340-L340)-(Premissas!$B$6+Premissas!$B$7)*I340-M340)/I340</f>
        <v/>
      </c>
      <c r="S340" s="24">
        <f>ROUND((CEILING((L340*Premissas!$B$17/Premissas!$B$18-97)/100,1)*100+97)*Premissas!$B$18,2)</f>
        <v/>
      </c>
    </row>
    <row r="341">
      <c r="A341" s="17" t="inlineStr">
        <is>
          <t>KIT 47 MOD. 620W + INV. SOLIS 37,5KW</t>
        </is>
      </c>
      <c r="B341" s="17" t="inlineStr">
        <is>
          <t>SOLIS</t>
        </is>
      </c>
      <c r="C341" s="17" t="inlineStr">
        <is>
          <t>Inversor</t>
        </is>
      </c>
      <c r="D341" s="21" t="n">
        <v>47</v>
      </c>
      <c r="E341" s="30" t="n">
        <v>29.14</v>
      </c>
      <c r="F341" s="20" t="inlineStr">
        <is>
          <t>SOLIS S5-GC37.5K-LV TRI 220V</t>
        </is>
      </c>
      <c r="G341" s="21" t="n">
        <v>1</v>
      </c>
      <c r="H341" s="17" t="inlineStr">
        <is>
          <t>Sim</t>
        </is>
      </c>
      <c r="I341" s="23" t="n">
        <v>78221.85000000001</v>
      </c>
      <c r="J341" s="24">
        <f>(D341*Premissas!$B$24+(2*ROUNDUP(D341/2,0))*Premissas!$B$26+INT((2*ROUNDUP(D341/2,0))/4)*Premissas!$B$27+MOD((2*ROUNDUP(D341/2,0)),4)/2*Premissas!$B$28+2*IF(D341&lt;=19,3*D341,IF(D341&lt;=50,ROUNDUP(2.5*D341,0),2*D341))*Premissas!$B$29+IF(C341="Micro",G341*(Premissas!$B$31+Premissas!$B$32+4*Premissas!$B$30),G341*(INDEX(Premissas!$B$40:$B$71,MATCH(F341,Premissas!$A$40:$A$71,0))+INDEX(Premissas!$C$40:$C$71,MATCH(F341,Premissas!$A$40:$A$71,0))*Premissas!$B$30)))</f>
        <v/>
      </c>
      <c r="K341" s="24">
        <f>IF(J341&lt;Premissas!$B$36,MAX(Premissas!$B$33,J341*Premissas!$B$34),J341*Premissas!$B$35)</f>
        <v/>
      </c>
      <c r="L341" s="24">
        <f>ROUND(J341+K341,2)</f>
        <v/>
      </c>
      <c r="M341" s="24">
        <f>D341*Premissas!$B$8+Premissas!$B$9+Premissas!$B$10+Premissas!$B$11+Premissas!$B$12+ROUND(Premissas!$B$13*E341,2)</f>
        <v/>
      </c>
      <c r="N341" s="25">
        <f>ROUNDUP((L341+M341-Premissas!$B$5*L341)/(1-Premissas!$B$6-Premissas!$B$7-Premissas!$B$5-Premissas!$B$14),2)</f>
        <v/>
      </c>
      <c r="O341" s="24">
        <f>ROUND(IF(N341&lt;=30000,N341*(1+Premissas!$B$21),N341+Premissas!$B$21*30000*SQRT(N341/30000)),2)</f>
        <v/>
      </c>
      <c r="P341" s="24">
        <f>N341-I341</f>
        <v/>
      </c>
      <c r="Q341" s="26">
        <f>P341/I341</f>
        <v/>
      </c>
      <c r="R341" s="26">
        <f>(I341-L341-Premissas!$B$5*(I341-L341)-(Premissas!$B$6+Premissas!$B$7)*I341-M341)/I341</f>
        <v/>
      </c>
      <c r="S341" s="24">
        <f>ROUND((CEILING((L341*Premissas!$B$17/Premissas!$B$18-97)/100,1)*100+97)*Premissas!$B$18,2)</f>
        <v/>
      </c>
    </row>
    <row r="342">
      <c r="A342" s="17" t="inlineStr">
        <is>
          <t>KIT 48 MOD. 620W + INV. SOLIS 37,5KW</t>
        </is>
      </c>
      <c r="B342" s="17" t="inlineStr">
        <is>
          <t>SOLIS</t>
        </is>
      </c>
      <c r="C342" s="17" t="inlineStr">
        <is>
          <t>Inversor</t>
        </is>
      </c>
      <c r="D342" s="21" t="n">
        <v>48</v>
      </c>
      <c r="E342" s="30" t="n">
        <v>29.76</v>
      </c>
      <c r="F342" s="20" t="inlineStr">
        <is>
          <t>SOLIS S5-GC37.5K-LV TRI 220V</t>
        </is>
      </c>
      <c r="G342" s="21" t="n">
        <v>1</v>
      </c>
      <c r="H342" s="17" t="inlineStr">
        <is>
          <t>Sim</t>
        </is>
      </c>
      <c r="I342" s="23" t="n">
        <v>79271.85000000001</v>
      </c>
      <c r="J342" s="24">
        <f>(D342*Premissas!$B$24+(2*ROUNDUP(D342/2,0))*Premissas!$B$26+INT((2*ROUNDUP(D342/2,0))/4)*Premissas!$B$27+MOD((2*ROUNDUP(D342/2,0)),4)/2*Premissas!$B$28+2*IF(D342&lt;=19,3*D342,IF(D342&lt;=50,ROUNDUP(2.5*D342,0),2*D342))*Premissas!$B$29+IF(C342="Micro",G342*(Premissas!$B$31+Premissas!$B$32+4*Premissas!$B$30),G342*(INDEX(Premissas!$B$40:$B$71,MATCH(F342,Premissas!$A$40:$A$71,0))+INDEX(Premissas!$C$40:$C$71,MATCH(F342,Premissas!$A$40:$A$71,0))*Premissas!$B$30)))</f>
        <v/>
      </c>
      <c r="K342" s="24">
        <f>IF(J342&lt;Premissas!$B$36,MAX(Premissas!$B$33,J342*Premissas!$B$34),J342*Premissas!$B$35)</f>
        <v/>
      </c>
      <c r="L342" s="24">
        <f>ROUND(J342+K342,2)</f>
        <v/>
      </c>
      <c r="M342" s="24">
        <f>D342*Premissas!$B$8+Premissas!$B$9+Premissas!$B$10+Premissas!$B$11+Premissas!$B$12+ROUND(Premissas!$B$13*E342,2)</f>
        <v/>
      </c>
      <c r="N342" s="25">
        <f>ROUNDUP((L342+M342-Premissas!$B$5*L342)/(1-Premissas!$B$6-Premissas!$B$7-Premissas!$B$5-Premissas!$B$14),2)</f>
        <v/>
      </c>
      <c r="O342" s="24">
        <f>ROUND(IF(N342&lt;=30000,N342*(1+Premissas!$B$21),N342+Premissas!$B$21*30000*SQRT(N342/30000)),2)</f>
        <v/>
      </c>
      <c r="P342" s="24">
        <f>N342-I342</f>
        <v/>
      </c>
      <c r="Q342" s="26">
        <f>P342/I342</f>
        <v/>
      </c>
      <c r="R342" s="26">
        <f>(I342-L342-Premissas!$B$5*(I342-L342)-(Premissas!$B$6+Premissas!$B$7)*I342-M342)/I342</f>
        <v/>
      </c>
      <c r="S342" s="24">
        <f>ROUND((CEILING((L342*Premissas!$B$17/Premissas!$B$18-97)/100,1)*100+97)*Premissas!$B$18,2)</f>
        <v/>
      </c>
    </row>
    <row r="343">
      <c r="A343" s="17" t="inlineStr">
        <is>
          <t>KIT 49 MOD. 620W + INV. SOLIS 37,5KW</t>
        </is>
      </c>
      <c r="B343" s="17" t="inlineStr">
        <is>
          <t>SOLIS</t>
        </is>
      </c>
      <c r="C343" s="17" t="inlineStr">
        <is>
          <t>Inversor</t>
        </is>
      </c>
      <c r="D343" s="21" t="n">
        <v>49</v>
      </c>
      <c r="E343" s="30" t="n">
        <v>30.38</v>
      </c>
      <c r="F343" s="20" t="inlineStr">
        <is>
          <t>SOLIS S5-GC37.5K-LV TRI 220V</t>
        </is>
      </c>
      <c r="G343" s="21" t="n">
        <v>1</v>
      </c>
      <c r="H343" s="17" t="inlineStr">
        <is>
          <t>Sim</t>
        </is>
      </c>
      <c r="I343" s="23" t="n">
        <v>80636.85000000001</v>
      </c>
      <c r="J343" s="24">
        <f>(D343*Premissas!$B$24+(2*ROUNDUP(D343/2,0))*Premissas!$B$26+INT((2*ROUNDUP(D343/2,0))/4)*Premissas!$B$27+MOD((2*ROUNDUP(D343/2,0)),4)/2*Premissas!$B$28+2*IF(D343&lt;=19,3*D343,IF(D343&lt;=50,ROUNDUP(2.5*D343,0),2*D343))*Premissas!$B$29+IF(C343="Micro",G343*(Premissas!$B$31+Premissas!$B$32+4*Premissas!$B$30),G343*(INDEX(Premissas!$B$40:$B$71,MATCH(F343,Premissas!$A$40:$A$71,0))+INDEX(Premissas!$C$40:$C$71,MATCH(F343,Premissas!$A$40:$A$71,0))*Premissas!$B$30)))</f>
        <v/>
      </c>
      <c r="K343" s="24">
        <f>IF(J343&lt;Premissas!$B$36,MAX(Premissas!$B$33,J343*Premissas!$B$34),J343*Premissas!$B$35)</f>
        <v/>
      </c>
      <c r="L343" s="24">
        <f>ROUND(J343+K343,2)</f>
        <v/>
      </c>
      <c r="M343" s="24">
        <f>D343*Premissas!$B$8+Premissas!$B$9+Premissas!$B$10+Premissas!$B$11+Premissas!$B$12+ROUND(Premissas!$B$13*E343,2)</f>
        <v/>
      </c>
      <c r="N343" s="25">
        <f>ROUNDUP((L343+M343-Premissas!$B$5*L343)/(1-Premissas!$B$6-Premissas!$B$7-Premissas!$B$5-Premissas!$B$14),2)</f>
        <v/>
      </c>
      <c r="O343" s="24">
        <f>ROUND(IF(N343&lt;=30000,N343*(1+Premissas!$B$21),N343+Premissas!$B$21*30000*SQRT(N343/30000)),2)</f>
        <v/>
      </c>
      <c r="P343" s="24">
        <f>N343-I343</f>
        <v/>
      </c>
      <c r="Q343" s="26">
        <f>P343/I343</f>
        <v/>
      </c>
      <c r="R343" s="26">
        <f>(I343-L343-Premissas!$B$5*(I343-L343)-(Premissas!$B$6+Premissas!$B$7)*I343-M343)/I343</f>
        <v/>
      </c>
      <c r="S343" s="24">
        <f>ROUND((CEILING((L343*Premissas!$B$17/Premissas!$B$18-97)/100,1)*100+97)*Premissas!$B$18,2)</f>
        <v/>
      </c>
    </row>
    <row r="344">
      <c r="A344" s="17" t="inlineStr">
        <is>
          <t>KIT 50 MOD. 620W + INV. SOLIS 37,5KW</t>
        </is>
      </c>
      <c r="B344" s="17" t="inlineStr">
        <is>
          <t>SOLIS</t>
        </is>
      </c>
      <c r="C344" s="17" t="inlineStr">
        <is>
          <t>Inversor</t>
        </is>
      </c>
      <c r="D344" s="21" t="n">
        <v>50</v>
      </c>
      <c r="E344" s="30" t="n">
        <v>31</v>
      </c>
      <c r="F344" s="20" t="inlineStr">
        <is>
          <t>SOLIS S5-GC37.5K-LV TRI 220V</t>
        </is>
      </c>
      <c r="G344" s="21" t="n">
        <v>1</v>
      </c>
      <c r="H344" s="17" t="inlineStr">
        <is>
          <t>Sim</t>
        </is>
      </c>
      <c r="I344" s="23" t="n">
        <v>81686.85000000001</v>
      </c>
      <c r="J344" s="24">
        <f>(D344*Premissas!$B$24+(2*ROUNDUP(D344/2,0))*Premissas!$B$26+INT((2*ROUNDUP(D344/2,0))/4)*Premissas!$B$27+MOD((2*ROUNDUP(D344/2,0)),4)/2*Premissas!$B$28+2*IF(D344&lt;=19,3*D344,IF(D344&lt;=50,ROUNDUP(2.5*D344,0),2*D344))*Premissas!$B$29+IF(C344="Micro",G344*(Premissas!$B$31+Premissas!$B$32+4*Premissas!$B$30),G344*(INDEX(Premissas!$B$40:$B$71,MATCH(F344,Premissas!$A$40:$A$71,0))+INDEX(Premissas!$C$40:$C$71,MATCH(F344,Premissas!$A$40:$A$71,0))*Premissas!$B$30)))</f>
        <v/>
      </c>
      <c r="K344" s="24">
        <f>IF(J344&lt;Premissas!$B$36,MAX(Premissas!$B$33,J344*Premissas!$B$34),J344*Premissas!$B$35)</f>
        <v/>
      </c>
      <c r="L344" s="24">
        <f>ROUND(J344+K344,2)</f>
        <v/>
      </c>
      <c r="M344" s="24">
        <f>D344*Premissas!$B$8+Premissas!$B$9+Premissas!$B$10+Premissas!$B$11+Premissas!$B$12+ROUND(Premissas!$B$13*E344,2)</f>
        <v/>
      </c>
      <c r="N344" s="25">
        <f>ROUNDUP((L344+M344-Premissas!$B$5*L344)/(1-Premissas!$B$6-Premissas!$B$7-Premissas!$B$5-Premissas!$B$14),2)</f>
        <v/>
      </c>
      <c r="O344" s="24">
        <f>ROUND(IF(N344&lt;=30000,N344*(1+Premissas!$B$21),N344+Premissas!$B$21*30000*SQRT(N344/30000)),2)</f>
        <v/>
      </c>
      <c r="P344" s="24">
        <f>N344-I344</f>
        <v/>
      </c>
      <c r="Q344" s="26">
        <f>P344/I344</f>
        <v/>
      </c>
      <c r="R344" s="26">
        <f>(I344-L344-Premissas!$B$5*(I344-L344)-(Premissas!$B$6+Premissas!$B$7)*I344-M344)/I344</f>
        <v/>
      </c>
      <c r="S344" s="24">
        <f>ROUND((CEILING((L344*Premissas!$B$17/Premissas!$B$18-97)/100,1)*100+97)*Premissas!$B$18,2)</f>
        <v/>
      </c>
    </row>
    <row r="345">
      <c r="A345" s="17" t="inlineStr">
        <is>
          <t>KIT 51 MOD. 620W + INV. SOLIS 37,5KW</t>
        </is>
      </c>
      <c r="B345" s="17" t="inlineStr">
        <is>
          <t>SOLIS</t>
        </is>
      </c>
      <c r="C345" s="17" t="inlineStr">
        <is>
          <t>Inversor</t>
        </is>
      </c>
      <c r="D345" s="21" t="n">
        <v>51</v>
      </c>
      <c r="E345" s="30" t="n">
        <v>31.62</v>
      </c>
      <c r="F345" s="20" t="inlineStr">
        <is>
          <t>SOLIS S5-GC37.5K-LV TRI 220V</t>
        </is>
      </c>
      <c r="G345" s="21" t="n">
        <v>1</v>
      </c>
      <c r="H345" s="17" t="inlineStr">
        <is>
          <t>Sim</t>
        </is>
      </c>
      <c r="I345" s="23" t="n">
        <v>82421.85000000001</v>
      </c>
      <c r="J345" s="24">
        <f>(D345*Premissas!$B$24+(2*ROUNDUP(D345/2,0))*Premissas!$B$26+INT((2*ROUNDUP(D345/2,0))/4)*Premissas!$B$27+MOD((2*ROUNDUP(D345/2,0)),4)/2*Premissas!$B$28+2*IF(D345&lt;=19,3*D345,IF(D345&lt;=50,ROUNDUP(2.5*D345,0),2*D345))*Premissas!$B$29+IF(C345="Micro",G345*(Premissas!$B$31+Premissas!$B$32+4*Premissas!$B$30),G345*(INDEX(Premissas!$B$40:$B$71,MATCH(F345,Premissas!$A$40:$A$71,0))+INDEX(Premissas!$C$40:$C$71,MATCH(F345,Premissas!$A$40:$A$71,0))*Premissas!$B$30)))</f>
        <v/>
      </c>
      <c r="K345" s="24">
        <f>IF(J345&lt;Premissas!$B$36,MAX(Premissas!$B$33,J345*Premissas!$B$34),J345*Premissas!$B$35)</f>
        <v/>
      </c>
      <c r="L345" s="24">
        <f>ROUND(J345+K345,2)</f>
        <v/>
      </c>
      <c r="M345" s="24">
        <f>D345*Premissas!$B$8+Premissas!$B$9+Premissas!$B$10+Premissas!$B$11+Premissas!$B$12+ROUND(Premissas!$B$13*E345,2)</f>
        <v/>
      </c>
      <c r="N345" s="25">
        <f>ROUNDUP((L345+M345-Premissas!$B$5*L345)/(1-Premissas!$B$6-Premissas!$B$7-Premissas!$B$5-Premissas!$B$14),2)</f>
        <v/>
      </c>
      <c r="O345" s="24">
        <f>ROUND(IF(N345&lt;=30000,N345*(1+Premissas!$B$21),N345+Premissas!$B$21*30000*SQRT(N345/30000)),2)</f>
        <v/>
      </c>
      <c r="P345" s="24">
        <f>N345-I345</f>
        <v/>
      </c>
      <c r="Q345" s="26">
        <f>P345/I345</f>
        <v/>
      </c>
      <c r="R345" s="26">
        <f>(I345-L345-Premissas!$B$5*(I345-L345)-(Premissas!$B$6+Premissas!$B$7)*I345-M345)/I345</f>
        <v/>
      </c>
      <c r="S345" s="24">
        <f>ROUND((CEILING((L345*Premissas!$B$17/Premissas!$B$18-97)/100,1)*100+97)*Premissas!$B$18,2)</f>
        <v/>
      </c>
    </row>
    <row r="346">
      <c r="A346" s="17" t="inlineStr">
        <is>
          <t>KIT 52 MOD. 620W + INV. SOLIS 37,5KW</t>
        </is>
      </c>
      <c r="B346" s="17" t="inlineStr">
        <is>
          <t>SOLIS</t>
        </is>
      </c>
      <c r="C346" s="17" t="inlineStr">
        <is>
          <t>Inversor</t>
        </is>
      </c>
      <c r="D346" s="21" t="n">
        <v>52</v>
      </c>
      <c r="E346" s="30" t="n">
        <v>32.24</v>
      </c>
      <c r="F346" s="20" t="inlineStr">
        <is>
          <t>SOLIS S5-GC37.5K-LV TRI 220V</t>
        </is>
      </c>
      <c r="G346" s="21" t="n">
        <v>1</v>
      </c>
      <c r="H346" s="17" t="inlineStr">
        <is>
          <t>Sim</t>
        </is>
      </c>
      <c r="I346" s="23" t="n">
        <v>83471.85000000001</v>
      </c>
      <c r="J346" s="24">
        <f>(D346*Premissas!$B$24+(2*ROUNDUP(D346/2,0))*Premissas!$B$26+INT((2*ROUNDUP(D346/2,0))/4)*Premissas!$B$27+MOD((2*ROUNDUP(D346/2,0)),4)/2*Premissas!$B$28+2*IF(D346&lt;=19,3*D346,IF(D346&lt;=50,ROUNDUP(2.5*D346,0),2*D346))*Premissas!$B$29+IF(C346="Micro",G346*(Premissas!$B$31+Premissas!$B$32+4*Premissas!$B$30),G346*(INDEX(Premissas!$B$40:$B$71,MATCH(F346,Premissas!$A$40:$A$71,0))+INDEX(Premissas!$C$40:$C$71,MATCH(F346,Premissas!$A$40:$A$71,0))*Premissas!$B$30)))</f>
        <v/>
      </c>
      <c r="K346" s="24">
        <f>IF(J346&lt;Premissas!$B$36,MAX(Premissas!$B$33,J346*Premissas!$B$34),J346*Premissas!$B$35)</f>
        <v/>
      </c>
      <c r="L346" s="24">
        <f>ROUND(J346+K346,2)</f>
        <v/>
      </c>
      <c r="M346" s="24">
        <f>D346*Premissas!$B$8+Premissas!$B$9+Premissas!$B$10+Premissas!$B$11+Premissas!$B$12+ROUND(Premissas!$B$13*E346,2)</f>
        <v/>
      </c>
      <c r="N346" s="25">
        <f>ROUNDUP((L346+M346-Premissas!$B$5*L346)/(1-Premissas!$B$6-Premissas!$B$7-Premissas!$B$5-Premissas!$B$14),2)</f>
        <v/>
      </c>
      <c r="O346" s="24">
        <f>ROUND(IF(N346&lt;=30000,N346*(1+Premissas!$B$21),N346+Premissas!$B$21*30000*SQRT(N346/30000)),2)</f>
        <v/>
      </c>
      <c r="P346" s="24">
        <f>N346-I346</f>
        <v/>
      </c>
      <c r="Q346" s="26">
        <f>P346/I346</f>
        <v/>
      </c>
      <c r="R346" s="26">
        <f>(I346-L346-Premissas!$B$5*(I346-L346)-(Premissas!$B$6+Premissas!$B$7)*I346-M346)/I346</f>
        <v/>
      </c>
      <c r="S346" s="24">
        <f>ROUND((CEILING((L346*Premissas!$B$17/Premissas!$B$18-97)/100,1)*100+97)*Premissas!$B$18,2)</f>
        <v/>
      </c>
    </row>
    <row r="347">
      <c r="A347" s="17" t="inlineStr">
        <is>
          <t>KIT 53 MOD. 620W + INV. SOLIS 37,5KW</t>
        </is>
      </c>
      <c r="B347" s="17" t="inlineStr">
        <is>
          <t>SOLIS</t>
        </is>
      </c>
      <c r="C347" s="17" t="inlineStr">
        <is>
          <t>Inversor</t>
        </is>
      </c>
      <c r="D347" s="21" t="n">
        <v>53</v>
      </c>
      <c r="E347" s="30" t="n">
        <v>32.86</v>
      </c>
      <c r="F347" s="20" t="inlineStr">
        <is>
          <t>SOLIS S5-GC37.5K-LV TRI 220V</t>
        </is>
      </c>
      <c r="G347" s="21" t="n">
        <v>1</v>
      </c>
      <c r="H347" s="17" t="inlineStr">
        <is>
          <t>Sim</t>
        </is>
      </c>
      <c r="I347" s="23" t="n">
        <v>84836.85000000001</v>
      </c>
      <c r="J347" s="24">
        <f>(D347*Premissas!$B$24+(2*ROUNDUP(D347/2,0))*Premissas!$B$26+INT((2*ROUNDUP(D347/2,0))/4)*Premissas!$B$27+MOD((2*ROUNDUP(D347/2,0)),4)/2*Premissas!$B$28+2*IF(D347&lt;=19,3*D347,IF(D347&lt;=50,ROUNDUP(2.5*D347,0),2*D347))*Premissas!$B$29+IF(C347="Micro",G347*(Premissas!$B$31+Premissas!$B$32+4*Premissas!$B$30),G347*(INDEX(Premissas!$B$40:$B$71,MATCH(F347,Premissas!$A$40:$A$71,0))+INDEX(Premissas!$C$40:$C$71,MATCH(F347,Premissas!$A$40:$A$71,0))*Premissas!$B$30)))</f>
        <v/>
      </c>
      <c r="K347" s="24">
        <f>IF(J347&lt;Premissas!$B$36,MAX(Premissas!$B$33,J347*Premissas!$B$34),J347*Premissas!$B$35)</f>
        <v/>
      </c>
      <c r="L347" s="24">
        <f>ROUND(J347+K347,2)</f>
        <v/>
      </c>
      <c r="M347" s="24">
        <f>D347*Premissas!$B$8+Premissas!$B$9+Premissas!$B$10+Premissas!$B$11+Premissas!$B$12+ROUND(Premissas!$B$13*E347,2)</f>
        <v/>
      </c>
      <c r="N347" s="25">
        <f>ROUNDUP((L347+M347-Premissas!$B$5*L347)/(1-Premissas!$B$6-Premissas!$B$7-Premissas!$B$5-Premissas!$B$14),2)</f>
        <v/>
      </c>
      <c r="O347" s="24">
        <f>ROUND(IF(N347&lt;=30000,N347*(1+Premissas!$B$21),N347+Premissas!$B$21*30000*SQRT(N347/30000)),2)</f>
        <v/>
      </c>
      <c r="P347" s="24">
        <f>N347-I347</f>
        <v/>
      </c>
      <c r="Q347" s="26">
        <f>P347/I347</f>
        <v/>
      </c>
      <c r="R347" s="26">
        <f>(I347-L347-Premissas!$B$5*(I347-L347)-(Premissas!$B$6+Premissas!$B$7)*I347-M347)/I347</f>
        <v/>
      </c>
      <c r="S347" s="24">
        <f>ROUND((CEILING((L347*Premissas!$B$17/Premissas!$B$18-97)/100,1)*100+97)*Premissas!$B$18,2)</f>
        <v/>
      </c>
    </row>
    <row r="348">
      <c r="A348" s="17" t="inlineStr">
        <is>
          <t>KIT 54 MOD. 620W + INV. SOLIS 37,5KW</t>
        </is>
      </c>
      <c r="B348" s="17" t="inlineStr">
        <is>
          <t>SOLIS</t>
        </is>
      </c>
      <c r="C348" s="17" t="inlineStr">
        <is>
          <t>Inversor</t>
        </is>
      </c>
      <c r="D348" s="21" t="n">
        <v>54</v>
      </c>
      <c r="E348" s="30" t="n">
        <v>33.48</v>
      </c>
      <c r="F348" s="20" t="inlineStr">
        <is>
          <t>SOLIS S5-GC37.5K-LV TRI 220V</t>
        </is>
      </c>
      <c r="G348" s="21" t="n">
        <v>1</v>
      </c>
      <c r="H348" s="17" t="inlineStr">
        <is>
          <t>Sim</t>
        </is>
      </c>
      <c r="I348" s="23" t="n">
        <v>85886.85000000001</v>
      </c>
      <c r="J348" s="24">
        <f>(D348*Premissas!$B$24+(2*ROUNDUP(D348/2,0))*Premissas!$B$26+INT((2*ROUNDUP(D348/2,0))/4)*Premissas!$B$27+MOD((2*ROUNDUP(D348/2,0)),4)/2*Premissas!$B$28+2*IF(D348&lt;=19,3*D348,IF(D348&lt;=50,ROUNDUP(2.5*D348,0),2*D348))*Premissas!$B$29+IF(C348="Micro",G348*(Premissas!$B$31+Premissas!$B$32+4*Premissas!$B$30),G348*(INDEX(Premissas!$B$40:$B$71,MATCH(F348,Premissas!$A$40:$A$71,0))+INDEX(Premissas!$C$40:$C$71,MATCH(F348,Premissas!$A$40:$A$71,0))*Premissas!$B$30)))</f>
        <v/>
      </c>
      <c r="K348" s="24">
        <f>IF(J348&lt;Premissas!$B$36,MAX(Premissas!$B$33,J348*Premissas!$B$34),J348*Premissas!$B$35)</f>
        <v/>
      </c>
      <c r="L348" s="24">
        <f>ROUND(J348+K348,2)</f>
        <v/>
      </c>
      <c r="M348" s="24">
        <f>D348*Premissas!$B$8+Premissas!$B$9+Premissas!$B$10+Premissas!$B$11+Premissas!$B$12+ROUND(Premissas!$B$13*E348,2)</f>
        <v/>
      </c>
      <c r="N348" s="25">
        <f>ROUNDUP((L348+M348-Premissas!$B$5*L348)/(1-Premissas!$B$6-Premissas!$B$7-Premissas!$B$5-Premissas!$B$14),2)</f>
        <v/>
      </c>
      <c r="O348" s="24">
        <f>ROUND(IF(N348&lt;=30000,N348*(1+Premissas!$B$21),N348+Premissas!$B$21*30000*SQRT(N348/30000)),2)</f>
        <v/>
      </c>
      <c r="P348" s="24">
        <f>N348-I348</f>
        <v/>
      </c>
      <c r="Q348" s="26">
        <f>P348/I348</f>
        <v/>
      </c>
      <c r="R348" s="26">
        <f>(I348-L348-Premissas!$B$5*(I348-L348)-(Premissas!$B$6+Premissas!$B$7)*I348-M348)/I348</f>
        <v/>
      </c>
      <c r="S348" s="24">
        <f>ROUND((CEILING((L348*Premissas!$B$17/Premissas!$B$18-97)/100,1)*100+97)*Premissas!$B$18,2)</f>
        <v/>
      </c>
    </row>
    <row r="349">
      <c r="A349" s="17" t="inlineStr">
        <is>
          <t>KIT 55 MOD. 620W + INV. SOLIS 37,5KW</t>
        </is>
      </c>
      <c r="B349" s="17" t="inlineStr">
        <is>
          <t>SOLIS</t>
        </is>
      </c>
      <c r="C349" s="17" t="inlineStr">
        <is>
          <t>Inversor</t>
        </is>
      </c>
      <c r="D349" s="21" t="n">
        <v>55</v>
      </c>
      <c r="E349" s="30" t="n">
        <v>34.1</v>
      </c>
      <c r="F349" s="20" t="inlineStr">
        <is>
          <t>SOLIS S5-GC37.5K-LV TRI 220V</t>
        </is>
      </c>
      <c r="G349" s="21" t="n">
        <v>1</v>
      </c>
      <c r="H349" s="17" t="inlineStr">
        <is>
          <t>Sim</t>
        </is>
      </c>
      <c r="I349" s="23" t="n">
        <v>87146.85000000001</v>
      </c>
      <c r="J349" s="24">
        <f>(D349*Premissas!$B$24+(2*ROUNDUP(D349/2,0))*Premissas!$B$26+INT((2*ROUNDUP(D349/2,0))/4)*Premissas!$B$27+MOD((2*ROUNDUP(D349/2,0)),4)/2*Premissas!$B$28+2*IF(D349&lt;=19,3*D349,IF(D349&lt;=50,ROUNDUP(2.5*D349,0),2*D349))*Premissas!$B$29+IF(C349="Micro",G349*(Premissas!$B$31+Premissas!$B$32+4*Premissas!$B$30),G349*(INDEX(Premissas!$B$40:$B$71,MATCH(F349,Premissas!$A$40:$A$71,0))+INDEX(Premissas!$C$40:$C$71,MATCH(F349,Premissas!$A$40:$A$71,0))*Premissas!$B$30)))</f>
        <v/>
      </c>
      <c r="K349" s="24">
        <f>IF(J349&lt;Premissas!$B$36,MAX(Premissas!$B$33,J349*Premissas!$B$34),J349*Premissas!$B$35)</f>
        <v/>
      </c>
      <c r="L349" s="24">
        <f>ROUND(J349+K349,2)</f>
        <v/>
      </c>
      <c r="M349" s="24">
        <f>D349*Premissas!$B$8+Premissas!$B$9+Premissas!$B$10+Premissas!$B$11+Premissas!$B$12+ROUND(Premissas!$B$13*E349,2)</f>
        <v/>
      </c>
      <c r="N349" s="25">
        <f>ROUNDUP((L349+M349-Premissas!$B$5*L349)/(1-Premissas!$B$6-Premissas!$B$7-Premissas!$B$5-Premissas!$B$14),2)</f>
        <v/>
      </c>
      <c r="O349" s="24">
        <f>ROUND(IF(N349&lt;=30000,N349*(1+Premissas!$B$21),N349+Premissas!$B$21*30000*SQRT(N349/30000)),2)</f>
        <v/>
      </c>
      <c r="P349" s="24">
        <f>N349-I349</f>
        <v/>
      </c>
      <c r="Q349" s="26">
        <f>P349/I349</f>
        <v/>
      </c>
      <c r="R349" s="26">
        <f>(I349-L349-Premissas!$B$5*(I349-L349)-(Premissas!$B$6+Premissas!$B$7)*I349-M349)/I349</f>
        <v/>
      </c>
      <c r="S349" s="24">
        <f>ROUND((CEILING((L349*Premissas!$B$17/Premissas!$B$18-97)/100,1)*100+97)*Premissas!$B$18,2)</f>
        <v/>
      </c>
    </row>
    <row r="350">
      <c r="A350" s="17" t="inlineStr">
        <is>
          <t>KIT 56 MOD. 620W + INV. SOLIS 37,5KW</t>
        </is>
      </c>
      <c r="B350" s="17" t="inlineStr">
        <is>
          <t>SOLIS</t>
        </is>
      </c>
      <c r="C350" s="17" t="inlineStr">
        <is>
          <t>Inversor</t>
        </is>
      </c>
      <c r="D350" s="21" t="n">
        <v>56</v>
      </c>
      <c r="E350" s="30" t="n">
        <v>34.72</v>
      </c>
      <c r="F350" s="20" t="inlineStr">
        <is>
          <t>SOLIS S5-GC37.5K-LV TRI 220V</t>
        </is>
      </c>
      <c r="G350" s="21" t="n">
        <v>1</v>
      </c>
      <c r="H350" s="17" t="inlineStr">
        <is>
          <t>Sim</t>
        </is>
      </c>
      <c r="I350" s="23" t="n">
        <v>88196.85000000001</v>
      </c>
      <c r="J350" s="24">
        <f>(D350*Premissas!$B$24+(2*ROUNDUP(D350/2,0))*Premissas!$B$26+INT((2*ROUNDUP(D350/2,0))/4)*Premissas!$B$27+MOD((2*ROUNDUP(D350/2,0)),4)/2*Premissas!$B$28+2*IF(D350&lt;=19,3*D350,IF(D350&lt;=50,ROUNDUP(2.5*D350,0),2*D350))*Premissas!$B$29+IF(C350="Micro",G350*(Premissas!$B$31+Premissas!$B$32+4*Premissas!$B$30),G350*(INDEX(Premissas!$B$40:$B$71,MATCH(F350,Premissas!$A$40:$A$71,0))+INDEX(Premissas!$C$40:$C$71,MATCH(F350,Premissas!$A$40:$A$71,0))*Premissas!$B$30)))</f>
        <v/>
      </c>
      <c r="K350" s="24">
        <f>IF(J350&lt;Premissas!$B$36,MAX(Premissas!$B$33,J350*Premissas!$B$34),J350*Premissas!$B$35)</f>
        <v/>
      </c>
      <c r="L350" s="24">
        <f>ROUND(J350+K350,2)</f>
        <v/>
      </c>
      <c r="M350" s="24">
        <f>D350*Premissas!$B$8+Premissas!$B$9+Premissas!$B$10+Premissas!$B$11+Premissas!$B$12+ROUND(Premissas!$B$13*E350,2)</f>
        <v/>
      </c>
      <c r="N350" s="25">
        <f>ROUNDUP((L350+M350-Premissas!$B$5*L350)/(1-Premissas!$B$6-Premissas!$B$7-Premissas!$B$5-Premissas!$B$14),2)</f>
        <v/>
      </c>
      <c r="O350" s="24">
        <f>ROUND(IF(N350&lt;=30000,N350*(1+Premissas!$B$21),N350+Premissas!$B$21*30000*SQRT(N350/30000)),2)</f>
        <v/>
      </c>
      <c r="P350" s="24">
        <f>N350-I350</f>
        <v/>
      </c>
      <c r="Q350" s="26">
        <f>P350/I350</f>
        <v/>
      </c>
      <c r="R350" s="26">
        <f>(I350-L350-Premissas!$B$5*(I350-L350)-(Premissas!$B$6+Premissas!$B$7)*I350-M350)/I350</f>
        <v/>
      </c>
      <c r="S350" s="24">
        <f>ROUND((CEILING((L350*Premissas!$B$17/Premissas!$B$18-97)/100,1)*100+97)*Premissas!$B$18,2)</f>
        <v/>
      </c>
    </row>
    <row r="351">
      <c r="A351" s="17" t="inlineStr">
        <is>
          <t>KIT 57 MOD. 620W + INV. SOLIS 37,5KW</t>
        </is>
      </c>
      <c r="B351" s="17" t="inlineStr">
        <is>
          <t>SOLIS</t>
        </is>
      </c>
      <c r="C351" s="17" t="inlineStr">
        <is>
          <t>Inversor</t>
        </is>
      </c>
      <c r="D351" s="21" t="n">
        <v>57</v>
      </c>
      <c r="E351" s="30" t="n">
        <v>35.34</v>
      </c>
      <c r="F351" s="20" t="inlineStr">
        <is>
          <t>SOLIS S5-GC37.5K-LV TRI 220V</t>
        </is>
      </c>
      <c r="G351" s="21" t="n">
        <v>1</v>
      </c>
      <c r="H351" s="17" t="inlineStr">
        <is>
          <t>Sim</t>
        </is>
      </c>
      <c r="I351" s="23" t="n">
        <v>89561.85000000001</v>
      </c>
      <c r="J351" s="24">
        <f>(D351*Premissas!$B$24+(2*ROUNDUP(D351/2,0))*Premissas!$B$26+INT((2*ROUNDUP(D351/2,0))/4)*Premissas!$B$27+MOD((2*ROUNDUP(D351/2,0)),4)/2*Premissas!$B$28+2*IF(D351&lt;=19,3*D351,IF(D351&lt;=50,ROUNDUP(2.5*D351,0),2*D351))*Premissas!$B$29+IF(C351="Micro",G351*(Premissas!$B$31+Premissas!$B$32+4*Premissas!$B$30),G351*(INDEX(Premissas!$B$40:$B$71,MATCH(F351,Premissas!$A$40:$A$71,0))+INDEX(Premissas!$C$40:$C$71,MATCH(F351,Premissas!$A$40:$A$71,0))*Premissas!$B$30)))</f>
        <v/>
      </c>
      <c r="K351" s="24">
        <f>IF(J351&lt;Premissas!$B$36,MAX(Premissas!$B$33,J351*Premissas!$B$34),J351*Premissas!$B$35)</f>
        <v/>
      </c>
      <c r="L351" s="24">
        <f>ROUND(J351+K351,2)</f>
        <v/>
      </c>
      <c r="M351" s="24">
        <f>D351*Premissas!$B$8+Premissas!$B$9+Premissas!$B$10+Premissas!$B$11+Premissas!$B$12+ROUND(Premissas!$B$13*E351,2)</f>
        <v/>
      </c>
      <c r="N351" s="25">
        <f>ROUNDUP((L351+M351-Premissas!$B$5*L351)/(1-Premissas!$B$6-Premissas!$B$7-Premissas!$B$5-Premissas!$B$14),2)</f>
        <v/>
      </c>
      <c r="O351" s="24">
        <f>ROUND(IF(N351&lt;=30000,N351*(1+Premissas!$B$21),N351+Premissas!$B$21*30000*SQRT(N351/30000)),2)</f>
        <v/>
      </c>
      <c r="P351" s="24">
        <f>N351-I351</f>
        <v/>
      </c>
      <c r="Q351" s="26">
        <f>P351/I351</f>
        <v/>
      </c>
      <c r="R351" s="26">
        <f>(I351-L351-Premissas!$B$5*(I351-L351)-(Premissas!$B$6+Premissas!$B$7)*I351-M351)/I351</f>
        <v/>
      </c>
      <c r="S351" s="24">
        <f>ROUND((CEILING((L351*Premissas!$B$17/Premissas!$B$18-97)/100,1)*100+97)*Premissas!$B$18,2)</f>
        <v/>
      </c>
    </row>
    <row r="352">
      <c r="A352" s="17" t="inlineStr">
        <is>
          <t>KIT 58 MOD. 620W + INV. SOLIS 37,5KW</t>
        </is>
      </c>
      <c r="B352" s="17" t="inlineStr">
        <is>
          <t>SOLIS</t>
        </is>
      </c>
      <c r="C352" s="17" t="inlineStr">
        <is>
          <t>Inversor</t>
        </is>
      </c>
      <c r="D352" s="21" t="n">
        <v>58</v>
      </c>
      <c r="E352" s="30" t="n">
        <v>35.96</v>
      </c>
      <c r="F352" s="20" t="inlineStr">
        <is>
          <t>SOLIS S5-GC37.5K-LV TRI 220V</t>
        </is>
      </c>
      <c r="G352" s="21" t="n">
        <v>1</v>
      </c>
      <c r="H352" s="17" t="inlineStr">
        <is>
          <t>Sim</t>
        </is>
      </c>
      <c r="I352" s="23" t="n">
        <v>90611.85000000001</v>
      </c>
      <c r="J352" s="24">
        <f>(D352*Premissas!$B$24+(2*ROUNDUP(D352/2,0))*Premissas!$B$26+INT((2*ROUNDUP(D352/2,0))/4)*Premissas!$B$27+MOD((2*ROUNDUP(D352/2,0)),4)/2*Premissas!$B$28+2*IF(D352&lt;=19,3*D352,IF(D352&lt;=50,ROUNDUP(2.5*D352,0),2*D352))*Premissas!$B$29+IF(C352="Micro",G352*(Premissas!$B$31+Premissas!$B$32+4*Premissas!$B$30),G352*(INDEX(Premissas!$B$40:$B$71,MATCH(F352,Premissas!$A$40:$A$71,0))+INDEX(Premissas!$C$40:$C$71,MATCH(F352,Premissas!$A$40:$A$71,0))*Premissas!$B$30)))</f>
        <v/>
      </c>
      <c r="K352" s="24">
        <f>IF(J352&lt;Premissas!$B$36,MAX(Premissas!$B$33,J352*Premissas!$B$34),J352*Premissas!$B$35)</f>
        <v/>
      </c>
      <c r="L352" s="24">
        <f>ROUND(J352+K352,2)</f>
        <v/>
      </c>
      <c r="M352" s="24">
        <f>D352*Premissas!$B$8+Premissas!$B$9+Premissas!$B$10+Premissas!$B$11+Premissas!$B$12+ROUND(Premissas!$B$13*E352,2)</f>
        <v/>
      </c>
      <c r="N352" s="25">
        <f>ROUNDUP((L352+M352-Premissas!$B$5*L352)/(1-Premissas!$B$6-Premissas!$B$7-Premissas!$B$5-Premissas!$B$14),2)</f>
        <v/>
      </c>
      <c r="O352" s="24">
        <f>ROUND(IF(N352&lt;=30000,N352*(1+Premissas!$B$21),N352+Premissas!$B$21*30000*SQRT(N352/30000)),2)</f>
        <v/>
      </c>
      <c r="P352" s="24">
        <f>N352-I352</f>
        <v/>
      </c>
      <c r="Q352" s="26">
        <f>P352/I352</f>
        <v/>
      </c>
      <c r="R352" s="26">
        <f>(I352-L352-Premissas!$B$5*(I352-L352)-(Premissas!$B$6+Premissas!$B$7)*I352-M352)/I352</f>
        <v/>
      </c>
      <c r="S352" s="24">
        <f>ROUND((CEILING((L352*Premissas!$B$17/Premissas!$B$18-97)/100,1)*100+97)*Premissas!$B$18,2)</f>
        <v/>
      </c>
    </row>
    <row r="353">
      <c r="A353" s="17" t="inlineStr">
        <is>
          <t>KIT 59 MOD. 620W + INV. SOLIS 37,5KW</t>
        </is>
      </c>
      <c r="B353" s="17" t="inlineStr">
        <is>
          <t>SOLIS</t>
        </is>
      </c>
      <c r="C353" s="17" t="inlineStr">
        <is>
          <t>Inversor</t>
        </is>
      </c>
      <c r="D353" s="21" t="n">
        <v>59</v>
      </c>
      <c r="E353" s="30" t="n">
        <v>36.58</v>
      </c>
      <c r="F353" s="20" t="inlineStr">
        <is>
          <t>SOLIS S5-GC37.5K-LV TRI 220V</t>
        </is>
      </c>
      <c r="G353" s="21" t="n">
        <v>1</v>
      </c>
      <c r="H353" s="17" t="inlineStr">
        <is>
          <t>Sim</t>
        </is>
      </c>
      <c r="I353" s="23" t="n">
        <v>91976.85000000001</v>
      </c>
      <c r="J353" s="24">
        <f>(D353*Premissas!$B$24+(2*ROUNDUP(D353/2,0))*Premissas!$B$26+INT((2*ROUNDUP(D353/2,0))/4)*Premissas!$B$27+MOD((2*ROUNDUP(D353/2,0)),4)/2*Premissas!$B$28+2*IF(D353&lt;=19,3*D353,IF(D353&lt;=50,ROUNDUP(2.5*D353,0),2*D353))*Premissas!$B$29+IF(C353="Micro",G353*(Premissas!$B$31+Premissas!$B$32+4*Premissas!$B$30),G353*(INDEX(Premissas!$B$40:$B$71,MATCH(F353,Premissas!$A$40:$A$71,0))+INDEX(Premissas!$C$40:$C$71,MATCH(F353,Premissas!$A$40:$A$71,0))*Premissas!$B$30)))</f>
        <v/>
      </c>
      <c r="K353" s="24">
        <f>IF(J353&lt;Premissas!$B$36,MAX(Premissas!$B$33,J353*Premissas!$B$34),J353*Premissas!$B$35)</f>
        <v/>
      </c>
      <c r="L353" s="24">
        <f>ROUND(J353+K353,2)</f>
        <v/>
      </c>
      <c r="M353" s="24">
        <f>D353*Premissas!$B$8+Premissas!$B$9+Premissas!$B$10+Premissas!$B$11+Premissas!$B$12+ROUND(Premissas!$B$13*E353,2)</f>
        <v/>
      </c>
      <c r="N353" s="25">
        <f>ROUNDUP((L353+M353-Premissas!$B$5*L353)/(1-Premissas!$B$6-Premissas!$B$7-Premissas!$B$5-Premissas!$B$14),2)</f>
        <v/>
      </c>
      <c r="O353" s="24">
        <f>ROUND(IF(N353&lt;=30000,N353*(1+Premissas!$B$21),N353+Premissas!$B$21*30000*SQRT(N353/30000)),2)</f>
        <v/>
      </c>
      <c r="P353" s="24">
        <f>N353-I353</f>
        <v/>
      </c>
      <c r="Q353" s="26">
        <f>P353/I353</f>
        <v/>
      </c>
      <c r="R353" s="26">
        <f>(I353-L353-Premissas!$B$5*(I353-L353)-(Premissas!$B$6+Premissas!$B$7)*I353-M353)/I353</f>
        <v/>
      </c>
      <c r="S353" s="24">
        <f>ROUND((CEILING((L353*Premissas!$B$17/Premissas!$B$18-97)/100,1)*100+97)*Premissas!$B$18,2)</f>
        <v/>
      </c>
    </row>
    <row r="354">
      <c r="A354" s="17" t="inlineStr">
        <is>
          <t>KIT 60 MOD. 620W + INV. SOLIS 37,5KW</t>
        </is>
      </c>
      <c r="B354" s="17" t="inlineStr">
        <is>
          <t>SOLIS</t>
        </is>
      </c>
      <c r="C354" s="17" t="inlineStr">
        <is>
          <t>Inversor</t>
        </is>
      </c>
      <c r="D354" s="21" t="n">
        <v>60</v>
      </c>
      <c r="E354" s="30" t="n">
        <v>37.2</v>
      </c>
      <c r="F354" s="20" t="inlineStr">
        <is>
          <t>SOLIS S5-GC37.5K-LV TRI 220V</t>
        </is>
      </c>
      <c r="G354" s="21" t="n">
        <v>1</v>
      </c>
      <c r="H354" s="17" t="inlineStr">
        <is>
          <t>Sim</t>
        </is>
      </c>
      <c r="I354" s="23" t="n">
        <v>93026.85000000001</v>
      </c>
      <c r="J354" s="24">
        <f>(D354*Premissas!$B$24+(2*ROUNDUP(D354/2,0))*Premissas!$B$26+INT((2*ROUNDUP(D354/2,0))/4)*Premissas!$B$27+MOD((2*ROUNDUP(D354/2,0)),4)/2*Premissas!$B$28+2*IF(D354&lt;=19,3*D354,IF(D354&lt;=50,ROUNDUP(2.5*D354,0),2*D354))*Premissas!$B$29+IF(C354="Micro",G354*(Premissas!$B$31+Premissas!$B$32+4*Premissas!$B$30),G354*(INDEX(Premissas!$B$40:$B$71,MATCH(F354,Premissas!$A$40:$A$71,0))+INDEX(Premissas!$C$40:$C$71,MATCH(F354,Premissas!$A$40:$A$71,0))*Premissas!$B$30)))</f>
        <v/>
      </c>
      <c r="K354" s="24">
        <f>IF(J354&lt;Premissas!$B$36,MAX(Premissas!$B$33,J354*Premissas!$B$34),J354*Premissas!$B$35)</f>
        <v/>
      </c>
      <c r="L354" s="24">
        <f>ROUND(J354+K354,2)</f>
        <v/>
      </c>
      <c r="M354" s="24">
        <f>D354*Premissas!$B$8+Premissas!$B$9+Premissas!$B$10+Premissas!$B$11+Premissas!$B$12+ROUND(Premissas!$B$13*E354,2)</f>
        <v/>
      </c>
      <c r="N354" s="25">
        <f>ROUNDUP((L354+M354-Premissas!$B$5*L354)/(1-Premissas!$B$6-Premissas!$B$7-Premissas!$B$5-Premissas!$B$14),2)</f>
        <v/>
      </c>
      <c r="O354" s="24">
        <f>ROUND(IF(N354&lt;=30000,N354*(1+Premissas!$B$21),N354+Premissas!$B$21*30000*SQRT(N354/30000)),2)</f>
        <v/>
      </c>
      <c r="P354" s="24">
        <f>N354-I354</f>
        <v/>
      </c>
      <c r="Q354" s="26">
        <f>P354/I354</f>
        <v/>
      </c>
      <c r="R354" s="26">
        <f>(I354-L354-Premissas!$B$5*(I354-L354)-(Premissas!$B$6+Premissas!$B$7)*I354-M354)/I354</f>
        <v/>
      </c>
      <c r="S354" s="24">
        <f>ROUND((CEILING((L354*Premissas!$B$17/Premissas!$B$18-97)/100,1)*100+97)*Premissas!$B$18,2)</f>
        <v/>
      </c>
    </row>
    <row r="355">
      <c r="A355" s="17" t="inlineStr">
        <is>
          <t>KIT 61 MOD. 620W + INV. SOLIS 37,5KW</t>
        </is>
      </c>
      <c r="B355" s="17" t="inlineStr">
        <is>
          <t>SOLIS</t>
        </is>
      </c>
      <c r="C355" s="17" t="inlineStr">
        <is>
          <t>Inversor</t>
        </is>
      </c>
      <c r="D355" s="21" t="n">
        <v>61</v>
      </c>
      <c r="E355" s="30" t="n">
        <v>37.82</v>
      </c>
      <c r="F355" s="20" t="inlineStr">
        <is>
          <t>SOLIS S5-GC37.5K-LV TRI 220V</t>
        </is>
      </c>
      <c r="G355" s="21" t="n">
        <v>1</v>
      </c>
      <c r="H355" s="17" t="inlineStr">
        <is>
          <t>Sim</t>
        </is>
      </c>
      <c r="I355" s="23" t="n">
        <v>94286.85000000001</v>
      </c>
      <c r="J355" s="24">
        <f>(D355*Premissas!$B$24+(2*ROUNDUP(D355/2,0))*Premissas!$B$26+INT((2*ROUNDUP(D355/2,0))/4)*Premissas!$B$27+MOD((2*ROUNDUP(D355/2,0)),4)/2*Premissas!$B$28+2*IF(D355&lt;=19,3*D355,IF(D355&lt;=50,ROUNDUP(2.5*D355,0),2*D355))*Premissas!$B$29+IF(C355="Micro",G355*(Premissas!$B$31+Premissas!$B$32+4*Premissas!$B$30),G355*(INDEX(Premissas!$B$40:$B$71,MATCH(F355,Premissas!$A$40:$A$71,0))+INDEX(Premissas!$C$40:$C$71,MATCH(F355,Premissas!$A$40:$A$71,0))*Premissas!$B$30)))</f>
        <v/>
      </c>
      <c r="K355" s="24">
        <f>IF(J355&lt;Premissas!$B$36,MAX(Premissas!$B$33,J355*Premissas!$B$34),J355*Premissas!$B$35)</f>
        <v/>
      </c>
      <c r="L355" s="24">
        <f>ROUND(J355+K355,2)</f>
        <v/>
      </c>
      <c r="M355" s="24">
        <f>D355*Premissas!$B$8+Premissas!$B$9+Premissas!$B$10+Premissas!$B$11+Premissas!$B$12+ROUND(Premissas!$B$13*E355,2)</f>
        <v/>
      </c>
      <c r="N355" s="25">
        <f>ROUNDUP((L355+M355-Premissas!$B$5*L355)/(1-Premissas!$B$6-Premissas!$B$7-Premissas!$B$5-Premissas!$B$14),2)</f>
        <v/>
      </c>
      <c r="O355" s="24">
        <f>ROUND(IF(N355&lt;=30000,N355*(1+Premissas!$B$21),N355+Premissas!$B$21*30000*SQRT(N355/30000)),2)</f>
        <v/>
      </c>
      <c r="P355" s="24">
        <f>N355-I355</f>
        <v/>
      </c>
      <c r="Q355" s="26">
        <f>P355/I355</f>
        <v/>
      </c>
      <c r="R355" s="26">
        <f>(I355-L355-Premissas!$B$5*(I355-L355)-(Premissas!$B$6+Premissas!$B$7)*I355-M355)/I355</f>
        <v/>
      </c>
      <c r="S355" s="24">
        <f>ROUND((CEILING((L355*Premissas!$B$17/Premissas!$B$18-97)/100,1)*100+97)*Premissas!$B$18,2)</f>
        <v/>
      </c>
    </row>
    <row r="356">
      <c r="A356" s="17" t="inlineStr">
        <is>
          <t>KIT 62 MOD. 620W + INV. SOLIS 37,5KW</t>
        </is>
      </c>
      <c r="B356" s="17" t="inlineStr">
        <is>
          <t>SOLIS</t>
        </is>
      </c>
      <c r="C356" s="17" t="inlineStr">
        <is>
          <t>Inversor</t>
        </is>
      </c>
      <c r="D356" s="21" t="n">
        <v>62</v>
      </c>
      <c r="E356" s="30" t="n">
        <v>38.44</v>
      </c>
      <c r="F356" s="20" t="inlineStr">
        <is>
          <t>SOLIS S5-GC37.5K-LV TRI 220V</t>
        </is>
      </c>
      <c r="G356" s="21" t="n">
        <v>1</v>
      </c>
      <c r="H356" s="17" t="inlineStr">
        <is>
          <t>Sim</t>
        </is>
      </c>
      <c r="I356" s="23" t="n">
        <v>95336.85000000001</v>
      </c>
      <c r="J356" s="24">
        <f>(D356*Premissas!$B$24+(2*ROUNDUP(D356/2,0))*Premissas!$B$26+INT((2*ROUNDUP(D356/2,0))/4)*Premissas!$B$27+MOD((2*ROUNDUP(D356/2,0)),4)/2*Premissas!$B$28+2*IF(D356&lt;=19,3*D356,IF(D356&lt;=50,ROUNDUP(2.5*D356,0),2*D356))*Premissas!$B$29+IF(C356="Micro",G356*(Premissas!$B$31+Premissas!$B$32+4*Premissas!$B$30),G356*(INDEX(Premissas!$B$40:$B$71,MATCH(F356,Premissas!$A$40:$A$71,0))+INDEX(Premissas!$C$40:$C$71,MATCH(F356,Premissas!$A$40:$A$71,0))*Premissas!$B$30)))</f>
        <v/>
      </c>
      <c r="K356" s="24">
        <f>IF(J356&lt;Premissas!$B$36,MAX(Premissas!$B$33,J356*Premissas!$B$34),J356*Premissas!$B$35)</f>
        <v/>
      </c>
      <c r="L356" s="24">
        <f>ROUND(J356+K356,2)</f>
        <v/>
      </c>
      <c r="M356" s="24">
        <f>D356*Premissas!$B$8+Premissas!$B$9+Premissas!$B$10+Premissas!$B$11+Premissas!$B$12+ROUND(Premissas!$B$13*E356,2)</f>
        <v/>
      </c>
      <c r="N356" s="25">
        <f>ROUNDUP((L356+M356-Premissas!$B$5*L356)/(1-Premissas!$B$6-Premissas!$B$7-Premissas!$B$5-Premissas!$B$14),2)</f>
        <v/>
      </c>
      <c r="O356" s="24">
        <f>ROUND(IF(N356&lt;=30000,N356*(1+Premissas!$B$21),N356+Premissas!$B$21*30000*SQRT(N356/30000)),2)</f>
        <v/>
      </c>
      <c r="P356" s="24">
        <f>N356-I356</f>
        <v/>
      </c>
      <c r="Q356" s="26">
        <f>P356/I356</f>
        <v/>
      </c>
      <c r="R356" s="26">
        <f>(I356-L356-Premissas!$B$5*(I356-L356)-(Premissas!$B$6+Premissas!$B$7)*I356-M356)/I356</f>
        <v/>
      </c>
      <c r="S356" s="24">
        <f>ROUND((CEILING((L356*Premissas!$B$17/Premissas!$B$18-97)/100,1)*100+97)*Premissas!$B$18,2)</f>
        <v/>
      </c>
    </row>
    <row r="357">
      <c r="A357" s="17" t="inlineStr">
        <is>
          <t>KIT 63 MOD. 620W + INV. SOLIS 37,5KW</t>
        </is>
      </c>
      <c r="B357" s="17" t="inlineStr">
        <is>
          <t>SOLIS</t>
        </is>
      </c>
      <c r="C357" s="17" t="inlineStr">
        <is>
          <t>Inversor</t>
        </is>
      </c>
      <c r="D357" s="21" t="n">
        <v>63</v>
      </c>
      <c r="E357" s="30" t="n">
        <v>39.06</v>
      </c>
      <c r="F357" s="20" t="inlineStr">
        <is>
          <t>SOLIS S5-GC37.5K-LV TRI 220V</t>
        </is>
      </c>
      <c r="G357" s="21" t="n">
        <v>1</v>
      </c>
      <c r="H357" s="17" t="inlineStr">
        <is>
          <t>Sim</t>
        </is>
      </c>
      <c r="I357" s="23" t="n">
        <v>96701.85000000001</v>
      </c>
      <c r="J357" s="24">
        <f>(D357*Premissas!$B$24+(2*ROUNDUP(D357/2,0))*Premissas!$B$26+INT((2*ROUNDUP(D357/2,0))/4)*Premissas!$B$27+MOD((2*ROUNDUP(D357/2,0)),4)/2*Premissas!$B$28+2*IF(D357&lt;=19,3*D357,IF(D357&lt;=50,ROUNDUP(2.5*D357,0),2*D357))*Premissas!$B$29+IF(C357="Micro",G357*(Premissas!$B$31+Premissas!$B$32+4*Premissas!$B$30),G357*(INDEX(Premissas!$B$40:$B$71,MATCH(F357,Premissas!$A$40:$A$71,0))+INDEX(Premissas!$C$40:$C$71,MATCH(F357,Premissas!$A$40:$A$71,0))*Premissas!$B$30)))</f>
        <v/>
      </c>
      <c r="K357" s="24">
        <f>IF(J357&lt;Premissas!$B$36,MAX(Premissas!$B$33,J357*Premissas!$B$34),J357*Premissas!$B$35)</f>
        <v/>
      </c>
      <c r="L357" s="24">
        <f>ROUND(J357+K357,2)</f>
        <v/>
      </c>
      <c r="M357" s="24">
        <f>D357*Premissas!$B$8+Premissas!$B$9+Premissas!$B$10+Premissas!$B$11+Premissas!$B$12+ROUND(Premissas!$B$13*E357,2)</f>
        <v/>
      </c>
      <c r="N357" s="25">
        <f>ROUNDUP((L357+M357-Premissas!$B$5*L357)/(1-Premissas!$B$6-Premissas!$B$7-Premissas!$B$5-Premissas!$B$14),2)</f>
        <v/>
      </c>
      <c r="O357" s="24">
        <f>ROUND(IF(N357&lt;=30000,N357*(1+Premissas!$B$21),N357+Premissas!$B$21*30000*SQRT(N357/30000)),2)</f>
        <v/>
      </c>
      <c r="P357" s="24">
        <f>N357-I357</f>
        <v/>
      </c>
      <c r="Q357" s="26">
        <f>P357/I357</f>
        <v/>
      </c>
      <c r="R357" s="26">
        <f>(I357-L357-Premissas!$B$5*(I357-L357)-(Premissas!$B$6+Premissas!$B$7)*I357-M357)/I357</f>
        <v/>
      </c>
      <c r="S357" s="24">
        <f>ROUND((CEILING((L357*Premissas!$B$17/Premissas!$B$18-97)/100,1)*100+97)*Premissas!$B$18,2)</f>
        <v/>
      </c>
    </row>
    <row r="358">
      <c r="A358" s="17" t="inlineStr">
        <is>
          <t>KIT 64 MOD. 620W + INV. SOLIS 37,5KW</t>
        </is>
      </c>
      <c r="B358" s="17" t="inlineStr">
        <is>
          <t>SOLIS</t>
        </is>
      </c>
      <c r="C358" s="17" t="inlineStr">
        <is>
          <t>Inversor</t>
        </is>
      </c>
      <c r="D358" s="21" t="n">
        <v>64</v>
      </c>
      <c r="E358" s="30" t="n">
        <v>39.68</v>
      </c>
      <c r="F358" s="20" t="inlineStr">
        <is>
          <t>SOLIS S5-GC37.5K-LV TRI 220V</t>
        </is>
      </c>
      <c r="G358" s="21" t="n">
        <v>1</v>
      </c>
      <c r="H358" s="17" t="inlineStr">
        <is>
          <t>Sim</t>
        </is>
      </c>
      <c r="I358" s="23" t="n">
        <v>97751.85000000001</v>
      </c>
      <c r="J358" s="24">
        <f>(D358*Premissas!$B$24+(2*ROUNDUP(D358/2,0))*Premissas!$B$26+INT((2*ROUNDUP(D358/2,0))/4)*Premissas!$B$27+MOD((2*ROUNDUP(D358/2,0)),4)/2*Premissas!$B$28+2*IF(D358&lt;=19,3*D358,IF(D358&lt;=50,ROUNDUP(2.5*D358,0),2*D358))*Premissas!$B$29+IF(C358="Micro",G358*(Premissas!$B$31+Premissas!$B$32+4*Premissas!$B$30),G358*(INDEX(Premissas!$B$40:$B$71,MATCH(F358,Premissas!$A$40:$A$71,0))+INDEX(Premissas!$C$40:$C$71,MATCH(F358,Premissas!$A$40:$A$71,0))*Premissas!$B$30)))</f>
        <v/>
      </c>
      <c r="K358" s="24">
        <f>IF(J358&lt;Premissas!$B$36,MAX(Premissas!$B$33,J358*Premissas!$B$34),J358*Premissas!$B$35)</f>
        <v/>
      </c>
      <c r="L358" s="24">
        <f>ROUND(J358+K358,2)</f>
        <v/>
      </c>
      <c r="M358" s="24">
        <f>D358*Premissas!$B$8+Premissas!$B$9+Premissas!$B$10+Premissas!$B$11+Premissas!$B$12+ROUND(Premissas!$B$13*E358,2)</f>
        <v/>
      </c>
      <c r="N358" s="25">
        <f>ROUNDUP((L358+M358-Premissas!$B$5*L358)/(1-Premissas!$B$6-Premissas!$B$7-Premissas!$B$5-Premissas!$B$14),2)</f>
        <v/>
      </c>
      <c r="O358" s="24">
        <f>ROUND(IF(N358&lt;=30000,N358*(1+Premissas!$B$21),N358+Premissas!$B$21*30000*SQRT(N358/30000)),2)</f>
        <v/>
      </c>
      <c r="P358" s="24">
        <f>N358-I358</f>
        <v/>
      </c>
      <c r="Q358" s="26">
        <f>P358/I358</f>
        <v/>
      </c>
      <c r="R358" s="26">
        <f>(I358-L358-Premissas!$B$5*(I358-L358)-(Premissas!$B$6+Premissas!$B$7)*I358-M358)/I358</f>
        <v/>
      </c>
      <c r="S358" s="24">
        <f>ROUND((CEILING((L358*Premissas!$B$17/Premissas!$B$18-97)/100,1)*100+97)*Premissas!$B$18,2)</f>
        <v/>
      </c>
    </row>
    <row r="359">
      <c r="A359" s="17" t="inlineStr">
        <is>
          <t>KIT 65 MOD. 620W + INV. SOLIS 37,5KW</t>
        </is>
      </c>
      <c r="B359" s="17" t="inlineStr">
        <is>
          <t>SOLIS</t>
        </is>
      </c>
      <c r="C359" s="17" t="inlineStr">
        <is>
          <t>Inversor</t>
        </is>
      </c>
      <c r="D359" s="21" t="n">
        <v>65</v>
      </c>
      <c r="E359" s="30" t="n">
        <v>40.3</v>
      </c>
      <c r="F359" s="20" t="inlineStr">
        <is>
          <t>SOLIS S5-GC37.5K-LV TRI 220V</t>
        </is>
      </c>
      <c r="G359" s="21" t="n">
        <v>1</v>
      </c>
      <c r="H359" s="17" t="inlineStr">
        <is>
          <t>Sim</t>
        </is>
      </c>
      <c r="I359" s="23" t="n">
        <v>99116.85000000001</v>
      </c>
      <c r="J359" s="24">
        <f>(D359*Premissas!$B$24+(2*ROUNDUP(D359/2,0))*Premissas!$B$26+INT((2*ROUNDUP(D359/2,0))/4)*Premissas!$B$27+MOD((2*ROUNDUP(D359/2,0)),4)/2*Premissas!$B$28+2*IF(D359&lt;=19,3*D359,IF(D359&lt;=50,ROUNDUP(2.5*D359,0),2*D359))*Premissas!$B$29+IF(C359="Micro",G359*(Premissas!$B$31+Premissas!$B$32+4*Premissas!$B$30),G359*(INDEX(Premissas!$B$40:$B$71,MATCH(F359,Premissas!$A$40:$A$71,0))+INDEX(Premissas!$C$40:$C$71,MATCH(F359,Premissas!$A$40:$A$71,0))*Premissas!$B$30)))</f>
        <v/>
      </c>
      <c r="K359" s="24">
        <f>IF(J359&lt;Premissas!$B$36,MAX(Premissas!$B$33,J359*Premissas!$B$34),J359*Premissas!$B$35)</f>
        <v/>
      </c>
      <c r="L359" s="24">
        <f>ROUND(J359+K359,2)</f>
        <v/>
      </c>
      <c r="M359" s="24">
        <f>D359*Premissas!$B$8+Premissas!$B$9+Premissas!$B$10+Premissas!$B$11+Premissas!$B$12+ROUND(Premissas!$B$13*E359,2)</f>
        <v/>
      </c>
      <c r="N359" s="25">
        <f>ROUNDUP((L359+M359-Premissas!$B$5*L359)/(1-Premissas!$B$6-Premissas!$B$7-Premissas!$B$5-Premissas!$B$14),2)</f>
        <v/>
      </c>
      <c r="O359" s="24">
        <f>ROUND(IF(N359&lt;=30000,N359*(1+Premissas!$B$21),N359+Premissas!$B$21*30000*SQRT(N359/30000)),2)</f>
        <v/>
      </c>
      <c r="P359" s="24">
        <f>N359-I359</f>
        <v/>
      </c>
      <c r="Q359" s="26">
        <f>P359/I359</f>
        <v/>
      </c>
      <c r="R359" s="26">
        <f>(I359-L359-Premissas!$B$5*(I359-L359)-(Premissas!$B$6+Premissas!$B$7)*I359-M359)/I359</f>
        <v/>
      </c>
      <c r="S359" s="24">
        <f>ROUND((CEILING((L359*Premissas!$B$17/Premissas!$B$18-97)/100,1)*100+97)*Premissas!$B$18,2)</f>
        <v/>
      </c>
    </row>
    <row r="360">
      <c r="A360" s="17" t="inlineStr">
        <is>
          <t>KIT 66 MOD. 620W + INV. SOLIS 37,5KW</t>
        </is>
      </c>
      <c r="B360" s="17" t="inlineStr">
        <is>
          <t>SOLIS</t>
        </is>
      </c>
      <c r="C360" s="17" t="inlineStr">
        <is>
          <t>Inversor</t>
        </is>
      </c>
      <c r="D360" s="21" t="n">
        <v>66</v>
      </c>
      <c r="E360" s="30" t="n">
        <v>40.92</v>
      </c>
      <c r="F360" s="20" t="inlineStr">
        <is>
          <t>SOLIS S5-GC37.5K-LV TRI 220V</t>
        </is>
      </c>
      <c r="G360" s="21" t="n">
        <v>1</v>
      </c>
      <c r="H360" s="17" t="inlineStr">
        <is>
          <t>Sim</t>
        </is>
      </c>
      <c r="I360" s="23" t="n">
        <v>100166.85</v>
      </c>
      <c r="J360" s="24">
        <f>(D360*Premissas!$B$24+(2*ROUNDUP(D360/2,0))*Premissas!$B$26+INT((2*ROUNDUP(D360/2,0))/4)*Premissas!$B$27+MOD((2*ROUNDUP(D360/2,0)),4)/2*Premissas!$B$28+2*IF(D360&lt;=19,3*D360,IF(D360&lt;=50,ROUNDUP(2.5*D360,0),2*D360))*Premissas!$B$29+IF(C360="Micro",G360*(Premissas!$B$31+Premissas!$B$32+4*Premissas!$B$30),G360*(INDEX(Premissas!$B$40:$B$71,MATCH(F360,Premissas!$A$40:$A$71,0))+INDEX(Premissas!$C$40:$C$71,MATCH(F360,Premissas!$A$40:$A$71,0))*Premissas!$B$30)))</f>
        <v/>
      </c>
      <c r="K360" s="24">
        <f>IF(J360&lt;Premissas!$B$36,MAX(Premissas!$B$33,J360*Premissas!$B$34),J360*Premissas!$B$35)</f>
        <v/>
      </c>
      <c r="L360" s="24">
        <f>ROUND(J360+K360,2)</f>
        <v/>
      </c>
      <c r="M360" s="24">
        <f>D360*Premissas!$B$8+Premissas!$B$9+Premissas!$B$10+Premissas!$B$11+Premissas!$B$12+ROUND(Premissas!$B$13*E360,2)</f>
        <v/>
      </c>
      <c r="N360" s="25">
        <f>ROUNDUP((L360+M360-Premissas!$B$5*L360)/(1-Premissas!$B$6-Premissas!$B$7-Premissas!$B$5-Premissas!$B$14),2)</f>
        <v/>
      </c>
      <c r="O360" s="24">
        <f>ROUND(IF(N360&lt;=30000,N360*(1+Premissas!$B$21),N360+Premissas!$B$21*30000*SQRT(N360/30000)),2)</f>
        <v/>
      </c>
      <c r="P360" s="24">
        <f>N360-I360</f>
        <v/>
      </c>
      <c r="Q360" s="26">
        <f>P360/I360</f>
        <v/>
      </c>
      <c r="R360" s="26">
        <f>(I360-L360-Premissas!$B$5*(I360-L360)-(Premissas!$B$6+Premissas!$B$7)*I360-M360)/I360</f>
        <v/>
      </c>
      <c r="S360" s="24">
        <f>ROUND((CEILING((L360*Premissas!$B$17/Premissas!$B$18-97)/100,1)*100+97)*Premissas!$B$18,2)</f>
        <v/>
      </c>
    </row>
    <row r="361">
      <c r="A361" s="17" t="inlineStr">
        <is>
          <t>KIT 67 MOD. 620W + INV. SOLIS 37,5KW</t>
        </is>
      </c>
      <c r="B361" s="17" t="inlineStr">
        <is>
          <t>SOLIS</t>
        </is>
      </c>
      <c r="C361" s="17" t="inlineStr">
        <is>
          <t>Inversor</t>
        </is>
      </c>
      <c r="D361" s="21" t="n">
        <v>67</v>
      </c>
      <c r="E361" s="30" t="n">
        <v>41.54</v>
      </c>
      <c r="F361" s="20" t="inlineStr">
        <is>
          <t>SOLIS S5-GC37.5K-LV TRI 220V</t>
        </is>
      </c>
      <c r="G361" s="21" t="n">
        <v>1</v>
      </c>
      <c r="H361" s="17" t="inlineStr">
        <is>
          <t>Sim</t>
        </is>
      </c>
      <c r="I361" s="23" t="n">
        <v>101426.85</v>
      </c>
      <c r="J361" s="24">
        <f>(D361*Premissas!$B$24+(2*ROUNDUP(D361/2,0))*Premissas!$B$26+INT((2*ROUNDUP(D361/2,0))/4)*Premissas!$B$27+MOD((2*ROUNDUP(D361/2,0)),4)/2*Premissas!$B$28+2*IF(D361&lt;=19,3*D361,IF(D361&lt;=50,ROUNDUP(2.5*D361,0),2*D361))*Premissas!$B$29+IF(C361="Micro",G361*(Premissas!$B$31+Premissas!$B$32+4*Premissas!$B$30),G361*(INDEX(Premissas!$B$40:$B$71,MATCH(F361,Premissas!$A$40:$A$71,0))+INDEX(Premissas!$C$40:$C$71,MATCH(F361,Premissas!$A$40:$A$71,0))*Premissas!$B$30)))</f>
        <v/>
      </c>
      <c r="K361" s="24">
        <f>IF(J361&lt;Premissas!$B$36,MAX(Premissas!$B$33,J361*Premissas!$B$34),J361*Premissas!$B$35)</f>
        <v/>
      </c>
      <c r="L361" s="24">
        <f>ROUND(J361+K361,2)</f>
        <v/>
      </c>
      <c r="M361" s="24">
        <f>D361*Premissas!$B$8+Premissas!$B$9+Premissas!$B$10+Premissas!$B$11+Premissas!$B$12+ROUND(Premissas!$B$13*E361,2)</f>
        <v/>
      </c>
      <c r="N361" s="25">
        <f>ROUNDUP((L361+M361-Premissas!$B$5*L361)/(1-Premissas!$B$6-Premissas!$B$7-Premissas!$B$5-Premissas!$B$14),2)</f>
        <v/>
      </c>
      <c r="O361" s="24">
        <f>ROUND(IF(N361&lt;=30000,N361*(1+Premissas!$B$21),N361+Premissas!$B$21*30000*SQRT(N361/30000)),2)</f>
        <v/>
      </c>
      <c r="P361" s="24">
        <f>N361-I361</f>
        <v/>
      </c>
      <c r="Q361" s="26">
        <f>P361/I361</f>
        <v/>
      </c>
      <c r="R361" s="26">
        <f>(I361-L361-Premissas!$B$5*(I361-L361)-(Premissas!$B$6+Premissas!$B$7)*I361-M361)/I361</f>
        <v/>
      </c>
      <c r="S361" s="24">
        <f>ROUND((CEILING((L361*Premissas!$B$17/Premissas!$B$18-97)/100,1)*100+97)*Premissas!$B$18,2)</f>
        <v/>
      </c>
    </row>
    <row r="362">
      <c r="A362" s="17" t="inlineStr">
        <is>
          <t>KIT 68 MOD. 620W + INV. SOLIS 37,5KW</t>
        </is>
      </c>
      <c r="B362" s="17" t="inlineStr">
        <is>
          <t>SOLIS</t>
        </is>
      </c>
      <c r="C362" s="17" t="inlineStr">
        <is>
          <t>Inversor</t>
        </is>
      </c>
      <c r="D362" s="21" t="n">
        <v>68</v>
      </c>
      <c r="E362" s="30" t="n">
        <v>42.16</v>
      </c>
      <c r="F362" s="20" t="inlineStr">
        <is>
          <t>SOLIS S5-GC37.5K-LV TRI 220V</t>
        </is>
      </c>
      <c r="G362" s="21" t="n">
        <v>1</v>
      </c>
      <c r="H362" s="17" t="inlineStr">
        <is>
          <t>Sim</t>
        </is>
      </c>
      <c r="I362" s="23" t="n">
        <v>102476.85</v>
      </c>
      <c r="J362" s="24">
        <f>(D362*Premissas!$B$24+(2*ROUNDUP(D362/2,0))*Premissas!$B$26+INT((2*ROUNDUP(D362/2,0))/4)*Premissas!$B$27+MOD((2*ROUNDUP(D362/2,0)),4)/2*Premissas!$B$28+2*IF(D362&lt;=19,3*D362,IF(D362&lt;=50,ROUNDUP(2.5*D362,0),2*D362))*Premissas!$B$29+IF(C362="Micro",G362*(Premissas!$B$31+Premissas!$B$32+4*Premissas!$B$30),G362*(INDEX(Premissas!$B$40:$B$71,MATCH(F362,Premissas!$A$40:$A$71,0))+INDEX(Premissas!$C$40:$C$71,MATCH(F362,Premissas!$A$40:$A$71,0))*Premissas!$B$30)))</f>
        <v/>
      </c>
      <c r="K362" s="24">
        <f>IF(J362&lt;Premissas!$B$36,MAX(Premissas!$B$33,J362*Premissas!$B$34),J362*Premissas!$B$35)</f>
        <v/>
      </c>
      <c r="L362" s="24">
        <f>ROUND(J362+K362,2)</f>
        <v/>
      </c>
      <c r="M362" s="24">
        <f>D362*Premissas!$B$8+Premissas!$B$9+Premissas!$B$10+Premissas!$B$11+Premissas!$B$12+ROUND(Premissas!$B$13*E362,2)</f>
        <v/>
      </c>
      <c r="N362" s="25">
        <f>ROUNDUP((L362+M362-Premissas!$B$5*L362)/(1-Premissas!$B$6-Premissas!$B$7-Premissas!$B$5-Premissas!$B$14),2)</f>
        <v/>
      </c>
      <c r="O362" s="24">
        <f>ROUND(IF(N362&lt;=30000,N362*(1+Premissas!$B$21),N362+Premissas!$B$21*30000*SQRT(N362/30000)),2)</f>
        <v/>
      </c>
      <c r="P362" s="24">
        <f>N362-I362</f>
        <v/>
      </c>
      <c r="Q362" s="26">
        <f>P362/I362</f>
        <v/>
      </c>
      <c r="R362" s="26">
        <f>(I362-L362-Premissas!$B$5*(I362-L362)-(Premissas!$B$6+Premissas!$B$7)*I362-M362)/I362</f>
        <v/>
      </c>
      <c r="S362" s="24">
        <f>ROUND((CEILING((L362*Premissas!$B$17/Premissas!$B$18-97)/100,1)*100+97)*Premissas!$B$18,2)</f>
        <v/>
      </c>
    </row>
    <row r="363">
      <c r="A363" s="17" t="inlineStr">
        <is>
          <t>KIT 69 MOD. 620W + INV. SOLIS 37,5KW</t>
        </is>
      </c>
      <c r="B363" s="17" t="inlineStr">
        <is>
          <t>SOLIS</t>
        </is>
      </c>
      <c r="C363" s="17" t="inlineStr">
        <is>
          <t>Inversor</t>
        </is>
      </c>
      <c r="D363" s="21" t="n">
        <v>69</v>
      </c>
      <c r="E363" s="30" t="n">
        <v>42.78</v>
      </c>
      <c r="F363" s="20" t="inlineStr">
        <is>
          <t>SOLIS S5-GC37.5K-LV TRI 220V</t>
        </is>
      </c>
      <c r="G363" s="21" t="n">
        <v>1</v>
      </c>
      <c r="H363" s="17" t="inlineStr">
        <is>
          <t>Sim</t>
        </is>
      </c>
      <c r="I363" s="23" t="n">
        <v>103841.85</v>
      </c>
      <c r="J363" s="24">
        <f>(D363*Premissas!$B$24+(2*ROUNDUP(D363/2,0))*Premissas!$B$26+INT((2*ROUNDUP(D363/2,0))/4)*Premissas!$B$27+MOD((2*ROUNDUP(D363/2,0)),4)/2*Premissas!$B$28+2*IF(D363&lt;=19,3*D363,IF(D363&lt;=50,ROUNDUP(2.5*D363,0),2*D363))*Premissas!$B$29+IF(C363="Micro",G363*(Premissas!$B$31+Premissas!$B$32+4*Premissas!$B$30),G363*(INDEX(Premissas!$B$40:$B$71,MATCH(F363,Premissas!$A$40:$A$71,0))+INDEX(Premissas!$C$40:$C$71,MATCH(F363,Premissas!$A$40:$A$71,0))*Premissas!$B$30)))</f>
        <v/>
      </c>
      <c r="K363" s="24">
        <f>IF(J363&lt;Premissas!$B$36,MAX(Premissas!$B$33,J363*Premissas!$B$34),J363*Premissas!$B$35)</f>
        <v/>
      </c>
      <c r="L363" s="24">
        <f>ROUND(J363+K363,2)</f>
        <v/>
      </c>
      <c r="M363" s="24">
        <f>D363*Premissas!$B$8+Premissas!$B$9+Premissas!$B$10+Premissas!$B$11+Premissas!$B$12+ROUND(Premissas!$B$13*E363,2)</f>
        <v/>
      </c>
      <c r="N363" s="25">
        <f>ROUNDUP((L363+M363-Premissas!$B$5*L363)/(1-Premissas!$B$6-Premissas!$B$7-Premissas!$B$5-Premissas!$B$14),2)</f>
        <v/>
      </c>
      <c r="O363" s="24">
        <f>ROUND(IF(N363&lt;=30000,N363*(1+Premissas!$B$21),N363+Premissas!$B$21*30000*SQRT(N363/30000)),2)</f>
        <v/>
      </c>
      <c r="P363" s="24">
        <f>N363-I363</f>
        <v/>
      </c>
      <c r="Q363" s="26">
        <f>P363/I363</f>
        <v/>
      </c>
      <c r="R363" s="26">
        <f>(I363-L363-Premissas!$B$5*(I363-L363)-(Premissas!$B$6+Premissas!$B$7)*I363-M363)/I363</f>
        <v/>
      </c>
      <c r="S363" s="24">
        <f>ROUND((CEILING((L363*Premissas!$B$17/Premissas!$B$18-97)/100,1)*100+97)*Premissas!$B$18,2)</f>
        <v/>
      </c>
    </row>
    <row r="364">
      <c r="A364" s="17" t="inlineStr">
        <is>
          <t>KIT 70 MOD. 620W + INV. SOLIS 37,5KW</t>
        </is>
      </c>
      <c r="B364" s="17" t="inlineStr">
        <is>
          <t>SOLIS</t>
        </is>
      </c>
      <c r="C364" s="17" t="inlineStr">
        <is>
          <t>Inversor</t>
        </is>
      </c>
      <c r="D364" s="21" t="n">
        <v>70</v>
      </c>
      <c r="E364" s="30" t="n">
        <v>43.4</v>
      </c>
      <c r="F364" s="20" t="inlineStr">
        <is>
          <t>SOLIS S5-GC37.5K-LV TRI 220V</t>
        </is>
      </c>
      <c r="G364" s="21" t="n">
        <v>1</v>
      </c>
      <c r="H364" s="17" t="inlineStr">
        <is>
          <t>Sim</t>
        </is>
      </c>
      <c r="I364" s="23" t="n">
        <v>104891.85</v>
      </c>
      <c r="J364" s="24">
        <f>(D364*Premissas!$B$24+(2*ROUNDUP(D364/2,0))*Premissas!$B$26+INT((2*ROUNDUP(D364/2,0))/4)*Premissas!$B$27+MOD((2*ROUNDUP(D364/2,0)),4)/2*Premissas!$B$28+2*IF(D364&lt;=19,3*D364,IF(D364&lt;=50,ROUNDUP(2.5*D364,0),2*D364))*Premissas!$B$29+IF(C364="Micro",G364*(Premissas!$B$31+Premissas!$B$32+4*Premissas!$B$30),G364*(INDEX(Premissas!$B$40:$B$71,MATCH(F364,Premissas!$A$40:$A$71,0))+INDEX(Premissas!$C$40:$C$71,MATCH(F364,Premissas!$A$40:$A$71,0))*Premissas!$B$30)))</f>
        <v/>
      </c>
      <c r="K364" s="24">
        <f>IF(J364&lt;Premissas!$B$36,MAX(Premissas!$B$33,J364*Premissas!$B$34),J364*Premissas!$B$35)</f>
        <v/>
      </c>
      <c r="L364" s="24">
        <f>ROUND(J364+K364,2)</f>
        <v/>
      </c>
      <c r="M364" s="24">
        <f>D364*Premissas!$B$8+Premissas!$B$9+Premissas!$B$10+Premissas!$B$11+Premissas!$B$12+ROUND(Premissas!$B$13*E364,2)</f>
        <v/>
      </c>
      <c r="N364" s="25">
        <f>ROUNDUP((L364+M364-Premissas!$B$5*L364)/(1-Premissas!$B$6-Premissas!$B$7-Premissas!$B$5-Premissas!$B$14),2)</f>
        <v/>
      </c>
      <c r="O364" s="24">
        <f>ROUND(IF(N364&lt;=30000,N364*(1+Premissas!$B$21),N364+Premissas!$B$21*30000*SQRT(N364/30000)),2)</f>
        <v/>
      </c>
      <c r="P364" s="24">
        <f>N364-I364</f>
        <v/>
      </c>
      <c r="Q364" s="26">
        <f>P364/I364</f>
        <v/>
      </c>
      <c r="R364" s="26">
        <f>(I364-L364-Premissas!$B$5*(I364-L364)-(Premissas!$B$6+Premissas!$B$7)*I364-M364)/I364</f>
        <v/>
      </c>
      <c r="S364" s="24">
        <f>ROUND((CEILING((L364*Premissas!$B$17/Premissas!$B$18-97)/100,1)*100+97)*Premissas!$B$18,2)</f>
        <v/>
      </c>
    </row>
    <row r="365">
      <c r="A365" s="17" t="inlineStr">
        <is>
          <t>KIT 71 MOD. 620W + INV. SOLIS 37,5KW</t>
        </is>
      </c>
      <c r="B365" s="17" t="inlineStr">
        <is>
          <t>SOLIS</t>
        </is>
      </c>
      <c r="C365" s="17" t="inlineStr">
        <is>
          <t>Inversor</t>
        </is>
      </c>
      <c r="D365" s="21" t="n">
        <v>71</v>
      </c>
      <c r="E365" s="30" t="n">
        <v>44.02</v>
      </c>
      <c r="F365" s="20" t="inlineStr">
        <is>
          <t>SOLIS S5-GC37.5K-LV TRI 220V</t>
        </is>
      </c>
      <c r="G365" s="21" t="n">
        <v>1</v>
      </c>
      <c r="H365" s="17" t="inlineStr">
        <is>
          <t>Sim</t>
        </is>
      </c>
      <c r="I365" s="23" t="n">
        <v>106151.85</v>
      </c>
      <c r="J365" s="24">
        <f>(D365*Premissas!$B$24+(2*ROUNDUP(D365/2,0))*Premissas!$B$26+INT((2*ROUNDUP(D365/2,0))/4)*Premissas!$B$27+MOD((2*ROUNDUP(D365/2,0)),4)/2*Premissas!$B$28+2*IF(D365&lt;=19,3*D365,IF(D365&lt;=50,ROUNDUP(2.5*D365,0),2*D365))*Premissas!$B$29+IF(C365="Micro",G365*(Premissas!$B$31+Premissas!$B$32+4*Premissas!$B$30),G365*(INDEX(Premissas!$B$40:$B$71,MATCH(F365,Premissas!$A$40:$A$71,0))+INDEX(Premissas!$C$40:$C$71,MATCH(F365,Premissas!$A$40:$A$71,0))*Premissas!$B$30)))</f>
        <v/>
      </c>
      <c r="K365" s="24">
        <f>IF(J365&lt;Premissas!$B$36,MAX(Premissas!$B$33,J365*Premissas!$B$34),J365*Premissas!$B$35)</f>
        <v/>
      </c>
      <c r="L365" s="24">
        <f>ROUND(J365+K365,2)</f>
        <v/>
      </c>
      <c r="M365" s="24">
        <f>D365*Premissas!$B$8+Premissas!$B$9+Premissas!$B$10+Premissas!$B$11+Premissas!$B$12+ROUND(Premissas!$B$13*E365,2)</f>
        <v/>
      </c>
      <c r="N365" s="25">
        <f>ROUNDUP((L365+M365-Premissas!$B$5*L365)/(1-Premissas!$B$6-Premissas!$B$7-Premissas!$B$5-Premissas!$B$14),2)</f>
        <v/>
      </c>
      <c r="O365" s="24">
        <f>ROUND(IF(N365&lt;=30000,N365*(1+Premissas!$B$21),N365+Premissas!$B$21*30000*SQRT(N365/30000)),2)</f>
        <v/>
      </c>
      <c r="P365" s="24">
        <f>N365-I365</f>
        <v/>
      </c>
      <c r="Q365" s="26">
        <f>P365/I365</f>
        <v/>
      </c>
      <c r="R365" s="26">
        <f>(I365-L365-Premissas!$B$5*(I365-L365)-(Premissas!$B$6+Premissas!$B$7)*I365-M365)/I365</f>
        <v/>
      </c>
      <c r="S365" s="24">
        <f>ROUND((CEILING((L365*Premissas!$B$17/Premissas!$B$18-97)/100,1)*100+97)*Premissas!$B$18,2)</f>
        <v/>
      </c>
    </row>
    <row r="366">
      <c r="A366" s="17" t="inlineStr">
        <is>
          <t>KIT 72 MOD. 620W + INV. SOLIS 37,5KW</t>
        </is>
      </c>
      <c r="B366" s="17" t="inlineStr">
        <is>
          <t>SOLIS</t>
        </is>
      </c>
      <c r="C366" s="17" t="inlineStr">
        <is>
          <t>Inversor</t>
        </is>
      </c>
      <c r="D366" s="21" t="n">
        <v>72</v>
      </c>
      <c r="E366" s="30" t="n">
        <v>44.64</v>
      </c>
      <c r="F366" s="20" t="inlineStr">
        <is>
          <t>SOLIS S5-GC37.5K-LV TRI 220V</t>
        </is>
      </c>
      <c r="G366" s="21" t="n">
        <v>1</v>
      </c>
      <c r="H366" s="17" t="inlineStr">
        <is>
          <t>Sim</t>
        </is>
      </c>
      <c r="I366" s="23" t="n">
        <v>107201.85</v>
      </c>
      <c r="J366" s="24">
        <f>(D366*Premissas!$B$24+(2*ROUNDUP(D366/2,0))*Premissas!$B$26+INT((2*ROUNDUP(D366/2,0))/4)*Premissas!$B$27+MOD((2*ROUNDUP(D366/2,0)),4)/2*Premissas!$B$28+2*IF(D366&lt;=19,3*D366,IF(D366&lt;=50,ROUNDUP(2.5*D366,0),2*D366))*Premissas!$B$29+IF(C366="Micro",G366*(Premissas!$B$31+Premissas!$B$32+4*Premissas!$B$30),G366*(INDEX(Premissas!$B$40:$B$71,MATCH(F366,Premissas!$A$40:$A$71,0))+INDEX(Premissas!$C$40:$C$71,MATCH(F366,Premissas!$A$40:$A$71,0))*Premissas!$B$30)))</f>
        <v/>
      </c>
      <c r="K366" s="24">
        <f>IF(J366&lt;Premissas!$B$36,MAX(Premissas!$B$33,J366*Premissas!$B$34),J366*Premissas!$B$35)</f>
        <v/>
      </c>
      <c r="L366" s="24">
        <f>ROUND(J366+K366,2)</f>
        <v/>
      </c>
      <c r="M366" s="24">
        <f>D366*Premissas!$B$8+Premissas!$B$9+Premissas!$B$10+Premissas!$B$11+Premissas!$B$12+ROUND(Premissas!$B$13*E366,2)</f>
        <v/>
      </c>
      <c r="N366" s="25">
        <f>ROUNDUP((L366+M366-Premissas!$B$5*L366)/(1-Premissas!$B$6-Premissas!$B$7-Premissas!$B$5-Premissas!$B$14),2)</f>
        <v/>
      </c>
      <c r="O366" s="24">
        <f>ROUND(IF(N366&lt;=30000,N366*(1+Premissas!$B$21),N366+Premissas!$B$21*30000*SQRT(N366/30000)),2)</f>
        <v/>
      </c>
      <c r="P366" s="24">
        <f>N366-I366</f>
        <v/>
      </c>
      <c r="Q366" s="26">
        <f>P366/I366</f>
        <v/>
      </c>
      <c r="R366" s="26">
        <f>(I366-L366-Premissas!$B$5*(I366-L366)-(Premissas!$B$6+Premissas!$B$7)*I366-M366)/I366</f>
        <v/>
      </c>
      <c r="S366" s="24">
        <f>ROUND((CEILING((L366*Premissas!$B$17/Premissas!$B$18-97)/100,1)*100+97)*Premissas!$B$18,2)</f>
        <v/>
      </c>
    </row>
    <row r="367">
      <c r="A367" s="17" t="inlineStr">
        <is>
          <t>KIT 73 MOD. 620W + INV. SOLIS 37,5KW</t>
        </is>
      </c>
      <c r="B367" s="17" t="inlineStr">
        <is>
          <t>SOLIS</t>
        </is>
      </c>
      <c r="C367" s="17" t="inlineStr">
        <is>
          <t>Inversor</t>
        </is>
      </c>
      <c r="D367" s="21" t="n">
        <v>73</v>
      </c>
      <c r="E367" s="30" t="n">
        <v>45.26</v>
      </c>
      <c r="F367" s="20" t="inlineStr">
        <is>
          <t>SOLIS S5-GC37.5K-LV TRI 220V</t>
        </is>
      </c>
      <c r="G367" s="21" t="n">
        <v>1</v>
      </c>
      <c r="H367" s="17" t="inlineStr">
        <is>
          <t>Sim</t>
        </is>
      </c>
      <c r="I367" s="23" t="n">
        <v>108566.85</v>
      </c>
      <c r="J367" s="24">
        <f>(D367*Premissas!$B$24+(2*ROUNDUP(D367/2,0))*Premissas!$B$26+INT((2*ROUNDUP(D367/2,0))/4)*Premissas!$B$27+MOD((2*ROUNDUP(D367/2,0)),4)/2*Premissas!$B$28+2*IF(D367&lt;=19,3*D367,IF(D367&lt;=50,ROUNDUP(2.5*D367,0),2*D367))*Premissas!$B$29+IF(C367="Micro",G367*(Premissas!$B$31+Premissas!$B$32+4*Premissas!$B$30),G367*(INDEX(Premissas!$B$40:$B$71,MATCH(F367,Premissas!$A$40:$A$71,0))+INDEX(Premissas!$C$40:$C$71,MATCH(F367,Premissas!$A$40:$A$71,0))*Premissas!$B$30)))</f>
        <v/>
      </c>
      <c r="K367" s="24">
        <f>IF(J367&lt;Premissas!$B$36,MAX(Premissas!$B$33,J367*Premissas!$B$34),J367*Premissas!$B$35)</f>
        <v/>
      </c>
      <c r="L367" s="24">
        <f>ROUND(J367+K367,2)</f>
        <v/>
      </c>
      <c r="M367" s="24">
        <f>D367*Premissas!$B$8+Premissas!$B$9+Premissas!$B$10+Premissas!$B$11+Premissas!$B$12+ROUND(Premissas!$B$13*E367,2)</f>
        <v/>
      </c>
      <c r="N367" s="25">
        <f>ROUNDUP((L367+M367-Premissas!$B$5*L367)/(1-Premissas!$B$6-Premissas!$B$7-Premissas!$B$5-Premissas!$B$14),2)</f>
        <v/>
      </c>
      <c r="O367" s="24">
        <f>ROUND(IF(N367&lt;=30000,N367*(1+Premissas!$B$21),N367+Premissas!$B$21*30000*SQRT(N367/30000)),2)</f>
        <v/>
      </c>
      <c r="P367" s="24">
        <f>N367-I367</f>
        <v/>
      </c>
      <c r="Q367" s="26">
        <f>P367/I367</f>
        <v/>
      </c>
      <c r="R367" s="26">
        <f>(I367-L367-Premissas!$B$5*(I367-L367)-(Premissas!$B$6+Premissas!$B$7)*I367-M367)/I367</f>
        <v/>
      </c>
      <c r="S367" s="24">
        <f>ROUND((CEILING((L367*Premissas!$B$17/Premissas!$B$18-97)/100,1)*100+97)*Premissas!$B$18,2)</f>
        <v/>
      </c>
    </row>
    <row r="368">
      <c r="A368" s="17" t="inlineStr">
        <is>
          <t>KIT 74 MOD. 620W + INV. SOLIS 37,5KW</t>
        </is>
      </c>
      <c r="B368" s="17" t="inlineStr">
        <is>
          <t>SOLIS</t>
        </is>
      </c>
      <c r="C368" s="17" t="inlineStr">
        <is>
          <t>Inversor</t>
        </is>
      </c>
      <c r="D368" s="21" t="n">
        <v>74</v>
      </c>
      <c r="E368" s="30" t="n">
        <v>45.88</v>
      </c>
      <c r="F368" s="20" t="inlineStr">
        <is>
          <t>SOLIS S5-GC37.5K-LV TRI 220V</t>
        </is>
      </c>
      <c r="G368" s="21" t="n">
        <v>1</v>
      </c>
      <c r="H368" s="17" t="inlineStr">
        <is>
          <t>Sim</t>
        </is>
      </c>
      <c r="I368" s="23" t="n">
        <v>109616.85</v>
      </c>
      <c r="J368" s="24">
        <f>(D368*Premissas!$B$24+(2*ROUNDUP(D368/2,0))*Premissas!$B$26+INT((2*ROUNDUP(D368/2,0))/4)*Premissas!$B$27+MOD((2*ROUNDUP(D368/2,0)),4)/2*Premissas!$B$28+2*IF(D368&lt;=19,3*D368,IF(D368&lt;=50,ROUNDUP(2.5*D368,0),2*D368))*Premissas!$B$29+IF(C368="Micro",G368*(Premissas!$B$31+Premissas!$B$32+4*Premissas!$B$30),G368*(INDEX(Premissas!$B$40:$B$71,MATCH(F368,Premissas!$A$40:$A$71,0))+INDEX(Premissas!$C$40:$C$71,MATCH(F368,Premissas!$A$40:$A$71,0))*Premissas!$B$30)))</f>
        <v/>
      </c>
      <c r="K368" s="24">
        <f>IF(J368&lt;Premissas!$B$36,MAX(Premissas!$B$33,J368*Premissas!$B$34),J368*Premissas!$B$35)</f>
        <v/>
      </c>
      <c r="L368" s="24">
        <f>ROUND(J368+K368,2)</f>
        <v/>
      </c>
      <c r="M368" s="24">
        <f>D368*Premissas!$B$8+Premissas!$B$9+Premissas!$B$10+Premissas!$B$11+Premissas!$B$12+ROUND(Premissas!$B$13*E368,2)</f>
        <v/>
      </c>
      <c r="N368" s="25">
        <f>ROUNDUP((L368+M368-Premissas!$B$5*L368)/(1-Premissas!$B$6-Premissas!$B$7-Premissas!$B$5-Premissas!$B$14),2)</f>
        <v/>
      </c>
      <c r="O368" s="24">
        <f>ROUND(IF(N368&lt;=30000,N368*(1+Premissas!$B$21),N368+Premissas!$B$21*30000*SQRT(N368/30000)),2)</f>
        <v/>
      </c>
      <c r="P368" s="24">
        <f>N368-I368</f>
        <v/>
      </c>
      <c r="Q368" s="26">
        <f>P368/I368</f>
        <v/>
      </c>
      <c r="R368" s="26">
        <f>(I368-L368-Premissas!$B$5*(I368-L368)-(Premissas!$B$6+Premissas!$B$7)*I368-M368)/I368</f>
        <v/>
      </c>
      <c r="S368" s="24">
        <f>ROUND((CEILING((L368*Premissas!$B$17/Premissas!$B$18-97)/100,1)*100+97)*Premissas!$B$18,2)</f>
        <v/>
      </c>
    </row>
    <row r="369">
      <c r="A369" s="17" t="inlineStr">
        <is>
          <t>KIT 75 MOD. 620W + INV. SOLIS 37,5KW</t>
        </is>
      </c>
      <c r="B369" s="17" t="inlineStr">
        <is>
          <t>SOLIS</t>
        </is>
      </c>
      <c r="C369" s="17" t="inlineStr">
        <is>
          <t>Inversor</t>
        </is>
      </c>
      <c r="D369" s="21" t="n">
        <v>75</v>
      </c>
      <c r="E369" s="30" t="n">
        <v>46.5</v>
      </c>
      <c r="F369" s="20" t="inlineStr">
        <is>
          <t>SOLIS S5-GC37.5K-LV TRI 220V</t>
        </is>
      </c>
      <c r="G369" s="21" t="n">
        <v>1</v>
      </c>
      <c r="H369" s="17" t="inlineStr">
        <is>
          <t>Sim</t>
        </is>
      </c>
      <c r="I369" s="23" t="n">
        <v>110981.85</v>
      </c>
      <c r="J369" s="24">
        <f>(D369*Premissas!$B$24+(2*ROUNDUP(D369/2,0))*Premissas!$B$26+INT((2*ROUNDUP(D369/2,0))/4)*Premissas!$B$27+MOD((2*ROUNDUP(D369/2,0)),4)/2*Premissas!$B$28+2*IF(D369&lt;=19,3*D369,IF(D369&lt;=50,ROUNDUP(2.5*D369,0),2*D369))*Premissas!$B$29+IF(C369="Micro",G369*(Premissas!$B$31+Premissas!$B$32+4*Premissas!$B$30),G369*(INDEX(Premissas!$B$40:$B$71,MATCH(F369,Premissas!$A$40:$A$71,0))+INDEX(Premissas!$C$40:$C$71,MATCH(F369,Premissas!$A$40:$A$71,0))*Premissas!$B$30)))</f>
        <v/>
      </c>
      <c r="K369" s="24">
        <f>IF(J369&lt;Premissas!$B$36,MAX(Premissas!$B$33,J369*Premissas!$B$34),J369*Premissas!$B$35)</f>
        <v/>
      </c>
      <c r="L369" s="24">
        <f>ROUND(J369+K369,2)</f>
        <v/>
      </c>
      <c r="M369" s="24">
        <f>D369*Premissas!$B$8+Premissas!$B$9+Premissas!$B$10+Premissas!$B$11+Premissas!$B$12+ROUND(Premissas!$B$13*E369,2)</f>
        <v/>
      </c>
      <c r="N369" s="25">
        <f>ROUNDUP((L369+M369-Premissas!$B$5*L369)/(1-Premissas!$B$6-Premissas!$B$7-Premissas!$B$5-Premissas!$B$14),2)</f>
        <v/>
      </c>
      <c r="O369" s="24">
        <f>ROUND(IF(N369&lt;=30000,N369*(1+Premissas!$B$21),N369+Premissas!$B$21*30000*SQRT(N369/30000)),2)</f>
        <v/>
      </c>
      <c r="P369" s="24">
        <f>N369-I369</f>
        <v/>
      </c>
      <c r="Q369" s="26">
        <f>P369/I369</f>
        <v/>
      </c>
      <c r="R369" s="26">
        <f>(I369-L369-Premissas!$B$5*(I369-L369)-(Premissas!$B$6+Premissas!$B$7)*I369-M369)/I369</f>
        <v/>
      </c>
      <c r="S369" s="24">
        <f>ROUND((CEILING((L369*Premissas!$B$17/Premissas!$B$18-97)/100,1)*100+97)*Premissas!$B$18,2)</f>
        <v/>
      </c>
    </row>
    <row r="370">
      <c r="A370" s="17" t="inlineStr">
        <is>
          <t>KIT 76 MOD. 620W + INV. SOLIS 37,5KW</t>
        </is>
      </c>
      <c r="B370" s="17" t="inlineStr">
        <is>
          <t>SOLIS</t>
        </is>
      </c>
      <c r="C370" s="17" t="inlineStr">
        <is>
          <t>Inversor</t>
        </is>
      </c>
      <c r="D370" s="21" t="n">
        <v>76</v>
      </c>
      <c r="E370" s="30" t="n">
        <v>47.12</v>
      </c>
      <c r="F370" s="20" t="inlineStr">
        <is>
          <t>SOLIS S5-GC37.5K-LV TRI 220V</t>
        </is>
      </c>
      <c r="G370" s="21" t="n">
        <v>1</v>
      </c>
      <c r="H370" s="17" t="inlineStr">
        <is>
          <t>Sim</t>
        </is>
      </c>
      <c r="I370" s="23" t="n">
        <v>112031.85</v>
      </c>
      <c r="J370" s="24">
        <f>(D370*Premissas!$B$24+(2*ROUNDUP(D370/2,0))*Premissas!$B$26+INT((2*ROUNDUP(D370/2,0))/4)*Premissas!$B$27+MOD((2*ROUNDUP(D370/2,0)),4)/2*Premissas!$B$28+2*IF(D370&lt;=19,3*D370,IF(D370&lt;=50,ROUNDUP(2.5*D370,0),2*D370))*Premissas!$B$29+IF(C370="Micro",G370*(Premissas!$B$31+Premissas!$B$32+4*Premissas!$B$30),G370*(INDEX(Premissas!$B$40:$B$71,MATCH(F370,Premissas!$A$40:$A$71,0))+INDEX(Premissas!$C$40:$C$71,MATCH(F370,Premissas!$A$40:$A$71,0))*Premissas!$B$30)))</f>
        <v/>
      </c>
      <c r="K370" s="24">
        <f>IF(J370&lt;Premissas!$B$36,MAX(Premissas!$B$33,J370*Premissas!$B$34),J370*Premissas!$B$35)</f>
        <v/>
      </c>
      <c r="L370" s="24">
        <f>ROUND(J370+K370,2)</f>
        <v/>
      </c>
      <c r="M370" s="24">
        <f>D370*Premissas!$B$8+Premissas!$B$9+Premissas!$B$10+Premissas!$B$11+Premissas!$B$12+ROUND(Premissas!$B$13*E370,2)</f>
        <v/>
      </c>
      <c r="N370" s="25">
        <f>ROUNDUP((L370+M370-Premissas!$B$5*L370)/(1-Premissas!$B$6-Premissas!$B$7-Premissas!$B$5-Premissas!$B$14),2)</f>
        <v/>
      </c>
      <c r="O370" s="24">
        <f>ROUND(IF(N370&lt;=30000,N370*(1+Premissas!$B$21),N370+Premissas!$B$21*30000*SQRT(N370/30000)),2)</f>
        <v/>
      </c>
      <c r="P370" s="24">
        <f>N370-I370</f>
        <v/>
      </c>
      <c r="Q370" s="26">
        <f>P370/I370</f>
        <v/>
      </c>
      <c r="R370" s="26">
        <f>(I370-L370-Premissas!$B$5*(I370-L370)-(Premissas!$B$6+Premissas!$B$7)*I370-M370)/I370</f>
        <v/>
      </c>
      <c r="S370" s="24">
        <f>ROUND((CEILING((L370*Premissas!$B$17/Premissas!$B$18-97)/100,1)*100+97)*Premissas!$B$18,2)</f>
        <v/>
      </c>
    </row>
    <row r="371">
      <c r="A371" s="17" t="inlineStr">
        <is>
          <t>KIT 77 MOD. 620W + INV. SOLIS 37,5KW</t>
        </is>
      </c>
      <c r="B371" s="17" t="inlineStr">
        <is>
          <t>SOLIS</t>
        </is>
      </c>
      <c r="C371" s="17" t="inlineStr">
        <is>
          <t>Inversor</t>
        </is>
      </c>
      <c r="D371" s="21" t="n">
        <v>77</v>
      </c>
      <c r="E371" s="30" t="n">
        <v>47.74</v>
      </c>
      <c r="F371" s="20" t="inlineStr">
        <is>
          <t>SOLIS S5-GC37.5K-LV TRI 220V</t>
        </is>
      </c>
      <c r="G371" s="21" t="n">
        <v>1</v>
      </c>
      <c r="H371" s="17" t="inlineStr">
        <is>
          <t>Sim</t>
        </is>
      </c>
      <c r="I371" s="23" t="n">
        <v>113291.85</v>
      </c>
      <c r="J371" s="24">
        <f>(D371*Premissas!$B$24+(2*ROUNDUP(D371/2,0))*Premissas!$B$26+INT((2*ROUNDUP(D371/2,0))/4)*Premissas!$B$27+MOD((2*ROUNDUP(D371/2,0)),4)/2*Premissas!$B$28+2*IF(D371&lt;=19,3*D371,IF(D371&lt;=50,ROUNDUP(2.5*D371,0),2*D371))*Premissas!$B$29+IF(C371="Micro",G371*(Premissas!$B$31+Premissas!$B$32+4*Premissas!$B$30),G371*(INDEX(Premissas!$B$40:$B$71,MATCH(F371,Premissas!$A$40:$A$71,0))+INDEX(Premissas!$C$40:$C$71,MATCH(F371,Premissas!$A$40:$A$71,0))*Premissas!$B$30)))</f>
        <v/>
      </c>
      <c r="K371" s="24">
        <f>IF(J371&lt;Premissas!$B$36,MAX(Premissas!$B$33,J371*Premissas!$B$34),J371*Premissas!$B$35)</f>
        <v/>
      </c>
      <c r="L371" s="24">
        <f>ROUND(J371+K371,2)</f>
        <v/>
      </c>
      <c r="M371" s="24">
        <f>D371*Premissas!$B$8+Premissas!$B$9+Premissas!$B$10+Premissas!$B$11+Premissas!$B$12+ROUND(Premissas!$B$13*E371,2)</f>
        <v/>
      </c>
      <c r="N371" s="25">
        <f>ROUNDUP((L371+M371-Premissas!$B$5*L371)/(1-Premissas!$B$6-Premissas!$B$7-Premissas!$B$5-Premissas!$B$14),2)</f>
        <v/>
      </c>
      <c r="O371" s="24">
        <f>ROUND(IF(N371&lt;=30000,N371*(1+Premissas!$B$21),N371+Premissas!$B$21*30000*SQRT(N371/30000)),2)</f>
        <v/>
      </c>
      <c r="P371" s="24">
        <f>N371-I371</f>
        <v/>
      </c>
      <c r="Q371" s="26">
        <f>P371/I371</f>
        <v/>
      </c>
      <c r="R371" s="26">
        <f>(I371-L371-Premissas!$B$5*(I371-L371)-(Premissas!$B$6+Premissas!$B$7)*I371-M371)/I371</f>
        <v/>
      </c>
      <c r="S371" s="24">
        <f>ROUND((CEILING((L371*Premissas!$B$17/Premissas!$B$18-97)/100,1)*100+97)*Premissas!$B$18,2)</f>
        <v/>
      </c>
    </row>
    <row r="372">
      <c r="A372" s="17" t="inlineStr">
        <is>
          <t>KIT 78 MOD. 620W + INV. SOLIS 37,5KW</t>
        </is>
      </c>
      <c r="B372" s="17" t="inlineStr">
        <is>
          <t>SOLIS</t>
        </is>
      </c>
      <c r="C372" s="17" t="inlineStr">
        <is>
          <t>Inversor</t>
        </is>
      </c>
      <c r="D372" s="21" t="n">
        <v>78</v>
      </c>
      <c r="E372" s="30" t="n">
        <v>48.36</v>
      </c>
      <c r="F372" s="20" t="inlineStr">
        <is>
          <t>SOLIS S5-GC37.5K-LV TRI 220V</t>
        </is>
      </c>
      <c r="G372" s="21" t="n">
        <v>1</v>
      </c>
      <c r="H372" s="17" t="inlineStr">
        <is>
          <t>Sim</t>
        </is>
      </c>
      <c r="I372" s="23" t="n">
        <v>114341.85</v>
      </c>
      <c r="J372" s="24">
        <f>(D372*Premissas!$B$24+(2*ROUNDUP(D372/2,0))*Premissas!$B$26+INT((2*ROUNDUP(D372/2,0))/4)*Premissas!$B$27+MOD((2*ROUNDUP(D372/2,0)),4)/2*Premissas!$B$28+2*IF(D372&lt;=19,3*D372,IF(D372&lt;=50,ROUNDUP(2.5*D372,0),2*D372))*Premissas!$B$29+IF(C372="Micro",G372*(Premissas!$B$31+Premissas!$B$32+4*Premissas!$B$30),G372*(INDEX(Premissas!$B$40:$B$71,MATCH(F372,Premissas!$A$40:$A$71,0))+INDEX(Premissas!$C$40:$C$71,MATCH(F372,Premissas!$A$40:$A$71,0))*Premissas!$B$30)))</f>
        <v/>
      </c>
      <c r="K372" s="24">
        <f>IF(J372&lt;Premissas!$B$36,MAX(Premissas!$B$33,J372*Premissas!$B$34),J372*Premissas!$B$35)</f>
        <v/>
      </c>
      <c r="L372" s="24">
        <f>ROUND(J372+K372,2)</f>
        <v/>
      </c>
      <c r="M372" s="24">
        <f>D372*Premissas!$B$8+Premissas!$B$9+Premissas!$B$10+Premissas!$B$11+Premissas!$B$12+ROUND(Premissas!$B$13*E372,2)</f>
        <v/>
      </c>
      <c r="N372" s="25">
        <f>ROUNDUP((L372+M372-Premissas!$B$5*L372)/(1-Premissas!$B$6-Premissas!$B$7-Premissas!$B$5-Premissas!$B$14),2)</f>
        <v/>
      </c>
      <c r="O372" s="24">
        <f>ROUND(IF(N372&lt;=30000,N372*(1+Premissas!$B$21),N372+Premissas!$B$21*30000*SQRT(N372/30000)),2)</f>
        <v/>
      </c>
      <c r="P372" s="24">
        <f>N372-I372</f>
        <v/>
      </c>
      <c r="Q372" s="26">
        <f>P372/I372</f>
        <v/>
      </c>
      <c r="R372" s="26">
        <f>(I372-L372-Premissas!$B$5*(I372-L372)-(Premissas!$B$6+Premissas!$B$7)*I372-M372)/I372</f>
        <v/>
      </c>
      <c r="S372" s="24">
        <f>ROUND((CEILING((L372*Premissas!$B$17/Premissas!$B$18-97)/100,1)*100+97)*Premissas!$B$18,2)</f>
        <v/>
      </c>
    </row>
    <row r="373">
      <c r="A373" s="17" t="inlineStr">
        <is>
          <t>KIT 79 MOD. 620W + INV. SOLIS 37,5KW</t>
        </is>
      </c>
      <c r="B373" s="17" t="inlineStr">
        <is>
          <t>SOLIS</t>
        </is>
      </c>
      <c r="C373" s="17" t="inlineStr">
        <is>
          <t>Inversor</t>
        </is>
      </c>
      <c r="D373" s="21" t="n">
        <v>79</v>
      </c>
      <c r="E373" s="30" t="n">
        <v>48.98</v>
      </c>
      <c r="F373" s="20" t="inlineStr">
        <is>
          <t>SOLIS S5-GC37.5K-LV TRI 220V</t>
        </is>
      </c>
      <c r="G373" s="21" t="n">
        <v>1</v>
      </c>
      <c r="H373" s="17" t="inlineStr">
        <is>
          <t>Sim</t>
        </is>
      </c>
      <c r="I373" s="23" t="n">
        <v>115706.85</v>
      </c>
      <c r="J373" s="24">
        <f>(D373*Premissas!$B$24+(2*ROUNDUP(D373/2,0))*Premissas!$B$26+INT((2*ROUNDUP(D373/2,0))/4)*Premissas!$B$27+MOD((2*ROUNDUP(D373/2,0)),4)/2*Premissas!$B$28+2*IF(D373&lt;=19,3*D373,IF(D373&lt;=50,ROUNDUP(2.5*D373,0),2*D373))*Premissas!$B$29+IF(C373="Micro",G373*(Premissas!$B$31+Premissas!$B$32+4*Premissas!$B$30),G373*(INDEX(Premissas!$B$40:$B$71,MATCH(F373,Premissas!$A$40:$A$71,0))+INDEX(Premissas!$C$40:$C$71,MATCH(F373,Premissas!$A$40:$A$71,0))*Premissas!$B$30)))</f>
        <v/>
      </c>
      <c r="K373" s="24">
        <f>IF(J373&lt;Premissas!$B$36,MAX(Premissas!$B$33,J373*Premissas!$B$34),J373*Premissas!$B$35)</f>
        <v/>
      </c>
      <c r="L373" s="24">
        <f>ROUND(J373+K373,2)</f>
        <v/>
      </c>
      <c r="M373" s="24">
        <f>D373*Premissas!$B$8+Premissas!$B$9+Premissas!$B$10+Premissas!$B$11+Premissas!$B$12+ROUND(Premissas!$B$13*E373,2)</f>
        <v/>
      </c>
      <c r="N373" s="25">
        <f>ROUNDUP((L373+M373-Premissas!$B$5*L373)/(1-Premissas!$B$6-Premissas!$B$7-Premissas!$B$5-Premissas!$B$14),2)</f>
        <v/>
      </c>
      <c r="O373" s="24">
        <f>ROUND(IF(N373&lt;=30000,N373*(1+Premissas!$B$21),N373+Premissas!$B$21*30000*SQRT(N373/30000)),2)</f>
        <v/>
      </c>
      <c r="P373" s="24">
        <f>N373-I373</f>
        <v/>
      </c>
      <c r="Q373" s="26">
        <f>P373/I373</f>
        <v/>
      </c>
      <c r="R373" s="26">
        <f>(I373-L373-Premissas!$B$5*(I373-L373)-(Premissas!$B$6+Premissas!$B$7)*I373-M373)/I373</f>
        <v/>
      </c>
      <c r="S373" s="24">
        <f>ROUND((CEILING((L373*Premissas!$B$17/Premissas!$B$18-97)/100,1)*100+97)*Premissas!$B$18,2)</f>
        <v/>
      </c>
    </row>
    <row r="374">
      <c r="A374" s="17" t="inlineStr">
        <is>
          <t>KIT 80 MOD. 620W + INV. SOLIS 37,5KW</t>
        </is>
      </c>
      <c r="B374" s="17" t="inlineStr">
        <is>
          <t>SOLIS</t>
        </is>
      </c>
      <c r="C374" s="17" t="inlineStr">
        <is>
          <t>Inversor</t>
        </is>
      </c>
      <c r="D374" s="21" t="n">
        <v>80</v>
      </c>
      <c r="E374" s="30" t="n">
        <v>49.6</v>
      </c>
      <c r="F374" s="20" t="inlineStr">
        <is>
          <t>SOLIS S5-GC37.5K-LV TRI 220V</t>
        </is>
      </c>
      <c r="G374" s="21" t="n">
        <v>1</v>
      </c>
      <c r="H374" s="17" t="inlineStr">
        <is>
          <t>Sim</t>
        </is>
      </c>
      <c r="I374" s="23" t="n">
        <v>116756.85</v>
      </c>
      <c r="J374" s="24">
        <f>(D374*Premissas!$B$24+(2*ROUNDUP(D374/2,0))*Premissas!$B$26+INT((2*ROUNDUP(D374/2,0))/4)*Premissas!$B$27+MOD((2*ROUNDUP(D374/2,0)),4)/2*Premissas!$B$28+2*IF(D374&lt;=19,3*D374,IF(D374&lt;=50,ROUNDUP(2.5*D374,0),2*D374))*Premissas!$B$29+IF(C374="Micro",G374*(Premissas!$B$31+Premissas!$B$32+4*Premissas!$B$30),G374*(INDEX(Premissas!$B$40:$B$71,MATCH(F374,Premissas!$A$40:$A$71,0))+INDEX(Premissas!$C$40:$C$71,MATCH(F374,Premissas!$A$40:$A$71,0))*Premissas!$B$30)))</f>
        <v/>
      </c>
      <c r="K374" s="24">
        <f>IF(J374&lt;Premissas!$B$36,MAX(Premissas!$B$33,J374*Premissas!$B$34),J374*Premissas!$B$35)</f>
        <v/>
      </c>
      <c r="L374" s="24">
        <f>ROUND(J374+K374,2)</f>
        <v/>
      </c>
      <c r="M374" s="24">
        <f>D374*Premissas!$B$8+Premissas!$B$9+Premissas!$B$10+Premissas!$B$11+Premissas!$B$12+ROUND(Premissas!$B$13*E374,2)</f>
        <v/>
      </c>
      <c r="N374" s="25">
        <f>ROUNDUP((L374+M374-Premissas!$B$5*L374)/(1-Premissas!$B$6-Premissas!$B$7-Premissas!$B$5-Premissas!$B$14),2)</f>
        <v/>
      </c>
      <c r="O374" s="24">
        <f>ROUND(IF(N374&lt;=30000,N374*(1+Premissas!$B$21),N374+Premissas!$B$21*30000*SQRT(N374/30000)),2)</f>
        <v/>
      </c>
      <c r="P374" s="24">
        <f>N374-I374</f>
        <v/>
      </c>
      <c r="Q374" s="26">
        <f>P374/I374</f>
        <v/>
      </c>
      <c r="R374" s="26">
        <f>(I374-L374-Premissas!$B$5*(I374-L374)-(Premissas!$B$6+Premissas!$B$7)*I374-M374)/I374</f>
        <v/>
      </c>
      <c r="S374" s="24">
        <f>ROUND((CEILING((L374*Premissas!$B$17/Premissas!$B$18-97)/100,1)*100+97)*Premissas!$B$18,2)</f>
        <v/>
      </c>
    </row>
    <row r="375">
      <c r="A375" s="17" t="inlineStr">
        <is>
          <t>KIT 81 MOD. 620W + INV. SOLIS 37,5KW</t>
        </is>
      </c>
      <c r="B375" s="17" t="inlineStr">
        <is>
          <t>SOLIS</t>
        </is>
      </c>
      <c r="C375" s="17" t="inlineStr">
        <is>
          <t>Inversor</t>
        </is>
      </c>
      <c r="D375" s="21" t="n">
        <v>81</v>
      </c>
      <c r="E375" s="30" t="n">
        <v>50.22</v>
      </c>
      <c r="F375" s="20" t="inlineStr">
        <is>
          <t>SOLIS S5-GC37.5K-LV TRI 220V</t>
        </is>
      </c>
      <c r="G375" s="21" t="n">
        <v>1</v>
      </c>
      <c r="H375" s="17" t="inlineStr">
        <is>
          <t>Sim</t>
        </is>
      </c>
      <c r="I375" s="23" t="n">
        <v>118121.85</v>
      </c>
      <c r="J375" s="24">
        <f>(D375*Premissas!$B$24+(2*ROUNDUP(D375/2,0))*Premissas!$B$26+INT((2*ROUNDUP(D375/2,0))/4)*Premissas!$B$27+MOD((2*ROUNDUP(D375/2,0)),4)/2*Premissas!$B$28+2*IF(D375&lt;=19,3*D375,IF(D375&lt;=50,ROUNDUP(2.5*D375,0),2*D375))*Premissas!$B$29+IF(C375="Micro",G375*(Premissas!$B$31+Premissas!$B$32+4*Premissas!$B$30),G375*(INDEX(Premissas!$B$40:$B$71,MATCH(F375,Premissas!$A$40:$A$71,0))+INDEX(Premissas!$C$40:$C$71,MATCH(F375,Premissas!$A$40:$A$71,0))*Premissas!$B$30)))</f>
        <v/>
      </c>
      <c r="K375" s="24">
        <f>IF(J375&lt;Premissas!$B$36,MAX(Premissas!$B$33,J375*Premissas!$B$34),J375*Premissas!$B$35)</f>
        <v/>
      </c>
      <c r="L375" s="24">
        <f>ROUND(J375+K375,2)</f>
        <v/>
      </c>
      <c r="M375" s="24">
        <f>D375*Premissas!$B$8+Premissas!$B$9+Premissas!$B$10+Premissas!$B$11+Premissas!$B$12+ROUND(Premissas!$B$13*E375,2)</f>
        <v/>
      </c>
      <c r="N375" s="25">
        <f>ROUNDUP((L375+M375-Premissas!$B$5*L375)/(1-Premissas!$B$6-Premissas!$B$7-Premissas!$B$5-Premissas!$B$14),2)</f>
        <v/>
      </c>
      <c r="O375" s="24">
        <f>ROUND(IF(N375&lt;=30000,N375*(1+Premissas!$B$21),N375+Premissas!$B$21*30000*SQRT(N375/30000)),2)</f>
        <v/>
      </c>
      <c r="P375" s="24">
        <f>N375-I375</f>
        <v/>
      </c>
      <c r="Q375" s="26">
        <f>P375/I375</f>
        <v/>
      </c>
      <c r="R375" s="26">
        <f>(I375-L375-Premissas!$B$5*(I375-L375)-(Premissas!$B$6+Premissas!$B$7)*I375-M375)/I375</f>
        <v/>
      </c>
      <c r="S375" s="24">
        <f>ROUND((CEILING((L375*Premissas!$B$17/Premissas!$B$18-97)/100,1)*100+97)*Premissas!$B$18,2)</f>
        <v/>
      </c>
    </row>
    <row r="376">
      <c r="A376" s="17" t="inlineStr">
        <is>
          <t>KIT 82 MOD. 620W + INV. SOLIS 37,5KW</t>
        </is>
      </c>
      <c r="B376" s="17" t="inlineStr">
        <is>
          <t>SOLIS</t>
        </is>
      </c>
      <c r="C376" s="17" t="inlineStr">
        <is>
          <t>Inversor</t>
        </is>
      </c>
      <c r="D376" s="21" t="n">
        <v>82</v>
      </c>
      <c r="E376" s="30" t="n">
        <v>50.84</v>
      </c>
      <c r="F376" s="20" t="inlineStr">
        <is>
          <t>SOLIS S5-GC37.5K-LV TRI 220V</t>
        </is>
      </c>
      <c r="G376" s="21" t="n">
        <v>1</v>
      </c>
      <c r="H376" s="17" t="inlineStr">
        <is>
          <t>Sim</t>
        </is>
      </c>
      <c r="I376" s="23" t="n">
        <v>119171.85</v>
      </c>
      <c r="J376" s="24">
        <f>(D376*Premissas!$B$24+(2*ROUNDUP(D376/2,0))*Premissas!$B$26+INT((2*ROUNDUP(D376/2,0))/4)*Premissas!$B$27+MOD((2*ROUNDUP(D376/2,0)),4)/2*Premissas!$B$28+2*IF(D376&lt;=19,3*D376,IF(D376&lt;=50,ROUNDUP(2.5*D376,0),2*D376))*Premissas!$B$29+IF(C376="Micro",G376*(Premissas!$B$31+Premissas!$B$32+4*Premissas!$B$30),G376*(INDEX(Premissas!$B$40:$B$71,MATCH(F376,Premissas!$A$40:$A$71,0))+INDEX(Premissas!$C$40:$C$71,MATCH(F376,Premissas!$A$40:$A$71,0))*Premissas!$B$30)))</f>
        <v/>
      </c>
      <c r="K376" s="24">
        <f>IF(J376&lt;Premissas!$B$36,MAX(Premissas!$B$33,J376*Premissas!$B$34),J376*Premissas!$B$35)</f>
        <v/>
      </c>
      <c r="L376" s="24">
        <f>ROUND(J376+K376,2)</f>
        <v/>
      </c>
      <c r="M376" s="24">
        <f>D376*Premissas!$B$8+Premissas!$B$9+Premissas!$B$10+Premissas!$B$11+Premissas!$B$12+ROUND(Premissas!$B$13*E376,2)</f>
        <v/>
      </c>
      <c r="N376" s="25">
        <f>ROUNDUP((L376+M376-Premissas!$B$5*L376)/(1-Premissas!$B$6-Premissas!$B$7-Premissas!$B$5-Premissas!$B$14),2)</f>
        <v/>
      </c>
      <c r="O376" s="24">
        <f>ROUND(IF(N376&lt;=30000,N376*(1+Premissas!$B$21),N376+Premissas!$B$21*30000*SQRT(N376/30000)),2)</f>
        <v/>
      </c>
      <c r="P376" s="24">
        <f>N376-I376</f>
        <v/>
      </c>
      <c r="Q376" s="26">
        <f>P376/I376</f>
        <v/>
      </c>
      <c r="R376" s="26">
        <f>(I376-L376-Premissas!$B$5*(I376-L376)-(Premissas!$B$6+Premissas!$B$7)*I376-M376)/I376</f>
        <v/>
      </c>
      <c r="S376" s="24">
        <f>ROUND((CEILING((L376*Premissas!$B$17/Premissas!$B$18-97)/100,1)*100+97)*Premissas!$B$18,2)</f>
        <v/>
      </c>
    </row>
    <row r="377">
      <c r="A377" s="17" t="inlineStr">
        <is>
          <t>KIT 83 MOD. 620W + INV. SOLIS 37,5KW</t>
        </is>
      </c>
      <c r="B377" s="17" t="inlineStr">
        <is>
          <t>SOLIS</t>
        </is>
      </c>
      <c r="C377" s="17" t="inlineStr">
        <is>
          <t>Inversor</t>
        </is>
      </c>
      <c r="D377" s="21" t="n">
        <v>83</v>
      </c>
      <c r="E377" s="30" t="n">
        <v>51.46</v>
      </c>
      <c r="F377" s="20" t="inlineStr">
        <is>
          <t>SOLIS S5-GC37.5K-LV TRI 220V</t>
        </is>
      </c>
      <c r="G377" s="21" t="n">
        <v>1</v>
      </c>
      <c r="H377" s="17" t="inlineStr">
        <is>
          <t>Sim</t>
        </is>
      </c>
      <c r="I377" s="23" t="n">
        <v>120431.85</v>
      </c>
      <c r="J377" s="24">
        <f>(D377*Premissas!$B$24+(2*ROUNDUP(D377/2,0))*Premissas!$B$26+INT((2*ROUNDUP(D377/2,0))/4)*Premissas!$B$27+MOD((2*ROUNDUP(D377/2,0)),4)/2*Premissas!$B$28+2*IF(D377&lt;=19,3*D377,IF(D377&lt;=50,ROUNDUP(2.5*D377,0),2*D377))*Premissas!$B$29+IF(C377="Micro",G377*(Premissas!$B$31+Premissas!$B$32+4*Premissas!$B$30),G377*(INDEX(Premissas!$B$40:$B$71,MATCH(F377,Premissas!$A$40:$A$71,0))+INDEX(Premissas!$C$40:$C$71,MATCH(F377,Premissas!$A$40:$A$71,0))*Premissas!$B$30)))</f>
        <v/>
      </c>
      <c r="K377" s="24">
        <f>IF(J377&lt;Premissas!$B$36,MAX(Premissas!$B$33,J377*Premissas!$B$34),J377*Premissas!$B$35)</f>
        <v/>
      </c>
      <c r="L377" s="24">
        <f>ROUND(J377+K377,2)</f>
        <v/>
      </c>
      <c r="M377" s="24">
        <f>D377*Premissas!$B$8+Premissas!$B$9+Premissas!$B$10+Premissas!$B$11+Premissas!$B$12+ROUND(Premissas!$B$13*E377,2)</f>
        <v/>
      </c>
      <c r="N377" s="25">
        <f>ROUNDUP((L377+M377-Premissas!$B$5*L377)/(1-Premissas!$B$6-Premissas!$B$7-Premissas!$B$5-Premissas!$B$14),2)</f>
        <v/>
      </c>
      <c r="O377" s="24">
        <f>ROUND(IF(N377&lt;=30000,N377*(1+Premissas!$B$21),N377+Premissas!$B$21*30000*SQRT(N377/30000)),2)</f>
        <v/>
      </c>
      <c r="P377" s="24">
        <f>N377-I377</f>
        <v/>
      </c>
      <c r="Q377" s="26">
        <f>P377/I377</f>
        <v/>
      </c>
      <c r="R377" s="26">
        <f>(I377-L377-Premissas!$B$5*(I377-L377)-(Premissas!$B$6+Premissas!$B$7)*I377-M377)/I377</f>
        <v/>
      </c>
      <c r="S377" s="24">
        <f>ROUND((CEILING((L377*Premissas!$B$17/Premissas!$B$18-97)/100,1)*100+97)*Premissas!$B$18,2)</f>
        <v/>
      </c>
    </row>
    <row r="378">
      <c r="A378" s="17" t="inlineStr">
        <is>
          <t>KIT 84 MOD. 620W + INV. SOLIS 37,5KW</t>
        </is>
      </c>
      <c r="B378" s="17" t="inlineStr">
        <is>
          <t>SOLIS</t>
        </is>
      </c>
      <c r="C378" s="17" t="inlineStr">
        <is>
          <t>Inversor</t>
        </is>
      </c>
      <c r="D378" s="21" t="n">
        <v>84</v>
      </c>
      <c r="E378" s="30" t="n">
        <v>52.08</v>
      </c>
      <c r="F378" s="20" t="inlineStr">
        <is>
          <t>SOLIS S5-GC37.5K-LV TRI 220V</t>
        </is>
      </c>
      <c r="G378" s="21" t="n">
        <v>1</v>
      </c>
      <c r="H378" s="17" t="inlineStr">
        <is>
          <t>Sim</t>
        </is>
      </c>
      <c r="I378" s="23" t="n">
        <v>121481.85</v>
      </c>
      <c r="J378" s="24">
        <f>(D378*Premissas!$B$24+(2*ROUNDUP(D378/2,0))*Premissas!$B$26+INT((2*ROUNDUP(D378/2,0))/4)*Premissas!$B$27+MOD((2*ROUNDUP(D378/2,0)),4)/2*Premissas!$B$28+2*IF(D378&lt;=19,3*D378,IF(D378&lt;=50,ROUNDUP(2.5*D378,0),2*D378))*Premissas!$B$29+IF(C378="Micro",G378*(Premissas!$B$31+Premissas!$B$32+4*Premissas!$B$30),G378*(INDEX(Premissas!$B$40:$B$71,MATCH(F378,Premissas!$A$40:$A$71,0))+INDEX(Premissas!$C$40:$C$71,MATCH(F378,Premissas!$A$40:$A$71,0))*Premissas!$B$30)))</f>
        <v/>
      </c>
      <c r="K378" s="24">
        <f>IF(J378&lt;Premissas!$B$36,MAX(Premissas!$B$33,J378*Premissas!$B$34),J378*Premissas!$B$35)</f>
        <v/>
      </c>
      <c r="L378" s="24">
        <f>ROUND(J378+K378,2)</f>
        <v/>
      </c>
      <c r="M378" s="24">
        <f>D378*Premissas!$B$8+Premissas!$B$9+Premissas!$B$10+Premissas!$B$11+Premissas!$B$12+ROUND(Premissas!$B$13*E378,2)</f>
        <v/>
      </c>
      <c r="N378" s="25">
        <f>ROUNDUP((L378+M378-Premissas!$B$5*L378)/(1-Premissas!$B$6-Premissas!$B$7-Premissas!$B$5-Premissas!$B$14),2)</f>
        <v/>
      </c>
      <c r="O378" s="24">
        <f>ROUND(IF(N378&lt;=30000,N378*(1+Premissas!$B$21),N378+Premissas!$B$21*30000*SQRT(N378/30000)),2)</f>
        <v/>
      </c>
      <c r="P378" s="24">
        <f>N378-I378</f>
        <v/>
      </c>
      <c r="Q378" s="26">
        <f>P378/I378</f>
        <v/>
      </c>
      <c r="R378" s="26">
        <f>(I378-L378-Premissas!$B$5*(I378-L378)-(Premissas!$B$6+Premissas!$B$7)*I378-M378)/I378</f>
        <v/>
      </c>
      <c r="S378" s="24">
        <f>ROUND((CEILING((L378*Premissas!$B$17/Premissas!$B$18-97)/100,1)*100+97)*Premissas!$B$18,2)</f>
        <v/>
      </c>
    </row>
    <row r="379">
      <c r="A379" s="17" t="inlineStr">
        <is>
          <t>KIT 85 MOD. 620W + INV. SOLIS 37,5KW</t>
        </is>
      </c>
      <c r="B379" s="17" t="inlineStr">
        <is>
          <t>SOLIS</t>
        </is>
      </c>
      <c r="C379" s="17" t="inlineStr">
        <is>
          <t>Inversor</t>
        </is>
      </c>
      <c r="D379" s="21" t="n">
        <v>85</v>
      </c>
      <c r="E379" s="30" t="n">
        <v>52.7</v>
      </c>
      <c r="F379" s="20" t="inlineStr">
        <is>
          <t>SOLIS S5-GC37.5K-LV TRI 220V</t>
        </is>
      </c>
      <c r="G379" s="21" t="n">
        <v>1</v>
      </c>
      <c r="H379" s="17" t="inlineStr">
        <is>
          <t>Sim</t>
        </is>
      </c>
      <c r="I379" s="23" t="n">
        <v>122846.85</v>
      </c>
      <c r="J379" s="24">
        <f>(D379*Premissas!$B$24+(2*ROUNDUP(D379/2,0))*Premissas!$B$26+INT((2*ROUNDUP(D379/2,0))/4)*Premissas!$B$27+MOD((2*ROUNDUP(D379/2,0)),4)/2*Premissas!$B$28+2*IF(D379&lt;=19,3*D379,IF(D379&lt;=50,ROUNDUP(2.5*D379,0),2*D379))*Premissas!$B$29+IF(C379="Micro",G379*(Premissas!$B$31+Premissas!$B$32+4*Premissas!$B$30),G379*(INDEX(Premissas!$B$40:$B$71,MATCH(F379,Premissas!$A$40:$A$71,0))+INDEX(Premissas!$C$40:$C$71,MATCH(F379,Premissas!$A$40:$A$71,0))*Premissas!$B$30)))</f>
        <v/>
      </c>
      <c r="K379" s="24">
        <f>IF(J379&lt;Premissas!$B$36,MAX(Premissas!$B$33,J379*Premissas!$B$34),J379*Premissas!$B$35)</f>
        <v/>
      </c>
      <c r="L379" s="24">
        <f>ROUND(J379+K379,2)</f>
        <v/>
      </c>
      <c r="M379" s="24">
        <f>D379*Premissas!$B$8+Premissas!$B$9+Premissas!$B$10+Premissas!$B$11+Premissas!$B$12+ROUND(Premissas!$B$13*E379,2)</f>
        <v/>
      </c>
      <c r="N379" s="25">
        <f>ROUNDUP((L379+M379-Premissas!$B$5*L379)/(1-Premissas!$B$6-Premissas!$B$7-Premissas!$B$5-Premissas!$B$14),2)</f>
        <v/>
      </c>
      <c r="O379" s="24">
        <f>ROUND(IF(N379&lt;=30000,N379*(1+Premissas!$B$21),N379+Premissas!$B$21*30000*SQRT(N379/30000)),2)</f>
        <v/>
      </c>
      <c r="P379" s="24">
        <f>N379-I379</f>
        <v/>
      </c>
      <c r="Q379" s="26">
        <f>P379/I379</f>
        <v/>
      </c>
      <c r="R379" s="26">
        <f>(I379-L379-Premissas!$B$5*(I379-L379)-(Premissas!$B$6+Premissas!$B$7)*I379-M379)/I379</f>
        <v/>
      </c>
      <c r="S379" s="24">
        <f>ROUND((CEILING((L379*Premissas!$B$17/Premissas!$B$18-97)/100,1)*100+97)*Premissas!$B$18,2)</f>
        <v/>
      </c>
    </row>
    <row r="380">
      <c r="A380" s="17" t="inlineStr">
        <is>
          <t>KIT 86 MOD. 620W + INV. SOLIS 37,5KW</t>
        </is>
      </c>
      <c r="B380" s="17" t="inlineStr">
        <is>
          <t>SOLIS</t>
        </is>
      </c>
      <c r="C380" s="17" t="inlineStr">
        <is>
          <t>Inversor</t>
        </is>
      </c>
      <c r="D380" s="21" t="n">
        <v>86</v>
      </c>
      <c r="E380" s="30" t="n">
        <v>53.32</v>
      </c>
      <c r="F380" s="20" t="inlineStr">
        <is>
          <t>SOLIS S5-GC37.5K-LV TRI 220V</t>
        </is>
      </c>
      <c r="G380" s="21" t="n">
        <v>1</v>
      </c>
      <c r="H380" s="17" t="inlineStr">
        <is>
          <t>Sim</t>
        </is>
      </c>
      <c r="I380" s="23" t="n">
        <v>123896.85</v>
      </c>
      <c r="J380" s="24">
        <f>(D380*Premissas!$B$24+(2*ROUNDUP(D380/2,0))*Premissas!$B$26+INT((2*ROUNDUP(D380/2,0))/4)*Premissas!$B$27+MOD((2*ROUNDUP(D380/2,0)),4)/2*Premissas!$B$28+2*IF(D380&lt;=19,3*D380,IF(D380&lt;=50,ROUNDUP(2.5*D380,0),2*D380))*Premissas!$B$29+IF(C380="Micro",G380*(Premissas!$B$31+Premissas!$B$32+4*Premissas!$B$30),G380*(INDEX(Premissas!$B$40:$B$71,MATCH(F380,Premissas!$A$40:$A$71,0))+INDEX(Premissas!$C$40:$C$71,MATCH(F380,Premissas!$A$40:$A$71,0))*Premissas!$B$30)))</f>
        <v/>
      </c>
      <c r="K380" s="24">
        <f>IF(J380&lt;Premissas!$B$36,MAX(Premissas!$B$33,J380*Premissas!$B$34),J380*Premissas!$B$35)</f>
        <v/>
      </c>
      <c r="L380" s="24">
        <f>ROUND(J380+K380,2)</f>
        <v/>
      </c>
      <c r="M380" s="24">
        <f>D380*Premissas!$B$8+Premissas!$B$9+Premissas!$B$10+Premissas!$B$11+Premissas!$B$12+ROUND(Premissas!$B$13*E380,2)</f>
        <v/>
      </c>
      <c r="N380" s="25">
        <f>ROUNDUP((L380+M380-Premissas!$B$5*L380)/(1-Premissas!$B$6-Premissas!$B$7-Premissas!$B$5-Premissas!$B$14),2)</f>
        <v/>
      </c>
      <c r="O380" s="24">
        <f>ROUND(IF(N380&lt;=30000,N380*(1+Premissas!$B$21),N380+Premissas!$B$21*30000*SQRT(N380/30000)),2)</f>
        <v/>
      </c>
      <c r="P380" s="24">
        <f>N380-I380</f>
        <v/>
      </c>
      <c r="Q380" s="26">
        <f>P380/I380</f>
        <v/>
      </c>
      <c r="R380" s="26">
        <f>(I380-L380-Premissas!$B$5*(I380-L380)-(Premissas!$B$6+Premissas!$B$7)*I380-M380)/I380</f>
        <v/>
      </c>
      <c r="S380" s="24">
        <f>ROUND((CEILING((L380*Premissas!$B$17/Premissas!$B$18-97)/100,1)*100+97)*Premissas!$B$18,2)</f>
        <v/>
      </c>
    </row>
    <row r="381">
      <c r="A381" s="17" t="inlineStr">
        <is>
          <t>KIT 87 MOD. 620W + INV. SOLIS 37,5KW</t>
        </is>
      </c>
      <c r="B381" s="17" t="inlineStr">
        <is>
          <t>SOLIS</t>
        </is>
      </c>
      <c r="C381" s="17" t="inlineStr">
        <is>
          <t>Inversor</t>
        </is>
      </c>
      <c r="D381" s="21" t="n">
        <v>87</v>
      </c>
      <c r="E381" s="30" t="n">
        <v>53.94</v>
      </c>
      <c r="F381" s="20" t="inlineStr">
        <is>
          <t>SOLIS S5-GC37.5K-LV TRI 220V</t>
        </is>
      </c>
      <c r="G381" s="21" t="n">
        <v>1</v>
      </c>
      <c r="H381" s="17" t="inlineStr">
        <is>
          <t>Sim</t>
        </is>
      </c>
      <c r="I381" s="23" t="n">
        <v>125156.85</v>
      </c>
      <c r="J381" s="24">
        <f>(D381*Premissas!$B$24+(2*ROUNDUP(D381/2,0))*Premissas!$B$26+INT((2*ROUNDUP(D381/2,0))/4)*Premissas!$B$27+MOD((2*ROUNDUP(D381/2,0)),4)/2*Premissas!$B$28+2*IF(D381&lt;=19,3*D381,IF(D381&lt;=50,ROUNDUP(2.5*D381,0),2*D381))*Premissas!$B$29+IF(C381="Micro",G381*(Premissas!$B$31+Premissas!$B$32+4*Premissas!$B$30),G381*(INDEX(Premissas!$B$40:$B$71,MATCH(F381,Premissas!$A$40:$A$71,0))+INDEX(Premissas!$C$40:$C$71,MATCH(F381,Premissas!$A$40:$A$71,0))*Premissas!$B$30)))</f>
        <v/>
      </c>
      <c r="K381" s="24">
        <f>IF(J381&lt;Premissas!$B$36,MAX(Premissas!$B$33,J381*Premissas!$B$34),J381*Premissas!$B$35)</f>
        <v/>
      </c>
      <c r="L381" s="24">
        <f>ROUND(J381+K381,2)</f>
        <v/>
      </c>
      <c r="M381" s="24">
        <f>D381*Premissas!$B$8+Premissas!$B$9+Premissas!$B$10+Premissas!$B$11+Premissas!$B$12+ROUND(Premissas!$B$13*E381,2)</f>
        <v/>
      </c>
      <c r="N381" s="25">
        <f>ROUNDUP((L381+M381-Premissas!$B$5*L381)/(1-Premissas!$B$6-Premissas!$B$7-Premissas!$B$5-Premissas!$B$14),2)</f>
        <v/>
      </c>
      <c r="O381" s="24">
        <f>ROUND(IF(N381&lt;=30000,N381*(1+Premissas!$B$21),N381+Premissas!$B$21*30000*SQRT(N381/30000)),2)</f>
        <v/>
      </c>
      <c r="P381" s="24">
        <f>N381-I381</f>
        <v/>
      </c>
      <c r="Q381" s="26">
        <f>P381/I381</f>
        <v/>
      </c>
      <c r="R381" s="26">
        <f>(I381-L381-Premissas!$B$5*(I381-L381)-(Premissas!$B$6+Premissas!$B$7)*I381-M381)/I381</f>
        <v/>
      </c>
      <c r="S381" s="24">
        <f>ROUND((CEILING((L381*Premissas!$B$17/Premissas!$B$18-97)/100,1)*100+97)*Premissas!$B$18,2)</f>
        <v/>
      </c>
    </row>
    <row r="382">
      <c r="A382" s="17" t="inlineStr">
        <is>
          <t>KIT 88 MOD. 620W + INV. SOLIS 37,5KW</t>
        </is>
      </c>
      <c r="B382" s="17" t="inlineStr">
        <is>
          <t>SOLIS</t>
        </is>
      </c>
      <c r="C382" s="17" t="inlineStr">
        <is>
          <t>Inversor</t>
        </is>
      </c>
      <c r="D382" s="21" t="n">
        <v>88</v>
      </c>
      <c r="E382" s="30" t="n">
        <v>54.56</v>
      </c>
      <c r="F382" s="20" t="inlineStr">
        <is>
          <t>SOLIS S5-GC37.5K-LV TRI 220V</t>
        </is>
      </c>
      <c r="G382" s="21" t="n">
        <v>1</v>
      </c>
      <c r="H382" s="17" t="inlineStr">
        <is>
          <t>Sim</t>
        </is>
      </c>
      <c r="I382" s="23" t="n">
        <v>126206.85</v>
      </c>
      <c r="J382" s="24">
        <f>(D382*Premissas!$B$24+(2*ROUNDUP(D382/2,0))*Premissas!$B$26+INT((2*ROUNDUP(D382/2,0))/4)*Premissas!$B$27+MOD((2*ROUNDUP(D382/2,0)),4)/2*Premissas!$B$28+2*IF(D382&lt;=19,3*D382,IF(D382&lt;=50,ROUNDUP(2.5*D382,0),2*D382))*Premissas!$B$29+IF(C382="Micro",G382*(Premissas!$B$31+Premissas!$B$32+4*Premissas!$B$30),G382*(INDEX(Premissas!$B$40:$B$71,MATCH(F382,Premissas!$A$40:$A$71,0))+INDEX(Premissas!$C$40:$C$71,MATCH(F382,Premissas!$A$40:$A$71,0))*Premissas!$B$30)))</f>
        <v/>
      </c>
      <c r="K382" s="24">
        <f>IF(J382&lt;Premissas!$B$36,MAX(Premissas!$B$33,J382*Premissas!$B$34),J382*Premissas!$B$35)</f>
        <v/>
      </c>
      <c r="L382" s="24">
        <f>ROUND(J382+K382,2)</f>
        <v/>
      </c>
      <c r="M382" s="24">
        <f>D382*Premissas!$B$8+Premissas!$B$9+Premissas!$B$10+Premissas!$B$11+Premissas!$B$12+ROUND(Premissas!$B$13*E382,2)</f>
        <v/>
      </c>
      <c r="N382" s="25">
        <f>ROUNDUP((L382+M382-Premissas!$B$5*L382)/(1-Premissas!$B$6-Premissas!$B$7-Premissas!$B$5-Premissas!$B$14),2)</f>
        <v/>
      </c>
      <c r="O382" s="24">
        <f>ROUND(IF(N382&lt;=30000,N382*(1+Premissas!$B$21),N382+Premissas!$B$21*30000*SQRT(N382/30000)),2)</f>
        <v/>
      </c>
      <c r="P382" s="24">
        <f>N382-I382</f>
        <v/>
      </c>
      <c r="Q382" s="26">
        <f>P382/I382</f>
        <v/>
      </c>
      <c r="R382" s="26">
        <f>(I382-L382-Premissas!$B$5*(I382-L382)-(Premissas!$B$6+Premissas!$B$7)*I382-M382)/I382</f>
        <v/>
      </c>
      <c r="S382" s="24">
        <f>ROUND((CEILING((L382*Premissas!$B$17/Premissas!$B$18-97)/100,1)*100+97)*Premissas!$B$18,2)</f>
        <v/>
      </c>
    </row>
    <row r="383">
      <c r="A383" s="17" t="inlineStr">
        <is>
          <t>KIT 89 MOD. 620W + INV. SOLIS 37,5KW</t>
        </is>
      </c>
      <c r="B383" s="17" t="inlineStr">
        <is>
          <t>SOLIS</t>
        </is>
      </c>
      <c r="C383" s="17" t="inlineStr">
        <is>
          <t>Inversor</t>
        </is>
      </c>
      <c r="D383" s="21" t="n">
        <v>89</v>
      </c>
      <c r="E383" s="30" t="n">
        <v>55.18</v>
      </c>
      <c r="F383" s="20" t="inlineStr">
        <is>
          <t>SOLIS S5-GC37.5K-LV TRI 220V</t>
        </is>
      </c>
      <c r="G383" s="21" t="n">
        <v>1</v>
      </c>
      <c r="H383" s="17" t="inlineStr">
        <is>
          <t>Sim</t>
        </is>
      </c>
      <c r="I383" s="23" t="n">
        <v>127571.85</v>
      </c>
      <c r="J383" s="24">
        <f>(D383*Premissas!$B$24+(2*ROUNDUP(D383/2,0))*Premissas!$B$26+INT((2*ROUNDUP(D383/2,0))/4)*Premissas!$B$27+MOD((2*ROUNDUP(D383/2,0)),4)/2*Premissas!$B$28+2*IF(D383&lt;=19,3*D383,IF(D383&lt;=50,ROUNDUP(2.5*D383,0),2*D383))*Premissas!$B$29+IF(C383="Micro",G383*(Premissas!$B$31+Premissas!$B$32+4*Premissas!$B$30),G383*(INDEX(Premissas!$B$40:$B$71,MATCH(F383,Premissas!$A$40:$A$71,0))+INDEX(Premissas!$C$40:$C$71,MATCH(F383,Premissas!$A$40:$A$71,0))*Premissas!$B$30)))</f>
        <v/>
      </c>
      <c r="K383" s="24">
        <f>IF(J383&lt;Premissas!$B$36,MAX(Premissas!$B$33,J383*Premissas!$B$34),J383*Premissas!$B$35)</f>
        <v/>
      </c>
      <c r="L383" s="24">
        <f>ROUND(J383+K383,2)</f>
        <v/>
      </c>
      <c r="M383" s="24">
        <f>D383*Premissas!$B$8+Premissas!$B$9+Premissas!$B$10+Premissas!$B$11+Premissas!$B$12+ROUND(Premissas!$B$13*E383,2)</f>
        <v/>
      </c>
      <c r="N383" s="25">
        <f>ROUNDUP((L383+M383-Premissas!$B$5*L383)/(1-Premissas!$B$6-Premissas!$B$7-Premissas!$B$5-Premissas!$B$14),2)</f>
        <v/>
      </c>
      <c r="O383" s="24">
        <f>ROUND(IF(N383&lt;=30000,N383*(1+Premissas!$B$21),N383+Premissas!$B$21*30000*SQRT(N383/30000)),2)</f>
        <v/>
      </c>
      <c r="P383" s="24">
        <f>N383-I383</f>
        <v/>
      </c>
      <c r="Q383" s="26">
        <f>P383/I383</f>
        <v/>
      </c>
      <c r="R383" s="26">
        <f>(I383-L383-Premissas!$B$5*(I383-L383)-(Premissas!$B$6+Premissas!$B$7)*I383-M383)/I383</f>
        <v/>
      </c>
      <c r="S383" s="24">
        <f>ROUND((CEILING((L383*Premissas!$B$17/Premissas!$B$18-97)/100,1)*100+97)*Premissas!$B$18,2)</f>
        <v/>
      </c>
    </row>
    <row r="384">
      <c r="A384" s="17" t="inlineStr">
        <is>
          <t>KIT 90 MOD. 620W + INV. SOLIS 37,5KW</t>
        </is>
      </c>
      <c r="B384" s="17" t="inlineStr">
        <is>
          <t>SOLIS</t>
        </is>
      </c>
      <c r="C384" s="17" t="inlineStr">
        <is>
          <t>Inversor</t>
        </is>
      </c>
      <c r="D384" s="21" t="n">
        <v>90</v>
      </c>
      <c r="E384" s="30" t="n">
        <v>55.8</v>
      </c>
      <c r="F384" s="20" t="inlineStr">
        <is>
          <t>SOLIS S5-GC37.5K-LV TRI 220V</t>
        </is>
      </c>
      <c r="G384" s="21" t="n">
        <v>1</v>
      </c>
      <c r="H384" s="17" t="inlineStr">
        <is>
          <t>Sim</t>
        </is>
      </c>
      <c r="I384" s="23" t="n">
        <v>128621.85</v>
      </c>
      <c r="J384" s="24">
        <f>(D384*Premissas!$B$24+(2*ROUNDUP(D384/2,0))*Premissas!$B$26+INT((2*ROUNDUP(D384/2,0))/4)*Premissas!$B$27+MOD((2*ROUNDUP(D384/2,0)),4)/2*Premissas!$B$28+2*IF(D384&lt;=19,3*D384,IF(D384&lt;=50,ROUNDUP(2.5*D384,0),2*D384))*Premissas!$B$29+IF(C384="Micro",G384*(Premissas!$B$31+Premissas!$B$32+4*Premissas!$B$30),G384*(INDEX(Premissas!$B$40:$B$71,MATCH(F384,Premissas!$A$40:$A$71,0))+INDEX(Premissas!$C$40:$C$71,MATCH(F384,Premissas!$A$40:$A$71,0))*Premissas!$B$30)))</f>
        <v/>
      </c>
      <c r="K384" s="24">
        <f>IF(J384&lt;Premissas!$B$36,MAX(Premissas!$B$33,J384*Premissas!$B$34),J384*Premissas!$B$35)</f>
        <v/>
      </c>
      <c r="L384" s="24">
        <f>ROUND(J384+K384,2)</f>
        <v/>
      </c>
      <c r="M384" s="24">
        <f>D384*Premissas!$B$8+Premissas!$B$9+Premissas!$B$10+Premissas!$B$11+Premissas!$B$12+ROUND(Premissas!$B$13*E384,2)</f>
        <v/>
      </c>
      <c r="N384" s="25">
        <f>ROUNDUP((L384+M384-Premissas!$B$5*L384)/(1-Premissas!$B$6-Premissas!$B$7-Premissas!$B$5-Premissas!$B$14),2)</f>
        <v/>
      </c>
      <c r="O384" s="24">
        <f>ROUND(IF(N384&lt;=30000,N384*(1+Premissas!$B$21),N384+Premissas!$B$21*30000*SQRT(N384/30000)),2)</f>
        <v/>
      </c>
      <c r="P384" s="24">
        <f>N384-I384</f>
        <v/>
      </c>
      <c r="Q384" s="26">
        <f>P384/I384</f>
        <v/>
      </c>
      <c r="R384" s="26">
        <f>(I384-L384-Premissas!$B$5*(I384-L384)-(Premissas!$B$6+Premissas!$B$7)*I384-M384)/I384</f>
        <v/>
      </c>
      <c r="S384" s="24">
        <f>ROUND((CEILING((L384*Premissas!$B$17/Premissas!$B$18-97)/100,1)*100+97)*Premissas!$B$18,2)</f>
        <v/>
      </c>
    </row>
    <row r="385">
      <c r="A385" s="17" t="inlineStr">
        <is>
          <t>KIT 91 MOD. 620W + INV. SOLIS 37,5KW</t>
        </is>
      </c>
      <c r="B385" s="17" t="inlineStr">
        <is>
          <t>SOLIS</t>
        </is>
      </c>
      <c r="C385" s="17" t="inlineStr">
        <is>
          <t>Inversor</t>
        </is>
      </c>
      <c r="D385" s="21" t="n">
        <v>91</v>
      </c>
      <c r="E385" s="30" t="n">
        <v>56.42</v>
      </c>
      <c r="F385" s="20" t="inlineStr">
        <is>
          <t>SOLIS S5-GC37.5K-LV TRI 220V</t>
        </is>
      </c>
      <c r="G385" s="21" t="n">
        <v>1</v>
      </c>
      <c r="H385" s="17" t="inlineStr">
        <is>
          <t>Sim</t>
        </is>
      </c>
      <c r="I385" s="23" t="n">
        <v>129986.85</v>
      </c>
      <c r="J385" s="24">
        <f>(D385*Premissas!$B$24+(2*ROUNDUP(D385/2,0))*Premissas!$B$26+INT((2*ROUNDUP(D385/2,0))/4)*Premissas!$B$27+MOD((2*ROUNDUP(D385/2,0)),4)/2*Premissas!$B$28+2*IF(D385&lt;=19,3*D385,IF(D385&lt;=50,ROUNDUP(2.5*D385,0),2*D385))*Premissas!$B$29+IF(C385="Micro",G385*(Premissas!$B$31+Premissas!$B$32+4*Premissas!$B$30),G385*(INDEX(Premissas!$B$40:$B$71,MATCH(F385,Premissas!$A$40:$A$71,0))+INDEX(Premissas!$C$40:$C$71,MATCH(F385,Premissas!$A$40:$A$71,0))*Premissas!$B$30)))</f>
        <v/>
      </c>
      <c r="K385" s="24">
        <f>IF(J385&lt;Premissas!$B$36,MAX(Premissas!$B$33,J385*Premissas!$B$34),J385*Premissas!$B$35)</f>
        <v/>
      </c>
      <c r="L385" s="24">
        <f>ROUND(J385+K385,2)</f>
        <v/>
      </c>
      <c r="M385" s="24">
        <f>D385*Premissas!$B$8+Premissas!$B$9+Premissas!$B$10+Premissas!$B$11+Premissas!$B$12+ROUND(Premissas!$B$13*E385,2)</f>
        <v/>
      </c>
      <c r="N385" s="25">
        <f>ROUNDUP((L385+M385-Premissas!$B$5*L385)/(1-Premissas!$B$6-Premissas!$B$7-Premissas!$B$5-Premissas!$B$14),2)</f>
        <v/>
      </c>
      <c r="O385" s="24">
        <f>ROUND(IF(N385&lt;=30000,N385*(1+Premissas!$B$21),N385+Premissas!$B$21*30000*SQRT(N385/30000)),2)</f>
        <v/>
      </c>
      <c r="P385" s="24">
        <f>N385-I385</f>
        <v/>
      </c>
      <c r="Q385" s="26">
        <f>P385/I385</f>
        <v/>
      </c>
      <c r="R385" s="26">
        <f>(I385-L385-Premissas!$B$5*(I385-L385)-(Premissas!$B$6+Premissas!$B$7)*I385-M385)/I385</f>
        <v/>
      </c>
      <c r="S385" s="24">
        <f>ROUND((CEILING((L385*Premissas!$B$17/Premissas!$B$18-97)/100,1)*100+97)*Premissas!$B$18,2)</f>
        <v/>
      </c>
    </row>
    <row r="386">
      <c r="A386" s="17" t="inlineStr">
        <is>
          <t>KIT 92 MOD. 620W + INV. SOLIS 37,5KW</t>
        </is>
      </c>
      <c r="B386" s="17" t="inlineStr">
        <is>
          <t>SOLIS</t>
        </is>
      </c>
      <c r="C386" s="17" t="inlineStr">
        <is>
          <t>Inversor</t>
        </is>
      </c>
      <c r="D386" s="21" t="n">
        <v>92</v>
      </c>
      <c r="E386" s="30" t="n">
        <v>57.04</v>
      </c>
      <c r="F386" s="20" t="inlineStr">
        <is>
          <t>SOLIS S5-GC37.5K-LV TRI 220V</t>
        </is>
      </c>
      <c r="G386" s="21" t="n">
        <v>1</v>
      </c>
      <c r="H386" s="17" t="inlineStr">
        <is>
          <t>Sim</t>
        </is>
      </c>
      <c r="I386" s="23" t="n">
        <v>131036.85</v>
      </c>
      <c r="J386" s="24">
        <f>(D386*Premissas!$B$24+(2*ROUNDUP(D386/2,0))*Premissas!$B$26+INT((2*ROUNDUP(D386/2,0))/4)*Premissas!$B$27+MOD((2*ROUNDUP(D386/2,0)),4)/2*Premissas!$B$28+2*IF(D386&lt;=19,3*D386,IF(D386&lt;=50,ROUNDUP(2.5*D386,0),2*D386))*Premissas!$B$29+IF(C386="Micro",G386*(Premissas!$B$31+Premissas!$B$32+4*Premissas!$B$30),G386*(INDEX(Premissas!$B$40:$B$71,MATCH(F386,Premissas!$A$40:$A$71,0))+INDEX(Premissas!$C$40:$C$71,MATCH(F386,Premissas!$A$40:$A$71,0))*Premissas!$B$30)))</f>
        <v/>
      </c>
      <c r="K386" s="24">
        <f>IF(J386&lt;Premissas!$B$36,MAX(Premissas!$B$33,J386*Premissas!$B$34),J386*Premissas!$B$35)</f>
        <v/>
      </c>
      <c r="L386" s="24">
        <f>ROUND(J386+K386,2)</f>
        <v/>
      </c>
      <c r="M386" s="24">
        <f>D386*Premissas!$B$8+Premissas!$B$9+Premissas!$B$10+Premissas!$B$11+Premissas!$B$12+ROUND(Premissas!$B$13*E386,2)</f>
        <v/>
      </c>
      <c r="N386" s="25">
        <f>ROUNDUP((L386+M386-Premissas!$B$5*L386)/(1-Premissas!$B$6-Premissas!$B$7-Premissas!$B$5-Premissas!$B$14),2)</f>
        <v/>
      </c>
      <c r="O386" s="24">
        <f>ROUND(IF(N386&lt;=30000,N386*(1+Premissas!$B$21),N386+Premissas!$B$21*30000*SQRT(N386/30000)),2)</f>
        <v/>
      </c>
      <c r="P386" s="24">
        <f>N386-I386</f>
        <v/>
      </c>
      <c r="Q386" s="26">
        <f>P386/I386</f>
        <v/>
      </c>
      <c r="R386" s="26">
        <f>(I386-L386-Premissas!$B$5*(I386-L386)-(Premissas!$B$6+Premissas!$B$7)*I386-M386)/I386</f>
        <v/>
      </c>
      <c r="S386" s="24">
        <f>ROUND((CEILING((L386*Premissas!$B$17/Premissas!$B$18-97)/100,1)*100+97)*Premissas!$B$18,2)</f>
        <v/>
      </c>
    </row>
    <row r="387">
      <c r="A387" s="17" t="inlineStr">
        <is>
          <t>KIT 93 MOD. 620W + INV. SOLIS 37,5KW</t>
        </is>
      </c>
      <c r="B387" s="17" t="inlineStr">
        <is>
          <t>SOLIS</t>
        </is>
      </c>
      <c r="C387" s="17" t="inlineStr">
        <is>
          <t>Inversor</t>
        </is>
      </c>
      <c r="D387" s="21" t="n">
        <v>93</v>
      </c>
      <c r="E387" s="30" t="n">
        <v>57.66</v>
      </c>
      <c r="F387" s="20" t="inlineStr">
        <is>
          <t>SOLIS S5-GC37.5K-LV TRI 220V</t>
        </is>
      </c>
      <c r="G387" s="21" t="n">
        <v>1</v>
      </c>
      <c r="H387" s="17" t="inlineStr">
        <is>
          <t>Sim</t>
        </is>
      </c>
      <c r="I387" s="23" t="n">
        <v>132296.85</v>
      </c>
      <c r="J387" s="24">
        <f>(D387*Premissas!$B$24+(2*ROUNDUP(D387/2,0))*Premissas!$B$26+INT((2*ROUNDUP(D387/2,0))/4)*Premissas!$B$27+MOD((2*ROUNDUP(D387/2,0)),4)/2*Premissas!$B$28+2*IF(D387&lt;=19,3*D387,IF(D387&lt;=50,ROUNDUP(2.5*D387,0),2*D387))*Premissas!$B$29+IF(C387="Micro",G387*(Premissas!$B$31+Premissas!$B$32+4*Premissas!$B$30),G387*(INDEX(Premissas!$B$40:$B$71,MATCH(F387,Premissas!$A$40:$A$71,0))+INDEX(Premissas!$C$40:$C$71,MATCH(F387,Premissas!$A$40:$A$71,0))*Premissas!$B$30)))</f>
        <v/>
      </c>
      <c r="K387" s="24">
        <f>IF(J387&lt;Premissas!$B$36,MAX(Premissas!$B$33,J387*Premissas!$B$34),J387*Premissas!$B$35)</f>
        <v/>
      </c>
      <c r="L387" s="24">
        <f>ROUND(J387+K387,2)</f>
        <v/>
      </c>
      <c r="M387" s="24">
        <f>D387*Premissas!$B$8+Premissas!$B$9+Premissas!$B$10+Premissas!$B$11+Premissas!$B$12+ROUND(Premissas!$B$13*E387,2)</f>
        <v/>
      </c>
      <c r="N387" s="25">
        <f>ROUNDUP((L387+M387-Premissas!$B$5*L387)/(1-Premissas!$B$6-Premissas!$B$7-Premissas!$B$5-Premissas!$B$14),2)</f>
        <v/>
      </c>
      <c r="O387" s="24">
        <f>ROUND(IF(N387&lt;=30000,N387*(1+Premissas!$B$21),N387+Premissas!$B$21*30000*SQRT(N387/30000)),2)</f>
        <v/>
      </c>
      <c r="P387" s="24">
        <f>N387-I387</f>
        <v/>
      </c>
      <c r="Q387" s="26">
        <f>P387/I387</f>
        <v/>
      </c>
      <c r="R387" s="26">
        <f>(I387-L387-Premissas!$B$5*(I387-L387)-(Premissas!$B$6+Premissas!$B$7)*I387-M387)/I387</f>
        <v/>
      </c>
      <c r="S387" s="24">
        <f>ROUND((CEILING((L387*Premissas!$B$17/Premissas!$B$18-97)/100,1)*100+97)*Premissas!$B$18,2)</f>
        <v/>
      </c>
    </row>
    <row r="388">
      <c r="A388" s="17" t="inlineStr">
        <is>
          <t>KIT 94 MOD. 620W + INV. SOLIS 37,5KW</t>
        </is>
      </c>
      <c r="B388" s="17" t="inlineStr">
        <is>
          <t>SOLIS</t>
        </is>
      </c>
      <c r="C388" s="17" t="inlineStr">
        <is>
          <t>Inversor</t>
        </is>
      </c>
      <c r="D388" s="21" t="n">
        <v>94</v>
      </c>
      <c r="E388" s="30" t="n">
        <v>58.28</v>
      </c>
      <c r="F388" s="20" t="inlineStr">
        <is>
          <t>SOLIS S5-GC37.5K-LV TRI 220V</t>
        </is>
      </c>
      <c r="G388" s="21" t="n">
        <v>1</v>
      </c>
      <c r="H388" s="17" t="inlineStr">
        <is>
          <t>Sim</t>
        </is>
      </c>
      <c r="I388" s="23" t="n">
        <v>133346.85</v>
      </c>
      <c r="J388" s="24">
        <f>(D388*Premissas!$B$24+(2*ROUNDUP(D388/2,0))*Premissas!$B$26+INT((2*ROUNDUP(D388/2,0))/4)*Premissas!$B$27+MOD((2*ROUNDUP(D388/2,0)),4)/2*Premissas!$B$28+2*IF(D388&lt;=19,3*D388,IF(D388&lt;=50,ROUNDUP(2.5*D388,0),2*D388))*Premissas!$B$29+IF(C388="Micro",G388*(Premissas!$B$31+Premissas!$B$32+4*Premissas!$B$30),G388*(INDEX(Premissas!$B$40:$B$71,MATCH(F388,Premissas!$A$40:$A$71,0))+INDEX(Premissas!$C$40:$C$71,MATCH(F388,Premissas!$A$40:$A$71,0))*Premissas!$B$30)))</f>
        <v/>
      </c>
      <c r="K388" s="24">
        <f>IF(J388&lt;Premissas!$B$36,MAX(Premissas!$B$33,J388*Premissas!$B$34),J388*Premissas!$B$35)</f>
        <v/>
      </c>
      <c r="L388" s="24">
        <f>ROUND(J388+K388,2)</f>
        <v/>
      </c>
      <c r="M388" s="24">
        <f>D388*Premissas!$B$8+Premissas!$B$9+Premissas!$B$10+Premissas!$B$11+Premissas!$B$12+ROUND(Premissas!$B$13*E388,2)</f>
        <v/>
      </c>
      <c r="N388" s="25">
        <f>ROUNDUP((L388+M388-Premissas!$B$5*L388)/(1-Premissas!$B$6-Premissas!$B$7-Premissas!$B$5-Premissas!$B$14),2)</f>
        <v/>
      </c>
      <c r="O388" s="24">
        <f>ROUND(IF(N388&lt;=30000,N388*(1+Premissas!$B$21),N388+Premissas!$B$21*30000*SQRT(N388/30000)),2)</f>
        <v/>
      </c>
      <c r="P388" s="24">
        <f>N388-I388</f>
        <v/>
      </c>
      <c r="Q388" s="26">
        <f>P388/I388</f>
        <v/>
      </c>
      <c r="R388" s="26">
        <f>(I388-L388-Premissas!$B$5*(I388-L388)-(Premissas!$B$6+Premissas!$B$7)*I388-M388)/I388</f>
        <v/>
      </c>
      <c r="S388" s="24">
        <f>ROUND((CEILING((L388*Premissas!$B$17/Premissas!$B$18-97)/100,1)*100+97)*Premissas!$B$18,2)</f>
        <v/>
      </c>
    </row>
    <row r="389">
      <c r="A389" s="17" t="inlineStr">
        <is>
          <t>KIT 95 MOD. 620W + INV. SOLIS 37,5KW</t>
        </is>
      </c>
      <c r="B389" s="17" t="inlineStr">
        <is>
          <t>SOLIS</t>
        </is>
      </c>
      <c r="C389" s="17" t="inlineStr">
        <is>
          <t>Inversor</t>
        </is>
      </c>
      <c r="D389" s="21" t="n">
        <v>95</v>
      </c>
      <c r="E389" s="30" t="n">
        <v>58.9</v>
      </c>
      <c r="F389" s="20" t="inlineStr">
        <is>
          <t>SOLIS S5-GC37.5K-LV TRI 220V</t>
        </is>
      </c>
      <c r="G389" s="21" t="n">
        <v>1</v>
      </c>
      <c r="H389" s="17" t="inlineStr">
        <is>
          <t>Sim</t>
        </is>
      </c>
      <c r="I389" s="23" t="n">
        <v>134711.85</v>
      </c>
      <c r="J389" s="24">
        <f>(D389*Premissas!$B$24+(2*ROUNDUP(D389/2,0))*Premissas!$B$26+INT((2*ROUNDUP(D389/2,0))/4)*Premissas!$B$27+MOD((2*ROUNDUP(D389/2,0)),4)/2*Premissas!$B$28+2*IF(D389&lt;=19,3*D389,IF(D389&lt;=50,ROUNDUP(2.5*D389,0),2*D389))*Premissas!$B$29+IF(C389="Micro",G389*(Premissas!$B$31+Premissas!$B$32+4*Premissas!$B$30),G389*(INDEX(Premissas!$B$40:$B$71,MATCH(F389,Premissas!$A$40:$A$71,0))+INDEX(Premissas!$C$40:$C$71,MATCH(F389,Premissas!$A$40:$A$71,0))*Premissas!$B$30)))</f>
        <v/>
      </c>
      <c r="K389" s="24">
        <f>IF(J389&lt;Premissas!$B$36,MAX(Premissas!$B$33,J389*Premissas!$B$34),J389*Premissas!$B$35)</f>
        <v/>
      </c>
      <c r="L389" s="24">
        <f>ROUND(J389+K389,2)</f>
        <v/>
      </c>
      <c r="M389" s="24">
        <f>D389*Premissas!$B$8+Premissas!$B$9+Premissas!$B$10+Premissas!$B$11+Premissas!$B$12+ROUND(Premissas!$B$13*E389,2)</f>
        <v/>
      </c>
      <c r="N389" s="25">
        <f>ROUNDUP((L389+M389-Premissas!$B$5*L389)/(1-Premissas!$B$6-Premissas!$B$7-Premissas!$B$5-Premissas!$B$14),2)</f>
        <v/>
      </c>
      <c r="O389" s="24">
        <f>ROUND(IF(N389&lt;=30000,N389*(1+Premissas!$B$21),N389+Premissas!$B$21*30000*SQRT(N389/30000)),2)</f>
        <v/>
      </c>
      <c r="P389" s="24">
        <f>N389-I389</f>
        <v/>
      </c>
      <c r="Q389" s="26">
        <f>P389/I389</f>
        <v/>
      </c>
      <c r="R389" s="26">
        <f>(I389-L389-Premissas!$B$5*(I389-L389)-(Premissas!$B$6+Premissas!$B$7)*I389-M389)/I389</f>
        <v/>
      </c>
      <c r="S389" s="24">
        <f>ROUND((CEILING((L389*Premissas!$B$17/Premissas!$B$18-97)/100,1)*100+97)*Premissas!$B$18,2)</f>
        <v/>
      </c>
    </row>
    <row r="390">
      <c r="A390" s="17" t="inlineStr">
        <is>
          <t>KIT 96 MOD. 620W + INV. SOLIS 37,5KW</t>
        </is>
      </c>
      <c r="B390" s="17" t="inlineStr">
        <is>
          <t>SOLIS</t>
        </is>
      </c>
      <c r="C390" s="17" t="inlineStr">
        <is>
          <t>Inversor</t>
        </is>
      </c>
      <c r="D390" s="21" t="n">
        <v>96</v>
      </c>
      <c r="E390" s="30" t="n">
        <v>59.52</v>
      </c>
      <c r="F390" s="20" t="inlineStr">
        <is>
          <t>SOLIS S5-GC37.5K-LV TRI 220V</t>
        </is>
      </c>
      <c r="G390" s="21" t="n">
        <v>1</v>
      </c>
      <c r="H390" s="17" t="inlineStr">
        <is>
          <t>Sim</t>
        </is>
      </c>
      <c r="I390" s="23" t="n">
        <v>135761.85</v>
      </c>
      <c r="J390" s="24">
        <f>(D390*Premissas!$B$24+(2*ROUNDUP(D390/2,0))*Premissas!$B$26+INT((2*ROUNDUP(D390/2,0))/4)*Premissas!$B$27+MOD((2*ROUNDUP(D390/2,0)),4)/2*Premissas!$B$28+2*IF(D390&lt;=19,3*D390,IF(D390&lt;=50,ROUNDUP(2.5*D390,0),2*D390))*Premissas!$B$29+IF(C390="Micro",G390*(Premissas!$B$31+Premissas!$B$32+4*Premissas!$B$30),G390*(INDEX(Premissas!$B$40:$B$71,MATCH(F390,Premissas!$A$40:$A$71,0))+INDEX(Premissas!$C$40:$C$71,MATCH(F390,Premissas!$A$40:$A$71,0))*Premissas!$B$30)))</f>
        <v/>
      </c>
      <c r="K390" s="24">
        <f>IF(J390&lt;Premissas!$B$36,MAX(Premissas!$B$33,J390*Premissas!$B$34),J390*Premissas!$B$35)</f>
        <v/>
      </c>
      <c r="L390" s="24">
        <f>ROUND(J390+K390,2)</f>
        <v/>
      </c>
      <c r="M390" s="24">
        <f>D390*Premissas!$B$8+Premissas!$B$9+Premissas!$B$10+Premissas!$B$11+Premissas!$B$12+ROUND(Premissas!$B$13*E390,2)</f>
        <v/>
      </c>
      <c r="N390" s="25">
        <f>ROUNDUP((L390+M390-Premissas!$B$5*L390)/(1-Premissas!$B$6-Premissas!$B$7-Premissas!$B$5-Premissas!$B$14),2)</f>
        <v/>
      </c>
      <c r="O390" s="24">
        <f>ROUND(IF(N390&lt;=30000,N390*(1+Premissas!$B$21),N390+Premissas!$B$21*30000*SQRT(N390/30000)),2)</f>
        <v/>
      </c>
      <c r="P390" s="24">
        <f>N390-I390</f>
        <v/>
      </c>
      <c r="Q390" s="26">
        <f>P390/I390</f>
        <v/>
      </c>
      <c r="R390" s="26">
        <f>(I390-L390-Premissas!$B$5*(I390-L390)-(Premissas!$B$6+Premissas!$B$7)*I390-M390)/I390</f>
        <v/>
      </c>
      <c r="S390" s="24">
        <f>ROUND((CEILING((L390*Premissas!$B$17/Premissas!$B$18-97)/100,1)*100+97)*Premissas!$B$18,2)</f>
        <v/>
      </c>
    </row>
    <row r="391">
      <c r="A391" s="17" t="inlineStr">
        <is>
          <t>KIT 97 MOD. 620W + INV. SOLIS 37,5KW</t>
        </is>
      </c>
      <c r="B391" s="17" t="inlineStr">
        <is>
          <t>SOLIS</t>
        </is>
      </c>
      <c r="C391" s="17" t="inlineStr">
        <is>
          <t>Inversor</t>
        </is>
      </c>
      <c r="D391" s="21" t="n">
        <v>97</v>
      </c>
      <c r="E391" s="30" t="n">
        <v>60.14</v>
      </c>
      <c r="F391" s="20" t="inlineStr">
        <is>
          <t>SOLIS S5-GC37.5K-LV TRI 220V</t>
        </is>
      </c>
      <c r="G391" s="21" t="n">
        <v>1</v>
      </c>
      <c r="H391" s="17" t="inlineStr">
        <is>
          <t>Sim</t>
        </is>
      </c>
      <c r="I391" s="23" t="n">
        <v>137126.85</v>
      </c>
      <c r="J391" s="24">
        <f>(D391*Premissas!$B$24+(2*ROUNDUP(D391/2,0))*Premissas!$B$26+INT((2*ROUNDUP(D391/2,0))/4)*Premissas!$B$27+MOD((2*ROUNDUP(D391/2,0)),4)/2*Premissas!$B$28+2*IF(D391&lt;=19,3*D391,IF(D391&lt;=50,ROUNDUP(2.5*D391,0),2*D391))*Premissas!$B$29+IF(C391="Micro",G391*(Premissas!$B$31+Premissas!$B$32+4*Premissas!$B$30),G391*(INDEX(Premissas!$B$40:$B$71,MATCH(F391,Premissas!$A$40:$A$71,0))+INDEX(Premissas!$C$40:$C$71,MATCH(F391,Premissas!$A$40:$A$71,0))*Premissas!$B$30)))</f>
        <v/>
      </c>
      <c r="K391" s="24">
        <f>IF(J391&lt;Premissas!$B$36,MAX(Premissas!$B$33,J391*Premissas!$B$34),J391*Premissas!$B$35)</f>
        <v/>
      </c>
      <c r="L391" s="24">
        <f>ROUND(J391+K391,2)</f>
        <v/>
      </c>
      <c r="M391" s="24">
        <f>D391*Premissas!$B$8+Premissas!$B$9+Premissas!$B$10+Premissas!$B$11+Premissas!$B$12+ROUND(Premissas!$B$13*E391,2)</f>
        <v/>
      </c>
      <c r="N391" s="25">
        <f>ROUNDUP((L391+M391-Premissas!$B$5*L391)/(1-Premissas!$B$6-Premissas!$B$7-Premissas!$B$5-Premissas!$B$14),2)</f>
        <v/>
      </c>
      <c r="O391" s="24">
        <f>ROUND(IF(N391&lt;=30000,N391*(1+Premissas!$B$21),N391+Premissas!$B$21*30000*SQRT(N391/30000)),2)</f>
        <v/>
      </c>
      <c r="P391" s="24">
        <f>N391-I391</f>
        <v/>
      </c>
      <c r="Q391" s="26">
        <f>P391/I391</f>
        <v/>
      </c>
      <c r="R391" s="26">
        <f>(I391-L391-Premissas!$B$5*(I391-L391)-(Premissas!$B$6+Premissas!$B$7)*I391-M391)/I391</f>
        <v/>
      </c>
      <c r="S391" s="24">
        <f>ROUND((CEILING((L391*Premissas!$B$17/Premissas!$B$18-97)/100,1)*100+97)*Premissas!$B$18,2)</f>
        <v/>
      </c>
    </row>
    <row r="392">
      <c r="A392" s="17" t="inlineStr">
        <is>
          <t>KIT 98 MOD. 620W + INV. SOLIS 37,5KW</t>
        </is>
      </c>
      <c r="B392" s="17" t="inlineStr">
        <is>
          <t>SOLIS</t>
        </is>
      </c>
      <c r="C392" s="17" t="inlineStr">
        <is>
          <t>Inversor</t>
        </is>
      </c>
      <c r="D392" s="21" t="n">
        <v>98</v>
      </c>
      <c r="E392" s="30" t="n">
        <v>60.76</v>
      </c>
      <c r="F392" s="20" t="inlineStr">
        <is>
          <t>SOLIS S5-GC37.5K-LV TRI 220V</t>
        </is>
      </c>
      <c r="G392" s="21" t="n">
        <v>1</v>
      </c>
      <c r="H392" s="17" t="inlineStr">
        <is>
          <t>Sim</t>
        </is>
      </c>
      <c r="I392" s="23" t="n">
        <v>138176.85</v>
      </c>
      <c r="J392" s="24">
        <f>(D392*Premissas!$B$24+(2*ROUNDUP(D392/2,0))*Premissas!$B$26+INT((2*ROUNDUP(D392/2,0))/4)*Premissas!$B$27+MOD((2*ROUNDUP(D392/2,0)),4)/2*Premissas!$B$28+2*IF(D392&lt;=19,3*D392,IF(D392&lt;=50,ROUNDUP(2.5*D392,0),2*D392))*Premissas!$B$29+IF(C392="Micro",G392*(Premissas!$B$31+Premissas!$B$32+4*Premissas!$B$30),G392*(INDEX(Premissas!$B$40:$B$71,MATCH(F392,Premissas!$A$40:$A$71,0))+INDEX(Premissas!$C$40:$C$71,MATCH(F392,Premissas!$A$40:$A$71,0))*Premissas!$B$30)))</f>
        <v/>
      </c>
      <c r="K392" s="24">
        <f>IF(J392&lt;Premissas!$B$36,MAX(Premissas!$B$33,J392*Premissas!$B$34),J392*Premissas!$B$35)</f>
        <v/>
      </c>
      <c r="L392" s="24">
        <f>ROUND(J392+K392,2)</f>
        <v/>
      </c>
      <c r="M392" s="24">
        <f>D392*Premissas!$B$8+Premissas!$B$9+Premissas!$B$10+Premissas!$B$11+Premissas!$B$12+ROUND(Premissas!$B$13*E392,2)</f>
        <v/>
      </c>
      <c r="N392" s="25">
        <f>ROUNDUP((L392+M392-Premissas!$B$5*L392)/(1-Premissas!$B$6-Premissas!$B$7-Premissas!$B$5-Premissas!$B$14),2)</f>
        <v/>
      </c>
      <c r="O392" s="24">
        <f>ROUND(IF(N392&lt;=30000,N392*(1+Premissas!$B$21),N392+Premissas!$B$21*30000*SQRT(N392/30000)),2)</f>
        <v/>
      </c>
      <c r="P392" s="24">
        <f>N392-I392</f>
        <v/>
      </c>
      <c r="Q392" s="26">
        <f>P392/I392</f>
        <v/>
      </c>
      <c r="R392" s="26">
        <f>(I392-L392-Premissas!$B$5*(I392-L392)-(Premissas!$B$6+Premissas!$B$7)*I392-M392)/I392</f>
        <v/>
      </c>
      <c r="S392" s="24">
        <f>ROUND((CEILING((L392*Premissas!$B$17/Premissas!$B$18-97)/100,1)*100+97)*Premissas!$B$18,2)</f>
        <v/>
      </c>
    </row>
    <row r="393">
      <c r="A393" s="17" t="inlineStr">
        <is>
          <t>KIT 99 MOD. 620W + INV. SOLIS 37,5KW</t>
        </is>
      </c>
      <c r="B393" s="17" t="inlineStr">
        <is>
          <t>SOLIS</t>
        </is>
      </c>
      <c r="C393" s="17" t="inlineStr">
        <is>
          <t>Inversor</t>
        </is>
      </c>
      <c r="D393" s="21" t="n">
        <v>99</v>
      </c>
      <c r="E393" s="30" t="n">
        <v>61.38</v>
      </c>
      <c r="F393" s="20" t="inlineStr">
        <is>
          <t>SOLIS S5-GC37.5K-LV TRI 220V</t>
        </is>
      </c>
      <c r="G393" s="21" t="n">
        <v>1</v>
      </c>
      <c r="H393" s="17" t="inlineStr">
        <is>
          <t>Sim</t>
        </is>
      </c>
      <c r="I393" s="23" t="n">
        <v>139436.85</v>
      </c>
      <c r="J393" s="24">
        <f>(D393*Premissas!$B$24+(2*ROUNDUP(D393/2,0))*Premissas!$B$26+INT((2*ROUNDUP(D393/2,0))/4)*Premissas!$B$27+MOD((2*ROUNDUP(D393/2,0)),4)/2*Premissas!$B$28+2*IF(D393&lt;=19,3*D393,IF(D393&lt;=50,ROUNDUP(2.5*D393,0),2*D393))*Premissas!$B$29+IF(C393="Micro",G393*(Premissas!$B$31+Premissas!$B$32+4*Premissas!$B$30),G393*(INDEX(Premissas!$B$40:$B$71,MATCH(F393,Premissas!$A$40:$A$71,0))+INDEX(Premissas!$C$40:$C$71,MATCH(F393,Premissas!$A$40:$A$71,0))*Premissas!$B$30)))</f>
        <v/>
      </c>
      <c r="K393" s="24">
        <f>IF(J393&lt;Premissas!$B$36,MAX(Premissas!$B$33,J393*Premissas!$B$34),J393*Premissas!$B$35)</f>
        <v/>
      </c>
      <c r="L393" s="24">
        <f>ROUND(J393+K393,2)</f>
        <v/>
      </c>
      <c r="M393" s="24">
        <f>D393*Premissas!$B$8+Premissas!$B$9+Premissas!$B$10+Premissas!$B$11+Premissas!$B$12+ROUND(Premissas!$B$13*E393,2)</f>
        <v/>
      </c>
      <c r="N393" s="25">
        <f>ROUNDUP((L393+M393-Premissas!$B$5*L393)/(1-Premissas!$B$6-Premissas!$B$7-Premissas!$B$5-Premissas!$B$14),2)</f>
        <v/>
      </c>
      <c r="O393" s="24">
        <f>ROUND(IF(N393&lt;=30000,N393*(1+Premissas!$B$21),N393+Premissas!$B$21*30000*SQRT(N393/30000)),2)</f>
        <v/>
      </c>
      <c r="P393" s="24">
        <f>N393-I393</f>
        <v/>
      </c>
      <c r="Q393" s="26">
        <f>P393/I393</f>
        <v/>
      </c>
      <c r="R393" s="26">
        <f>(I393-L393-Premissas!$B$5*(I393-L393)-(Premissas!$B$6+Premissas!$B$7)*I393-M393)/I393</f>
        <v/>
      </c>
      <c r="S393" s="24">
        <f>ROUND((CEILING((L393*Premissas!$B$17/Premissas!$B$18-97)/100,1)*100+97)*Premissas!$B$18,2)</f>
        <v/>
      </c>
    </row>
    <row r="394">
      <c r="A394" s="17" t="inlineStr">
        <is>
          <t>KIT 100 MOD. 620W + INV. SOLIS 37,5KW</t>
        </is>
      </c>
      <c r="B394" s="17" t="inlineStr">
        <is>
          <t>SOLIS</t>
        </is>
      </c>
      <c r="C394" s="17" t="inlineStr">
        <is>
          <t>Inversor</t>
        </is>
      </c>
      <c r="D394" s="21" t="n">
        <v>100</v>
      </c>
      <c r="E394" s="30" t="n">
        <v>62</v>
      </c>
      <c r="F394" s="20" t="inlineStr">
        <is>
          <t>SOLIS S5-GC37.5K-LV TRI 220V</t>
        </is>
      </c>
      <c r="G394" s="21" t="n">
        <v>1</v>
      </c>
      <c r="H394" s="17" t="inlineStr">
        <is>
          <t>Sim</t>
        </is>
      </c>
      <c r="I394" s="23" t="n">
        <v>140486.85</v>
      </c>
      <c r="J394" s="24">
        <f>(D394*Premissas!$B$24+(2*ROUNDUP(D394/2,0))*Premissas!$B$26+INT((2*ROUNDUP(D394/2,0))/4)*Premissas!$B$27+MOD((2*ROUNDUP(D394/2,0)),4)/2*Premissas!$B$28+2*IF(D394&lt;=19,3*D394,IF(D394&lt;=50,ROUNDUP(2.5*D394,0),2*D394))*Premissas!$B$29+IF(C394="Micro",G394*(Premissas!$B$31+Premissas!$B$32+4*Premissas!$B$30),G394*(INDEX(Premissas!$B$40:$B$71,MATCH(F394,Premissas!$A$40:$A$71,0))+INDEX(Premissas!$C$40:$C$71,MATCH(F394,Premissas!$A$40:$A$71,0))*Premissas!$B$30)))</f>
        <v/>
      </c>
      <c r="K394" s="24">
        <f>IF(J394&lt;Premissas!$B$36,MAX(Premissas!$B$33,J394*Premissas!$B$34),J394*Premissas!$B$35)</f>
        <v/>
      </c>
      <c r="L394" s="24">
        <f>ROUND(J394+K394,2)</f>
        <v/>
      </c>
      <c r="M394" s="24">
        <f>D394*Premissas!$B$8+Premissas!$B$9+Premissas!$B$10+Premissas!$B$11+Premissas!$B$12+ROUND(Premissas!$B$13*E394,2)</f>
        <v/>
      </c>
      <c r="N394" s="25">
        <f>ROUNDUP((L394+M394-Premissas!$B$5*L394)/(1-Premissas!$B$6-Premissas!$B$7-Premissas!$B$5-Premissas!$B$14),2)</f>
        <v/>
      </c>
      <c r="O394" s="24">
        <f>ROUND(IF(N394&lt;=30000,N394*(1+Premissas!$B$21),N394+Premissas!$B$21*30000*SQRT(N394/30000)),2)</f>
        <v/>
      </c>
      <c r="P394" s="24">
        <f>N394-I394</f>
        <v/>
      </c>
      <c r="Q394" s="26">
        <f>P394/I394</f>
        <v/>
      </c>
      <c r="R394" s="26">
        <f>(I394-L394-Premissas!$B$5*(I394-L394)-(Premissas!$B$6+Premissas!$B$7)*I394-M394)/I394</f>
        <v/>
      </c>
      <c r="S394" s="24">
        <f>ROUND((CEILING((L394*Premissas!$B$17/Premissas!$B$18-97)/100,1)*100+97)*Premissas!$B$18,2)</f>
        <v/>
      </c>
    </row>
    <row r="395">
      <c r="A395" s="17" t="inlineStr">
        <is>
          <t>KIT 101 MOD. 620W + INV. SOLIS 37,5KW</t>
        </is>
      </c>
      <c r="B395" s="17" t="inlineStr">
        <is>
          <t>SOLIS</t>
        </is>
      </c>
      <c r="C395" s="17" t="inlineStr">
        <is>
          <t>Inversor</t>
        </is>
      </c>
      <c r="D395" s="21" t="n">
        <v>101</v>
      </c>
      <c r="E395" s="30" t="n">
        <v>62.62</v>
      </c>
      <c r="F395" s="20" t="inlineStr">
        <is>
          <t>SOLIS S5-GC37.5K-LV TRI 220V</t>
        </is>
      </c>
      <c r="G395" s="21" t="n">
        <v>1</v>
      </c>
      <c r="H395" s="17" t="inlineStr">
        <is>
          <t>Sim</t>
        </is>
      </c>
      <c r="I395" s="23" t="n">
        <v>141851.85</v>
      </c>
      <c r="J395" s="24">
        <f>(D395*Premissas!$B$24+(2*ROUNDUP(D395/2,0))*Premissas!$B$26+INT((2*ROUNDUP(D395/2,0))/4)*Premissas!$B$27+MOD((2*ROUNDUP(D395/2,0)),4)/2*Premissas!$B$28+2*IF(D395&lt;=19,3*D395,IF(D395&lt;=50,ROUNDUP(2.5*D395,0),2*D395))*Premissas!$B$29+IF(C395="Micro",G395*(Premissas!$B$31+Premissas!$B$32+4*Premissas!$B$30),G395*(INDEX(Premissas!$B$40:$B$71,MATCH(F395,Premissas!$A$40:$A$71,0))+INDEX(Premissas!$C$40:$C$71,MATCH(F395,Premissas!$A$40:$A$71,0))*Premissas!$B$30)))</f>
        <v/>
      </c>
      <c r="K395" s="24">
        <f>IF(J395&lt;Premissas!$B$36,MAX(Premissas!$B$33,J395*Premissas!$B$34),J395*Premissas!$B$35)</f>
        <v/>
      </c>
      <c r="L395" s="24">
        <f>ROUND(J395+K395,2)</f>
        <v/>
      </c>
      <c r="M395" s="24">
        <f>D395*Premissas!$B$8+Premissas!$B$9+Premissas!$B$10+Premissas!$B$11+Premissas!$B$12+ROUND(Premissas!$B$13*E395,2)</f>
        <v/>
      </c>
      <c r="N395" s="25">
        <f>ROUNDUP((L395+M395-Premissas!$B$5*L395)/(1-Premissas!$B$6-Premissas!$B$7-Premissas!$B$5-Premissas!$B$14),2)</f>
        <v/>
      </c>
      <c r="O395" s="24">
        <f>ROUND(IF(N395&lt;=30000,N395*(1+Premissas!$B$21),N395+Premissas!$B$21*30000*SQRT(N395/30000)),2)</f>
        <v/>
      </c>
      <c r="P395" s="24">
        <f>N395-I395</f>
        <v/>
      </c>
      <c r="Q395" s="26">
        <f>P395/I395</f>
        <v/>
      </c>
      <c r="R395" s="26">
        <f>(I395-L395-Premissas!$B$5*(I395-L395)-(Premissas!$B$6+Premissas!$B$7)*I395-M395)/I395</f>
        <v/>
      </c>
      <c r="S395" s="24">
        <f>ROUND((CEILING((L395*Premissas!$B$17/Premissas!$B$18-97)/100,1)*100+97)*Premissas!$B$18,2)</f>
        <v/>
      </c>
    </row>
    <row r="396">
      <c r="A396" s="17" t="inlineStr">
        <is>
          <t>KIT 102 MOD. 620W + INV. SOLIS 37,5KW</t>
        </is>
      </c>
      <c r="B396" s="17" t="inlineStr">
        <is>
          <t>SOLIS</t>
        </is>
      </c>
      <c r="C396" s="17" t="inlineStr">
        <is>
          <t>Inversor</t>
        </is>
      </c>
      <c r="D396" s="21" t="n">
        <v>102</v>
      </c>
      <c r="E396" s="30" t="n">
        <v>63.24</v>
      </c>
      <c r="F396" s="20" t="inlineStr">
        <is>
          <t>SOLIS S5-GC37.5K-LV TRI 220V</t>
        </is>
      </c>
      <c r="G396" s="21" t="n">
        <v>1</v>
      </c>
      <c r="H396" s="17" t="inlineStr">
        <is>
          <t>Sim</t>
        </is>
      </c>
      <c r="I396" s="23" t="n">
        <v>142901.85</v>
      </c>
      <c r="J396" s="24">
        <f>(D396*Premissas!$B$24+(2*ROUNDUP(D396/2,0))*Premissas!$B$26+INT((2*ROUNDUP(D396/2,0))/4)*Premissas!$B$27+MOD((2*ROUNDUP(D396/2,0)),4)/2*Premissas!$B$28+2*IF(D396&lt;=19,3*D396,IF(D396&lt;=50,ROUNDUP(2.5*D396,0),2*D396))*Premissas!$B$29+IF(C396="Micro",G396*(Premissas!$B$31+Premissas!$B$32+4*Premissas!$B$30),G396*(INDEX(Premissas!$B$40:$B$71,MATCH(F396,Premissas!$A$40:$A$71,0))+INDEX(Premissas!$C$40:$C$71,MATCH(F396,Premissas!$A$40:$A$71,0))*Premissas!$B$30)))</f>
        <v/>
      </c>
      <c r="K396" s="24">
        <f>IF(J396&lt;Premissas!$B$36,MAX(Premissas!$B$33,J396*Premissas!$B$34),J396*Premissas!$B$35)</f>
        <v/>
      </c>
      <c r="L396" s="24">
        <f>ROUND(J396+K396,2)</f>
        <v/>
      </c>
      <c r="M396" s="24">
        <f>D396*Premissas!$B$8+Premissas!$B$9+Premissas!$B$10+Premissas!$B$11+Premissas!$B$12+ROUND(Premissas!$B$13*E396,2)</f>
        <v/>
      </c>
      <c r="N396" s="25">
        <f>ROUNDUP((L396+M396-Premissas!$B$5*L396)/(1-Premissas!$B$6-Premissas!$B$7-Premissas!$B$5-Premissas!$B$14),2)</f>
        <v/>
      </c>
      <c r="O396" s="24">
        <f>ROUND(IF(N396&lt;=30000,N396*(1+Premissas!$B$21),N396+Premissas!$B$21*30000*SQRT(N396/30000)),2)</f>
        <v/>
      </c>
      <c r="P396" s="24">
        <f>N396-I396</f>
        <v/>
      </c>
      <c r="Q396" s="26">
        <f>P396/I396</f>
        <v/>
      </c>
      <c r="R396" s="26">
        <f>(I396-L396-Premissas!$B$5*(I396-L396)-(Premissas!$B$6+Premissas!$B$7)*I396-M396)/I396</f>
        <v/>
      </c>
      <c r="S396" s="24">
        <f>ROUND((CEILING((L396*Premissas!$B$17/Premissas!$B$18-97)/100,1)*100+97)*Premissas!$B$18,2)</f>
        <v/>
      </c>
    </row>
    <row r="397">
      <c r="A397" s="17" t="inlineStr">
        <is>
          <t>KIT 103 MOD. 620W + INV. SOLIS 75KW</t>
        </is>
      </c>
      <c r="B397" s="17" t="inlineStr">
        <is>
          <t>SOLIS</t>
        </is>
      </c>
      <c r="C397" s="17" t="inlineStr">
        <is>
          <t>Inversor</t>
        </is>
      </c>
      <c r="D397" s="21" t="n">
        <v>103</v>
      </c>
      <c r="E397" s="30" t="n">
        <v>63.86</v>
      </c>
      <c r="F397" s="20" t="inlineStr">
        <is>
          <t>SOLIS S6-GC-75K-LV TRI 220V</t>
        </is>
      </c>
      <c r="G397" s="21" t="n">
        <v>1</v>
      </c>
      <c r="H397" s="17" t="inlineStr">
        <is>
          <t>Sim</t>
        </is>
      </c>
      <c r="I397" s="23" t="n">
        <v>158441.85</v>
      </c>
      <c r="J397" s="24">
        <f>(D397*Premissas!$B$24+(2*ROUNDUP(D397/2,0))*Premissas!$B$26+INT((2*ROUNDUP(D397/2,0))/4)*Premissas!$B$27+MOD((2*ROUNDUP(D397/2,0)),4)/2*Premissas!$B$28+2*IF(D397&lt;=19,3*D397,IF(D397&lt;=50,ROUNDUP(2.5*D397,0),2*D397))*Premissas!$B$29+IF(C397="Micro",G397*(Premissas!$B$31+Premissas!$B$32+4*Premissas!$B$30),G397*(INDEX(Premissas!$B$40:$B$71,MATCH(F397,Premissas!$A$40:$A$71,0))+INDEX(Premissas!$C$40:$C$71,MATCH(F397,Premissas!$A$40:$A$71,0))*Premissas!$B$30)))</f>
        <v/>
      </c>
      <c r="K397" s="24">
        <f>IF(J397&lt;Premissas!$B$36,MAX(Premissas!$B$33,J397*Premissas!$B$34),J397*Premissas!$B$35)</f>
        <v/>
      </c>
      <c r="L397" s="24">
        <f>ROUND(J397+K397,2)</f>
        <v/>
      </c>
      <c r="M397" s="24">
        <f>D397*Premissas!$B$8+Premissas!$B$9+Premissas!$B$10+Premissas!$B$11+Premissas!$B$12+ROUND(Premissas!$B$13*E397,2)</f>
        <v/>
      </c>
      <c r="N397" s="25">
        <f>ROUNDUP((L397+M397-Premissas!$B$5*L397)/(1-Premissas!$B$6-Premissas!$B$7-Premissas!$B$5-Premissas!$B$14),2)</f>
        <v/>
      </c>
      <c r="O397" s="24">
        <f>ROUND(IF(N397&lt;=30000,N397*(1+Premissas!$B$21),N397+Premissas!$B$21*30000*SQRT(N397/30000)),2)</f>
        <v/>
      </c>
      <c r="P397" s="24">
        <f>N397-I397</f>
        <v/>
      </c>
      <c r="Q397" s="26">
        <f>P397/I397</f>
        <v/>
      </c>
      <c r="R397" s="26">
        <f>(I397-L397-Premissas!$B$5*(I397-L397)-(Premissas!$B$6+Premissas!$B$7)*I397-M397)/I397</f>
        <v/>
      </c>
      <c r="S397" s="24">
        <f>ROUND((CEILING((L397*Premissas!$B$17/Premissas!$B$18-97)/100,1)*100+97)*Premissas!$B$18,2)</f>
        <v/>
      </c>
    </row>
    <row r="398">
      <c r="A398" s="17" t="inlineStr">
        <is>
          <t>KIT 104 MOD. 620W + INV. SOLIS 75KW</t>
        </is>
      </c>
      <c r="B398" s="17" t="inlineStr">
        <is>
          <t>SOLIS</t>
        </is>
      </c>
      <c r="C398" s="17" t="inlineStr">
        <is>
          <t>Inversor</t>
        </is>
      </c>
      <c r="D398" s="21" t="n">
        <v>104</v>
      </c>
      <c r="E398" s="30" t="n">
        <v>64.48</v>
      </c>
      <c r="F398" s="20" t="inlineStr">
        <is>
          <t>SOLIS S6-GC-75K-LV TRI 220V</t>
        </is>
      </c>
      <c r="G398" s="21" t="n">
        <v>1</v>
      </c>
      <c r="H398" s="17" t="inlineStr">
        <is>
          <t>Sim</t>
        </is>
      </c>
      <c r="I398" s="23" t="n">
        <v>159491.85</v>
      </c>
      <c r="J398" s="24">
        <f>(D398*Premissas!$B$24+(2*ROUNDUP(D398/2,0))*Premissas!$B$26+INT((2*ROUNDUP(D398/2,0))/4)*Premissas!$B$27+MOD((2*ROUNDUP(D398/2,0)),4)/2*Premissas!$B$28+2*IF(D398&lt;=19,3*D398,IF(D398&lt;=50,ROUNDUP(2.5*D398,0),2*D398))*Premissas!$B$29+IF(C398="Micro",G398*(Premissas!$B$31+Premissas!$B$32+4*Premissas!$B$30),G398*(INDEX(Premissas!$B$40:$B$71,MATCH(F398,Premissas!$A$40:$A$71,0))+INDEX(Premissas!$C$40:$C$71,MATCH(F398,Premissas!$A$40:$A$71,0))*Premissas!$B$30)))</f>
        <v/>
      </c>
      <c r="K398" s="24">
        <f>IF(J398&lt;Premissas!$B$36,MAX(Premissas!$B$33,J398*Premissas!$B$34),J398*Premissas!$B$35)</f>
        <v/>
      </c>
      <c r="L398" s="24">
        <f>ROUND(J398+K398,2)</f>
        <v/>
      </c>
      <c r="M398" s="24">
        <f>D398*Premissas!$B$8+Premissas!$B$9+Premissas!$B$10+Premissas!$B$11+Premissas!$B$12+ROUND(Premissas!$B$13*E398,2)</f>
        <v/>
      </c>
      <c r="N398" s="25">
        <f>ROUNDUP((L398+M398-Premissas!$B$5*L398)/(1-Premissas!$B$6-Premissas!$B$7-Premissas!$B$5-Premissas!$B$14),2)</f>
        <v/>
      </c>
      <c r="O398" s="24">
        <f>ROUND(IF(N398&lt;=30000,N398*(1+Premissas!$B$21),N398+Premissas!$B$21*30000*SQRT(N398/30000)),2)</f>
        <v/>
      </c>
      <c r="P398" s="24">
        <f>N398-I398</f>
        <v/>
      </c>
      <c r="Q398" s="26">
        <f>P398/I398</f>
        <v/>
      </c>
      <c r="R398" s="26">
        <f>(I398-L398-Premissas!$B$5*(I398-L398)-(Premissas!$B$6+Premissas!$B$7)*I398-M398)/I398</f>
        <v/>
      </c>
      <c r="S398" s="24">
        <f>ROUND((CEILING((L398*Premissas!$B$17/Premissas!$B$18-97)/100,1)*100+97)*Premissas!$B$18,2)</f>
        <v/>
      </c>
    </row>
    <row r="399">
      <c r="A399" s="17" t="inlineStr">
        <is>
          <t>KIT 105 MOD. 620W + INV. SOLIS 75KW</t>
        </is>
      </c>
      <c r="B399" s="17" t="inlineStr">
        <is>
          <t>SOLIS</t>
        </is>
      </c>
      <c r="C399" s="17" t="inlineStr">
        <is>
          <t>Inversor</t>
        </is>
      </c>
      <c r="D399" s="21" t="n">
        <v>105</v>
      </c>
      <c r="E399" s="30" t="n">
        <v>65.09999999999999</v>
      </c>
      <c r="F399" s="20" t="inlineStr">
        <is>
          <t>SOLIS S6-GC-75K-LV TRI 220V</t>
        </is>
      </c>
      <c r="G399" s="21" t="n">
        <v>1</v>
      </c>
      <c r="H399" s="17" t="inlineStr">
        <is>
          <t>Sim</t>
        </is>
      </c>
      <c r="I399" s="23" t="n">
        <v>160856.85</v>
      </c>
      <c r="J399" s="24">
        <f>(D399*Premissas!$B$24+(2*ROUNDUP(D399/2,0))*Premissas!$B$26+INT((2*ROUNDUP(D399/2,0))/4)*Premissas!$B$27+MOD((2*ROUNDUP(D399/2,0)),4)/2*Premissas!$B$28+2*IF(D399&lt;=19,3*D399,IF(D399&lt;=50,ROUNDUP(2.5*D399,0),2*D399))*Premissas!$B$29+IF(C399="Micro",G399*(Premissas!$B$31+Premissas!$B$32+4*Premissas!$B$30),G399*(INDEX(Premissas!$B$40:$B$71,MATCH(F399,Premissas!$A$40:$A$71,0))+INDEX(Premissas!$C$40:$C$71,MATCH(F399,Premissas!$A$40:$A$71,0))*Premissas!$B$30)))</f>
        <v/>
      </c>
      <c r="K399" s="24">
        <f>IF(J399&lt;Premissas!$B$36,MAX(Premissas!$B$33,J399*Premissas!$B$34),J399*Premissas!$B$35)</f>
        <v/>
      </c>
      <c r="L399" s="24">
        <f>ROUND(J399+K399,2)</f>
        <v/>
      </c>
      <c r="M399" s="24">
        <f>D399*Premissas!$B$8+Premissas!$B$9+Premissas!$B$10+Premissas!$B$11+Premissas!$B$12+ROUND(Premissas!$B$13*E399,2)</f>
        <v/>
      </c>
      <c r="N399" s="25">
        <f>ROUNDUP((L399+M399-Premissas!$B$5*L399)/(1-Premissas!$B$6-Premissas!$B$7-Premissas!$B$5-Premissas!$B$14),2)</f>
        <v/>
      </c>
      <c r="O399" s="24">
        <f>ROUND(IF(N399&lt;=30000,N399*(1+Premissas!$B$21),N399+Premissas!$B$21*30000*SQRT(N399/30000)),2)</f>
        <v/>
      </c>
      <c r="P399" s="24">
        <f>N399-I399</f>
        <v/>
      </c>
      <c r="Q399" s="26">
        <f>P399/I399</f>
        <v/>
      </c>
      <c r="R399" s="26">
        <f>(I399-L399-Premissas!$B$5*(I399-L399)-(Premissas!$B$6+Premissas!$B$7)*I399-M399)/I399</f>
        <v/>
      </c>
      <c r="S399" s="24">
        <f>ROUND((CEILING((L399*Premissas!$B$17/Premissas!$B$18-97)/100,1)*100+97)*Premissas!$B$18,2)</f>
        <v/>
      </c>
    </row>
    <row r="400">
      <c r="A400" s="17" t="inlineStr">
        <is>
          <t>KIT 106 MOD. 620W + INV. SOLIS 75KW</t>
        </is>
      </c>
      <c r="B400" s="17" t="inlineStr">
        <is>
          <t>SOLIS</t>
        </is>
      </c>
      <c r="C400" s="17" t="inlineStr">
        <is>
          <t>Inversor</t>
        </is>
      </c>
      <c r="D400" s="21" t="n">
        <v>106</v>
      </c>
      <c r="E400" s="30" t="n">
        <v>65.72</v>
      </c>
      <c r="F400" s="20" t="inlineStr">
        <is>
          <t>SOLIS S6-GC-75K-LV TRI 220V</t>
        </is>
      </c>
      <c r="G400" s="21" t="n">
        <v>1</v>
      </c>
      <c r="H400" s="17" t="inlineStr">
        <is>
          <t>Sim</t>
        </is>
      </c>
      <c r="I400" s="23" t="n">
        <v>161906.85</v>
      </c>
      <c r="J400" s="24">
        <f>(D400*Premissas!$B$24+(2*ROUNDUP(D400/2,0))*Premissas!$B$26+INT((2*ROUNDUP(D400/2,0))/4)*Premissas!$B$27+MOD((2*ROUNDUP(D400/2,0)),4)/2*Premissas!$B$28+2*IF(D400&lt;=19,3*D400,IF(D400&lt;=50,ROUNDUP(2.5*D400,0),2*D400))*Premissas!$B$29+IF(C400="Micro",G400*(Premissas!$B$31+Premissas!$B$32+4*Premissas!$B$30),G400*(INDEX(Premissas!$B$40:$B$71,MATCH(F400,Premissas!$A$40:$A$71,0))+INDEX(Premissas!$C$40:$C$71,MATCH(F400,Premissas!$A$40:$A$71,0))*Premissas!$B$30)))</f>
        <v/>
      </c>
      <c r="K400" s="24">
        <f>IF(J400&lt;Premissas!$B$36,MAX(Premissas!$B$33,J400*Premissas!$B$34),J400*Premissas!$B$35)</f>
        <v/>
      </c>
      <c r="L400" s="24">
        <f>ROUND(J400+K400,2)</f>
        <v/>
      </c>
      <c r="M400" s="24">
        <f>D400*Premissas!$B$8+Premissas!$B$9+Premissas!$B$10+Premissas!$B$11+Premissas!$B$12+ROUND(Premissas!$B$13*E400,2)</f>
        <v/>
      </c>
      <c r="N400" s="25">
        <f>ROUNDUP((L400+M400-Premissas!$B$5*L400)/(1-Premissas!$B$6-Premissas!$B$7-Premissas!$B$5-Premissas!$B$14),2)</f>
        <v/>
      </c>
      <c r="O400" s="24">
        <f>ROUND(IF(N400&lt;=30000,N400*(1+Premissas!$B$21),N400+Premissas!$B$21*30000*SQRT(N400/30000)),2)</f>
        <v/>
      </c>
      <c r="P400" s="24">
        <f>N400-I400</f>
        <v/>
      </c>
      <c r="Q400" s="26">
        <f>P400/I400</f>
        <v/>
      </c>
      <c r="R400" s="26">
        <f>(I400-L400-Premissas!$B$5*(I400-L400)-(Premissas!$B$6+Premissas!$B$7)*I400-M400)/I400</f>
        <v/>
      </c>
      <c r="S400" s="24">
        <f>ROUND((CEILING((L400*Premissas!$B$17/Premissas!$B$18-97)/100,1)*100+97)*Premissas!$B$18,2)</f>
        <v/>
      </c>
    </row>
    <row r="401">
      <c r="A401" s="17" t="inlineStr">
        <is>
          <t>KIT 107 MOD. 620W + INV. SOLIS 75KW</t>
        </is>
      </c>
      <c r="B401" s="17" t="inlineStr">
        <is>
          <t>SOLIS</t>
        </is>
      </c>
      <c r="C401" s="17" t="inlineStr">
        <is>
          <t>Inversor</t>
        </is>
      </c>
      <c r="D401" s="21" t="n">
        <v>107</v>
      </c>
      <c r="E401" s="30" t="n">
        <v>66.34</v>
      </c>
      <c r="F401" s="20" t="inlineStr">
        <is>
          <t>SOLIS S6-GC-75K-LV TRI 220V</t>
        </is>
      </c>
      <c r="G401" s="21" t="n">
        <v>1</v>
      </c>
      <c r="H401" s="17" t="inlineStr">
        <is>
          <t>Sim</t>
        </is>
      </c>
      <c r="I401" s="23" t="n">
        <v>163166.85</v>
      </c>
      <c r="J401" s="24">
        <f>(D401*Premissas!$B$24+(2*ROUNDUP(D401/2,0))*Premissas!$B$26+INT((2*ROUNDUP(D401/2,0))/4)*Premissas!$B$27+MOD((2*ROUNDUP(D401/2,0)),4)/2*Premissas!$B$28+2*IF(D401&lt;=19,3*D401,IF(D401&lt;=50,ROUNDUP(2.5*D401,0),2*D401))*Premissas!$B$29+IF(C401="Micro",G401*(Premissas!$B$31+Premissas!$B$32+4*Premissas!$B$30),G401*(INDEX(Premissas!$B$40:$B$71,MATCH(F401,Premissas!$A$40:$A$71,0))+INDEX(Premissas!$C$40:$C$71,MATCH(F401,Premissas!$A$40:$A$71,0))*Premissas!$B$30)))</f>
        <v/>
      </c>
      <c r="K401" s="24">
        <f>IF(J401&lt;Premissas!$B$36,MAX(Premissas!$B$33,J401*Premissas!$B$34),J401*Premissas!$B$35)</f>
        <v/>
      </c>
      <c r="L401" s="24">
        <f>ROUND(J401+K401,2)</f>
        <v/>
      </c>
      <c r="M401" s="24">
        <f>D401*Premissas!$B$8+Premissas!$B$9+Premissas!$B$10+Premissas!$B$11+Premissas!$B$12+ROUND(Premissas!$B$13*E401,2)</f>
        <v/>
      </c>
      <c r="N401" s="25">
        <f>ROUNDUP((L401+M401-Premissas!$B$5*L401)/(1-Premissas!$B$6-Premissas!$B$7-Premissas!$B$5-Premissas!$B$14),2)</f>
        <v/>
      </c>
      <c r="O401" s="24">
        <f>ROUND(IF(N401&lt;=30000,N401*(1+Premissas!$B$21),N401+Premissas!$B$21*30000*SQRT(N401/30000)),2)</f>
        <v/>
      </c>
      <c r="P401" s="24">
        <f>N401-I401</f>
        <v/>
      </c>
      <c r="Q401" s="26">
        <f>P401/I401</f>
        <v/>
      </c>
      <c r="R401" s="26">
        <f>(I401-L401-Premissas!$B$5*(I401-L401)-(Premissas!$B$6+Premissas!$B$7)*I401-M401)/I401</f>
        <v/>
      </c>
      <c r="S401" s="24">
        <f>ROUND((CEILING((L401*Premissas!$B$17/Premissas!$B$18-97)/100,1)*100+97)*Premissas!$B$18,2)</f>
        <v/>
      </c>
    </row>
    <row r="402">
      <c r="A402" s="17" t="inlineStr">
        <is>
          <t>KIT 108 MOD. 620W + INV. SOLIS 75KW</t>
        </is>
      </c>
      <c r="B402" s="17" t="inlineStr">
        <is>
          <t>SOLIS</t>
        </is>
      </c>
      <c r="C402" s="17" t="inlineStr">
        <is>
          <t>Inversor</t>
        </is>
      </c>
      <c r="D402" s="21" t="n">
        <v>108</v>
      </c>
      <c r="E402" s="30" t="n">
        <v>66.95999999999999</v>
      </c>
      <c r="F402" s="20" t="inlineStr">
        <is>
          <t>SOLIS S6-GC-75K-LV TRI 220V</t>
        </is>
      </c>
      <c r="G402" s="21" t="n">
        <v>1</v>
      </c>
      <c r="H402" s="17" t="inlineStr">
        <is>
          <t>Sim</t>
        </is>
      </c>
      <c r="I402" s="23" t="n">
        <v>164216.85</v>
      </c>
      <c r="J402" s="24">
        <f>(D402*Premissas!$B$24+(2*ROUNDUP(D402/2,0))*Premissas!$B$26+INT((2*ROUNDUP(D402/2,0))/4)*Premissas!$B$27+MOD((2*ROUNDUP(D402/2,0)),4)/2*Premissas!$B$28+2*IF(D402&lt;=19,3*D402,IF(D402&lt;=50,ROUNDUP(2.5*D402,0),2*D402))*Premissas!$B$29+IF(C402="Micro",G402*(Premissas!$B$31+Premissas!$B$32+4*Premissas!$B$30),G402*(INDEX(Premissas!$B$40:$B$71,MATCH(F402,Premissas!$A$40:$A$71,0))+INDEX(Premissas!$C$40:$C$71,MATCH(F402,Premissas!$A$40:$A$71,0))*Premissas!$B$30)))</f>
        <v/>
      </c>
      <c r="K402" s="24">
        <f>IF(J402&lt;Premissas!$B$36,MAX(Premissas!$B$33,J402*Premissas!$B$34),J402*Premissas!$B$35)</f>
        <v/>
      </c>
      <c r="L402" s="24">
        <f>ROUND(J402+K402,2)</f>
        <v/>
      </c>
      <c r="M402" s="24">
        <f>D402*Premissas!$B$8+Premissas!$B$9+Premissas!$B$10+Premissas!$B$11+Premissas!$B$12+ROUND(Premissas!$B$13*E402,2)</f>
        <v/>
      </c>
      <c r="N402" s="25">
        <f>ROUNDUP((L402+M402-Premissas!$B$5*L402)/(1-Premissas!$B$6-Premissas!$B$7-Premissas!$B$5-Premissas!$B$14),2)</f>
        <v/>
      </c>
      <c r="O402" s="24">
        <f>ROUND(IF(N402&lt;=30000,N402*(1+Premissas!$B$21),N402+Premissas!$B$21*30000*SQRT(N402/30000)),2)</f>
        <v/>
      </c>
      <c r="P402" s="24">
        <f>N402-I402</f>
        <v/>
      </c>
      <c r="Q402" s="26">
        <f>P402/I402</f>
        <v/>
      </c>
      <c r="R402" s="26">
        <f>(I402-L402-Premissas!$B$5*(I402-L402)-(Premissas!$B$6+Premissas!$B$7)*I402-M402)/I402</f>
        <v/>
      </c>
      <c r="S402" s="24">
        <f>ROUND((CEILING((L402*Premissas!$B$17/Premissas!$B$18-97)/100,1)*100+97)*Premissas!$B$18,2)</f>
        <v/>
      </c>
    </row>
    <row r="403">
      <c r="A403" s="17" t="inlineStr">
        <is>
          <t>KIT 109 MOD. 620W + INV. SOLIS 75KW</t>
        </is>
      </c>
      <c r="B403" s="17" t="inlineStr">
        <is>
          <t>SOLIS</t>
        </is>
      </c>
      <c r="C403" s="17" t="inlineStr">
        <is>
          <t>Inversor</t>
        </is>
      </c>
      <c r="D403" s="21" t="n">
        <v>109</v>
      </c>
      <c r="E403" s="30" t="n">
        <v>67.58</v>
      </c>
      <c r="F403" s="20" t="inlineStr">
        <is>
          <t>SOLIS S6-GC-75K-LV TRI 220V</t>
        </is>
      </c>
      <c r="G403" s="21" t="n">
        <v>1</v>
      </c>
      <c r="H403" s="17" t="inlineStr">
        <is>
          <t>Sim</t>
        </is>
      </c>
      <c r="I403" s="23" t="n">
        <v>165581.85</v>
      </c>
      <c r="J403" s="24">
        <f>(D403*Premissas!$B$24+(2*ROUNDUP(D403/2,0))*Premissas!$B$26+INT((2*ROUNDUP(D403/2,0))/4)*Premissas!$B$27+MOD((2*ROUNDUP(D403/2,0)),4)/2*Premissas!$B$28+2*IF(D403&lt;=19,3*D403,IF(D403&lt;=50,ROUNDUP(2.5*D403,0),2*D403))*Premissas!$B$29+IF(C403="Micro",G403*(Premissas!$B$31+Premissas!$B$32+4*Premissas!$B$30),G403*(INDEX(Premissas!$B$40:$B$71,MATCH(F403,Premissas!$A$40:$A$71,0))+INDEX(Premissas!$C$40:$C$71,MATCH(F403,Premissas!$A$40:$A$71,0))*Premissas!$B$30)))</f>
        <v/>
      </c>
      <c r="K403" s="24">
        <f>IF(J403&lt;Premissas!$B$36,MAX(Premissas!$B$33,J403*Premissas!$B$34),J403*Premissas!$B$35)</f>
        <v/>
      </c>
      <c r="L403" s="24">
        <f>ROUND(J403+K403,2)</f>
        <v/>
      </c>
      <c r="M403" s="24">
        <f>D403*Premissas!$B$8+Premissas!$B$9+Premissas!$B$10+Premissas!$B$11+Premissas!$B$12+ROUND(Premissas!$B$13*E403,2)</f>
        <v/>
      </c>
      <c r="N403" s="25">
        <f>ROUNDUP((L403+M403-Premissas!$B$5*L403)/(1-Premissas!$B$6-Premissas!$B$7-Premissas!$B$5-Premissas!$B$14),2)</f>
        <v/>
      </c>
      <c r="O403" s="24">
        <f>ROUND(IF(N403&lt;=30000,N403*(1+Premissas!$B$21),N403+Premissas!$B$21*30000*SQRT(N403/30000)),2)</f>
        <v/>
      </c>
      <c r="P403" s="24">
        <f>N403-I403</f>
        <v/>
      </c>
      <c r="Q403" s="26">
        <f>P403/I403</f>
        <v/>
      </c>
      <c r="R403" s="26">
        <f>(I403-L403-Premissas!$B$5*(I403-L403)-(Premissas!$B$6+Premissas!$B$7)*I403-M403)/I403</f>
        <v/>
      </c>
      <c r="S403" s="24">
        <f>ROUND((CEILING((L403*Premissas!$B$17/Premissas!$B$18-97)/100,1)*100+97)*Premissas!$B$18,2)</f>
        <v/>
      </c>
    </row>
    <row r="404">
      <c r="A404" s="17" t="inlineStr">
        <is>
          <t>KIT 110 MOD. 620W + INV. SOLIS 75KW</t>
        </is>
      </c>
      <c r="B404" s="17" t="inlineStr">
        <is>
          <t>SOLIS</t>
        </is>
      </c>
      <c r="C404" s="17" t="inlineStr">
        <is>
          <t>Inversor</t>
        </is>
      </c>
      <c r="D404" s="21" t="n">
        <v>110</v>
      </c>
      <c r="E404" s="30" t="n">
        <v>68.2</v>
      </c>
      <c r="F404" s="20" t="inlineStr">
        <is>
          <t>SOLIS S6-GC-75K-LV TRI 220V</t>
        </is>
      </c>
      <c r="G404" s="21" t="n">
        <v>1</v>
      </c>
      <c r="H404" s="17" t="inlineStr">
        <is>
          <t>Sim</t>
        </is>
      </c>
      <c r="I404" s="23" t="n">
        <v>166631.85</v>
      </c>
      <c r="J404" s="24">
        <f>(D404*Premissas!$B$24+(2*ROUNDUP(D404/2,0))*Premissas!$B$26+INT((2*ROUNDUP(D404/2,0))/4)*Premissas!$B$27+MOD((2*ROUNDUP(D404/2,0)),4)/2*Premissas!$B$28+2*IF(D404&lt;=19,3*D404,IF(D404&lt;=50,ROUNDUP(2.5*D404,0),2*D404))*Premissas!$B$29+IF(C404="Micro",G404*(Premissas!$B$31+Premissas!$B$32+4*Premissas!$B$30),G404*(INDEX(Premissas!$B$40:$B$71,MATCH(F404,Premissas!$A$40:$A$71,0))+INDEX(Premissas!$C$40:$C$71,MATCH(F404,Premissas!$A$40:$A$71,0))*Premissas!$B$30)))</f>
        <v/>
      </c>
      <c r="K404" s="24">
        <f>IF(J404&lt;Premissas!$B$36,MAX(Premissas!$B$33,J404*Premissas!$B$34),J404*Premissas!$B$35)</f>
        <v/>
      </c>
      <c r="L404" s="24">
        <f>ROUND(J404+K404,2)</f>
        <v/>
      </c>
      <c r="M404" s="24">
        <f>D404*Premissas!$B$8+Premissas!$B$9+Premissas!$B$10+Premissas!$B$11+Premissas!$B$12+ROUND(Premissas!$B$13*E404,2)</f>
        <v/>
      </c>
      <c r="N404" s="25">
        <f>ROUNDUP((L404+M404-Premissas!$B$5*L404)/(1-Premissas!$B$6-Premissas!$B$7-Premissas!$B$5-Premissas!$B$14),2)</f>
        <v/>
      </c>
      <c r="O404" s="24">
        <f>ROUND(IF(N404&lt;=30000,N404*(1+Premissas!$B$21),N404+Premissas!$B$21*30000*SQRT(N404/30000)),2)</f>
        <v/>
      </c>
      <c r="P404" s="24">
        <f>N404-I404</f>
        <v/>
      </c>
      <c r="Q404" s="26">
        <f>P404/I404</f>
        <v/>
      </c>
      <c r="R404" s="26">
        <f>(I404-L404-Premissas!$B$5*(I404-L404)-(Premissas!$B$6+Premissas!$B$7)*I404-M404)/I404</f>
        <v/>
      </c>
      <c r="S404" s="24">
        <f>ROUND((CEILING((L404*Premissas!$B$17/Premissas!$B$18-97)/100,1)*100+97)*Premissas!$B$18,2)</f>
        <v/>
      </c>
    </row>
    <row r="405">
      <c r="A405" s="17" t="inlineStr">
        <is>
          <t>KIT 111 MOD. 620W + INV. SOLIS 75KW</t>
        </is>
      </c>
      <c r="B405" s="17" t="inlineStr">
        <is>
          <t>SOLIS</t>
        </is>
      </c>
      <c r="C405" s="17" t="inlineStr">
        <is>
          <t>Inversor</t>
        </is>
      </c>
      <c r="D405" s="21" t="n">
        <v>111</v>
      </c>
      <c r="E405" s="30" t="n">
        <v>68.81999999999999</v>
      </c>
      <c r="F405" s="20" t="inlineStr">
        <is>
          <t>SOLIS S6-GC-75K-LV TRI 220V</t>
        </is>
      </c>
      <c r="G405" s="21" t="n">
        <v>1</v>
      </c>
      <c r="H405" s="17" t="inlineStr">
        <is>
          <t>Sim</t>
        </is>
      </c>
      <c r="I405" s="23" t="n">
        <v>167996.85</v>
      </c>
      <c r="J405" s="24">
        <f>(D405*Premissas!$B$24+(2*ROUNDUP(D405/2,0))*Premissas!$B$26+INT((2*ROUNDUP(D405/2,0))/4)*Premissas!$B$27+MOD((2*ROUNDUP(D405/2,0)),4)/2*Premissas!$B$28+2*IF(D405&lt;=19,3*D405,IF(D405&lt;=50,ROUNDUP(2.5*D405,0),2*D405))*Premissas!$B$29+IF(C405="Micro",G405*(Premissas!$B$31+Premissas!$B$32+4*Premissas!$B$30),G405*(INDEX(Premissas!$B$40:$B$71,MATCH(F405,Premissas!$A$40:$A$71,0))+INDEX(Premissas!$C$40:$C$71,MATCH(F405,Premissas!$A$40:$A$71,0))*Premissas!$B$30)))</f>
        <v/>
      </c>
      <c r="K405" s="24">
        <f>IF(J405&lt;Premissas!$B$36,MAX(Premissas!$B$33,J405*Premissas!$B$34),J405*Premissas!$B$35)</f>
        <v/>
      </c>
      <c r="L405" s="24">
        <f>ROUND(J405+K405,2)</f>
        <v/>
      </c>
      <c r="M405" s="24">
        <f>D405*Premissas!$B$8+Premissas!$B$9+Premissas!$B$10+Premissas!$B$11+Premissas!$B$12+ROUND(Premissas!$B$13*E405,2)</f>
        <v/>
      </c>
      <c r="N405" s="25">
        <f>ROUNDUP((L405+M405-Premissas!$B$5*L405)/(1-Premissas!$B$6-Premissas!$B$7-Premissas!$B$5-Premissas!$B$14),2)</f>
        <v/>
      </c>
      <c r="O405" s="24">
        <f>ROUND(IF(N405&lt;=30000,N405*(1+Premissas!$B$21),N405+Premissas!$B$21*30000*SQRT(N405/30000)),2)</f>
        <v/>
      </c>
      <c r="P405" s="24">
        <f>N405-I405</f>
        <v/>
      </c>
      <c r="Q405" s="26">
        <f>P405/I405</f>
        <v/>
      </c>
      <c r="R405" s="26">
        <f>(I405-L405-Premissas!$B$5*(I405-L405)-(Premissas!$B$6+Premissas!$B$7)*I405-M405)/I405</f>
        <v/>
      </c>
      <c r="S405" s="24">
        <f>ROUND((CEILING((L405*Premissas!$B$17/Premissas!$B$18-97)/100,1)*100+97)*Premissas!$B$18,2)</f>
        <v/>
      </c>
    </row>
    <row r="406">
      <c r="A406" s="17" t="inlineStr">
        <is>
          <t>KIT 112 MOD. 620W + INV. SOLIS 75KW</t>
        </is>
      </c>
      <c r="B406" s="17" t="inlineStr">
        <is>
          <t>SOLIS</t>
        </is>
      </c>
      <c r="C406" s="17" t="inlineStr">
        <is>
          <t>Inversor</t>
        </is>
      </c>
      <c r="D406" s="21" t="n">
        <v>112</v>
      </c>
      <c r="E406" s="30" t="n">
        <v>69.44</v>
      </c>
      <c r="F406" s="20" t="inlineStr">
        <is>
          <t>SOLIS S6-GC-75K-LV TRI 220V</t>
        </is>
      </c>
      <c r="G406" s="21" t="n">
        <v>1</v>
      </c>
      <c r="H406" s="17" t="inlineStr">
        <is>
          <t>Sim</t>
        </is>
      </c>
      <c r="I406" s="23" t="n">
        <v>169046.85</v>
      </c>
      <c r="J406" s="24">
        <f>(D406*Premissas!$B$24+(2*ROUNDUP(D406/2,0))*Premissas!$B$26+INT((2*ROUNDUP(D406/2,0))/4)*Premissas!$B$27+MOD((2*ROUNDUP(D406/2,0)),4)/2*Premissas!$B$28+2*IF(D406&lt;=19,3*D406,IF(D406&lt;=50,ROUNDUP(2.5*D406,0),2*D406))*Premissas!$B$29+IF(C406="Micro",G406*(Premissas!$B$31+Premissas!$B$32+4*Premissas!$B$30),G406*(INDEX(Premissas!$B$40:$B$71,MATCH(F406,Premissas!$A$40:$A$71,0))+INDEX(Premissas!$C$40:$C$71,MATCH(F406,Premissas!$A$40:$A$71,0))*Premissas!$B$30)))</f>
        <v/>
      </c>
      <c r="K406" s="24">
        <f>IF(J406&lt;Premissas!$B$36,MAX(Premissas!$B$33,J406*Premissas!$B$34),J406*Premissas!$B$35)</f>
        <v/>
      </c>
      <c r="L406" s="24">
        <f>ROUND(J406+K406,2)</f>
        <v/>
      </c>
      <c r="M406" s="24">
        <f>D406*Premissas!$B$8+Premissas!$B$9+Premissas!$B$10+Premissas!$B$11+Premissas!$B$12+ROUND(Premissas!$B$13*E406,2)</f>
        <v/>
      </c>
      <c r="N406" s="25">
        <f>ROUNDUP((L406+M406-Premissas!$B$5*L406)/(1-Premissas!$B$6-Premissas!$B$7-Premissas!$B$5-Premissas!$B$14),2)</f>
        <v/>
      </c>
      <c r="O406" s="24">
        <f>ROUND(IF(N406&lt;=30000,N406*(1+Premissas!$B$21),N406+Premissas!$B$21*30000*SQRT(N406/30000)),2)</f>
        <v/>
      </c>
      <c r="P406" s="24">
        <f>N406-I406</f>
        <v/>
      </c>
      <c r="Q406" s="26">
        <f>P406/I406</f>
        <v/>
      </c>
      <c r="R406" s="26">
        <f>(I406-L406-Premissas!$B$5*(I406-L406)-(Premissas!$B$6+Premissas!$B$7)*I406-M406)/I406</f>
        <v/>
      </c>
      <c r="S406" s="24">
        <f>ROUND((CEILING((L406*Premissas!$B$17/Premissas!$B$18-97)/100,1)*100+97)*Premissas!$B$18,2)</f>
        <v/>
      </c>
    </row>
    <row r="407">
      <c r="A407" s="17" t="inlineStr">
        <is>
          <t>KIT 113 MOD. 620W + INV. SOLIS 75KW</t>
        </is>
      </c>
      <c r="B407" s="17" t="inlineStr">
        <is>
          <t>SOLIS</t>
        </is>
      </c>
      <c r="C407" s="17" t="inlineStr">
        <is>
          <t>Inversor</t>
        </is>
      </c>
      <c r="D407" s="21" t="n">
        <v>113</v>
      </c>
      <c r="E407" s="30" t="n">
        <v>70.06</v>
      </c>
      <c r="F407" s="20" t="inlineStr">
        <is>
          <t>SOLIS S6-GC-75K-LV TRI 220V</t>
        </is>
      </c>
      <c r="G407" s="21" t="n">
        <v>1</v>
      </c>
      <c r="H407" s="17" t="inlineStr">
        <is>
          <t>Sim</t>
        </is>
      </c>
      <c r="I407" s="23" t="n">
        <v>170306.85</v>
      </c>
      <c r="J407" s="24">
        <f>(D407*Premissas!$B$24+(2*ROUNDUP(D407/2,0))*Premissas!$B$26+INT((2*ROUNDUP(D407/2,0))/4)*Premissas!$B$27+MOD((2*ROUNDUP(D407/2,0)),4)/2*Premissas!$B$28+2*IF(D407&lt;=19,3*D407,IF(D407&lt;=50,ROUNDUP(2.5*D407,0),2*D407))*Premissas!$B$29+IF(C407="Micro",G407*(Premissas!$B$31+Premissas!$B$32+4*Premissas!$B$30),G407*(INDEX(Premissas!$B$40:$B$71,MATCH(F407,Premissas!$A$40:$A$71,0))+INDEX(Premissas!$C$40:$C$71,MATCH(F407,Premissas!$A$40:$A$71,0))*Premissas!$B$30)))</f>
        <v/>
      </c>
      <c r="K407" s="24">
        <f>IF(J407&lt;Premissas!$B$36,MAX(Premissas!$B$33,J407*Premissas!$B$34),J407*Premissas!$B$35)</f>
        <v/>
      </c>
      <c r="L407" s="24">
        <f>ROUND(J407+K407,2)</f>
        <v/>
      </c>
      <c r="M407" s="24">
        <f>D407*Premissas!$B$8+Premissas!$B$9+Premissas!$B$10+Premissas!$B$11+Premissas!$B$12+ROUND(Premissas!$B$13*E407,2)</f>
        <v/>
      </c>
      <c r="N407" s="25">
        <f>ROUNDUP((L407+M407-Premissas!$B$5*L407)/(1-Premissas!$B$6-Premissas!$B$7-Premissas!$B$5-Premissas!$B$14),2)</f>
        <v/>
      </c>
      <c r="O407" s="24">
        <f>ROUND(IF(N407&lt;=30000,N407*(1+Premissas!$B$21),N407+Premissas!$B$21*30000*SQRT(N407/30000)),2)</f>
        <v/>
      </c>
      <c r="P407" s="24">
        <f>N407-I407</f>
        <v/>
      </c>
      <c r="Q407" s="26">
        <f>P407/I407</f>
        <v/>
      </c>
      <c r="R407" s="26">
        <f>(I407-L407-Premissas!$B$5*(I407-L407)-(Premissas!$B$6+Premissas!$B$7)*I407-M407)/I407</f>
        <v/>
      </c>
      <c r="S407" s="24">
        <f>ROUND((CEILING((L407*Premissas!$B$17/Premissas!$B$18-97)/100,1)*100+97)*Premissas!$B$18,2)</f>
        <v/>
      </c>
    </row>
    <row r="408">
      <c r="A408" s="17" t="inlineStr">
        <is>
          <t>KIT 114 MOD. 620W + INV. SOLIS 75KW</t>
        </is>
      </c>
      <c r="B408" s="17" t="inlineStr">
        <is>
          <t>SOLIS</t>
        </is>
      </c>
      <c r="C408" s="17" t="inlineStr">
        <is>
          <t>Inversor</t>
        </is>
      </c>
      <c r="D408" s="21" t="n">
        <v>114</v>
      </c>
      <c r="E408" s="30" t="n">
        <v>70.68000000000001</v>
      </c>
      <c r="F408" s="20" t="inlineStr">
        <is>
          <t>SOLIS S6-GC-75K-LV TRI 220V</t>
        </is>
      </c>
      <c r="G408" s="21" t="n">
        <v>1</v>
      </c>
      <c r="H408" s="17" t="inlineStr">
        <is>
          <t>Sim</t>
        </is>
      </c>
      <c r="I408" s="23" t="n">
        <v>171356.85</v>
      </c>
      <c r="J408" s="24">
        <f>(D408*Premissas!$B$24+(2*ROUNDUP(D408/2,0))*Premissas!$B$26+INT((2*ROUNDUP(D408/2,0))/4)*Premissas!$B$27+MOD((2*ROUNDUP(D408/2,0)),4)/2*Premissas!$B$28+2*IF(D408&lt;=19,3*D408,IF(D408&lt;=50,ROUNDUP(2.5*D408,0),2*D408))*Premissas!$B$29+IF(C408="Micro",G408*(Premissas!$B$31+Premissas!$B$32+4*Premissas!$B$30),G408*(INDEX(Premissas!$B$40:$B$71,MATCH(F408,Premissas!$A$40:$A$71,0))+INDEX(Premissas!$C$40:$C$71,MATCH(F408,Premissas!$A$40:$A$71,0))*Premissas!$B$30)))</f>
        <v/>
      </c>
      <c r="K408" s="24">
        <f>IF(J408&lt;Premissas!$B$36,MAX(Premissas!$B$33,J408*Premissas!$B$34),J408*Premissas!$B$35)</f>
        <v/>
      </c>
      <c r="L408" s="24">
        <f>ROUND(J408+K408,2)</f>
        <v/>
      </c>
      <c r="M408" s="24">
        <f>D408*Premissas!$B$8+Premissas!$B$9+Premissas!$B$10+Premissas!$B$11+Premissas!$B$12+ROUND(Premissas!$B$13*E408,2)</f>
        <v/>
      </c>
      <c r="N408" s="25">
        <f>ROUNDUP((L408+M408-Premissas!$B$5*L408)/(1-Premissas!$B$6-Premissas!$B$7-Premissas!$B$5-Premissas!$B$14),2)</f>
        <v/>
      </c>
      <c r="O408" s="24">
        <f>ROUND(IF(N408&lt;=30000,N408*(1+Premissas!$B$21),N408+Premissas!$B$21*30000*SQRT(N408/30000)),2)</f>
        <v/>
      </c>
      <c r="P408" s="24">
        <f>N408-I408</f>
        <v/>
      </c>
      <c r="Q408" s="26">
        <f>P408/I408</f>
        <v/>
      </c>
      <c r="R408" s="26">
        <f>(I408-L408-Premissas!$B$5*(I408-L408)-(Premissas!$B$6+Premissas!$B$7)*I408-M408)/I408</f>
        <v/>
      </c>
      <c r="S408" s="24">
        <f>ROUND((CEILING((L408*Premissas!$B$17/Premissas!$B$18-97)/100,1)*100+97)*Premissas!$B$18,2)</f>
        <v/>
      </c>
    </row>
    <row r="409">
      <c r="A409" s="17" t="inlineStr">
        <is>
          <t>KIT 115 MOD. 620W + INV. SOLIS 75KW</t>
        </is>
      </c>
      <c r="B409" s="17" t="inlineStr">
        <is>
          <t>SOLIS</t>
        </is>
      </c>
      <c r="C409" s="17" t="inlineStr">
        <is>
          <t>Inversor</t>
        </is>
      </c>
      <c r="D409" s="21" t="n">
        <v>115</v>
      </c>
      <c r="E409" s="30" t="n">
        <v>71.3</v>
      </c>
      <c r="F409" s="20" t="inlineStr">
        <is>
          <t>SOLIS S6-GC-75K-LV TRI 220V</t>
        </is>
      </c>
      <c r="G409" s="21" t="n">
        <v>1</v>
      </c>
      <c r="H409" s="17" t="inlineStr">
        <is>
          <t>Sim</t>
        </is>
      </c>
      <c r="I409" s="23" t="n">
        <v>172721.85</v>
      </c>
      <c r="J409" s="24">
        <f>(D409*Premissas!$B$24+(2*ROUNDUP(D409/2,0))*Premissas!$B$26+INT((2*ROUNDUP(D409/2,0))/4)*Premissas!$B$27+MOD((2*ROUNDUP(D409/2,0)),4)/2*Premissas!$B$28+2*IF(D409&lt;=19,3*D409,IF(D409&lt;=50,ROUNDUP(2.5*D409,0),2*D409))*Premissas!$B$29+IF(C409="Micro",G409*(Premissas!$B$31+Premissas!$B$32+4*Premissas!$B$30),G409*(INDEX(Premissas!$B$40:$B$71,MATCH(F409,Premissas!$A$40:$A$71,0))+INDEX(Premissas!$C$40:$C$71,MATCH(F409,Premissas!$A$40:$A$71,0))*Premissas!$B$30)))</f>
        <v/>
      </c>
      <c r="K409" s="24">
        <f>IF(J409&lt;Premissas!$B$36,MAX(Premissas!$B$33,J409*Premissas!$B$34),J409*Premissas!$B$35)</f>
        <v/>
      </c>
      <c r="L409" s="24">
        <f>ROUND(J409+K409,2)</f>
        <v/>
      </c>
      <c r="M409" s="24">
        <f>D409*Premissas!$B$8+Premissas!$B$9+Premissas!$B$10+Premissas!$B$11+Premissas!$B$12+ROUND(Premissas!$B$13*E409,2)</f>
        <v/>
      </c>
      <c r="N409" s="25">
        <f>ROUNDUP((L409+M409-Premissas!$B$5*L409)/(1-Premissas!$B$6-Premissas!$B$7-Premissas!$B$5-Premissas!$B$14),2)</f>
        <v/>
      </c>
      <c r="O409" s="24">
        <f>ROUND(IF(N409&lt;=30000,N409*(1+Premissas!$B$21),N409+Premissas!$B$21*30000*SQRT(N409/30000)),2)</f>
        <v/>
      </c>
      <c r="P409" s="24">
        <f>N409-I409</f>
        <v/>
      </c>
      <c r="Q409" s="26">
        <f>P409/I409</f>
        <v/>
      </c>
      <c r="R409" s="26">
        <f>(I409-L409-Premissas!$B$5*(I409-L409)-(Premissas!$B$6+Premissas!$B$7)*I409-M409)/I409</f>
        <v/>
      </c>
      <c r="S409" s="24">
        <f>ROUND((CEILING((L409*Premissas!$B$17/Premissas!$B$18-97)/100,1)*100+97)*Premissas!$B$18,2)</f>
        <v/>
      </c>
    </row>
    <row r="410">
      <c r="A410" s="17" t="inlineStr">
        <is>
          <t>KIT 116 MOD. 620W + INV. SOLIS 75KW</t>
        </is>
      </c>
      <c r="B410" s="17" t="inlineStr">
        <is>
          <t>SOLIS</t>
        </is>
      </c>
      <c r="C410" s="17" t="inlineStr">
        <is>
          <t>Inversor</t>
        </is>
      </c>
      <c r="D410" s="21" t="n">
        <v>116</v>
      </c>
      <c r="E410" s="30" t="n">
        <v>71.92</v>
      </c>
      <c r="F410" s="20" t="inlineStr">
        <is>
          <t>SOLIS S6-GC-75K-LV TRI 220V</t>
        </is>
      </c>
      <c r="G410" s="21" t="n">
        <v>1</v>
      </c>
      <c r="H410" s="17" t="inlineStr">
        <is>
          <t>Sim</t>
        </is>
      </c>
      <c r="I410" s="23" t="n">
        <v>173771.85</v>
      </c>
      <c r="J410" s="24">
        <f>(D410*Premissas!$B$24+(2*ROUNDUP(D410/2,0))*Premissas!$B$26+INT((2*ROUNDUP(D410/2,0))/4)*Premissas!$B$27+MOD((2*ROUNDUP(D410/2,0)),4)/2*Premissas!$B$28+2*IF(D410&lt;=19,3*D410,IF(D410&lt;=50,ROUNDUP(2.5*D410,0),2*D410))*Premissas!$B$29+IF(C410="Micro",G410*(Premissas!$B$31+Premissas!$B$32+4*Premissas!$B$30),G410*(INDEX(Premissas!$B$40:$B$71,MATCH(F410,Premissas!$A$40:$A$71,0))+INDEX(Premissas!$C$40:$C$71,MATCH(F410,Premissas!$A$40:$A$71,0))*Premissas!$B$30)))</f>
        <v/>
      </c>
      <c r="K410" s="24">
        <f>IF(J410&lt;Premissas!$B$36,MAX(Premissas!$B$33,J410*Premissas!$B$34),J410*Premissas!$B$35)</f>
        <v/>
      </c>
      <c r="L410" s="24">
        <f>ROUND(J410+K410,2)</f>
        <v/>
      </c>
      <c r="M410" s="24">
        <f>D410*Premissas!$B$8+Premissas!$B$9+Premissas!$B$10+Premissas!$B$11+Premissas!$B$12+ROUND(Premissas!$B$13*E410,2)</f>
        <v/>
      </c>
      <c r="N410" s="25">
        <f>ROUNDUP((L410+M410-Premissas!$B$5*L410)/(1-Premissas!$B$6-Premissas!$B$7-Premissas!$B$5-Premissas!$B$14),2)</f>
        <v/>
      </c>
      <c r="O410" s="24">
        <f>ROUND(IF(N410&lt;=30000,N410*(1+Premissas!$B$21),N410+Premissas!$B$21*30000*SQRT(N410/30000)),2)</f>
        <v/>
      </c>
      <c r="P410" s="24">
        <f>N410-I410</f>
        <v/>
      </c>
      <c r="Q410" s="26">
        <f>P410/I410</f>
        <v/>
      </c>
      <c r="R410" s="26">
        <f>(I410-L410-Premissas!$B$5*(I410-L410)-(Premissas!$B$6+Premissas!$B$7)*I410-M410)/I410</f>
        <v/>
      </c>
      <c r="S410" s="24">
        <f>ROUND((CEILING((L410*Premissas!$B$17/Premissas!$B$18-97)/100,1)*100+97)*Premissas!$B$18,2)</f>
        <v/>
      </c>
    </row>
    <row r="411">
      <c r="A411" s="17" t="inlineStr">
        <is>
          <t>KIT 117 MOD. 620W + INV. SOLIS 75KW</t>
        </is>
      </c>
      <c r="B411" s="17" t="inlineStr">
        <is>
          <t>SOLIS</t>
        </is>
      </c>
      <c r="C411" s="17" t="inlineStr">
        <is>
          <t>Inversor</t>
        </is>
      </c>
      <c r="D411" s="21" t="n">
        <v>117</v>
      </c>
      <c r="E411" s="30" t="n">
        <v>72.54000000000001</v>
      </c>
      <c r="F411" s="20" t="inlineStr">
        <is>
          <t>SOLIS S6-GC-75K-LV TRI 220V</t>
        </is>
      </c>
      <c r="G411" s="21" t="n">
        <v>1</v>
      </c>
      <c r="H411" s="17" t="inlineStr">
        <is>
          <t>Sim</t>
        </is>
      </c>
      <c r="I411" s="23" t="n">
        <v>175136.85</v>
      </c>
      <c r="J411" s="24">
        <f>(D411*Premissas!$B$24+(2*ROUNDUP(D411/2,0))*Premissas!$B$26+INT((2*ROUNDUP(D411/2,0))/4)*Premissas!$B$27+MOD((2*ROUNDUP(D411/2,0)),4)/2*Premissas!$B$28+2*IF(D411&lt;=19,3*D411,IF(D411&lt;=50,ROUNDUP(2.5*D411,0),2*D411))*Premissas!$B$29+IF(C411="Micro",G411*(Premissas!$B$31+Premissas!$B$32+4*Premissas!$B$30),G411*(INDEX(Premissas!$B$40:$B$71,MATCH(F411,Premissas!$A$40:$A$71,0))+INDEX(Premissas!$C$40:$C$71,MATCH(F411,Premissas!$A$40:$A$71,0))*Premissas!$B$30)))</f>
        <v/>
      </c>
      <c r="K411" s="24">
        <f>IF(J411&lt;Premissas!$B$36,MAX(Premissas!$B$33,J411*Premissas!$B$34),J411*Premissas!$B$35)</f>
        <v/>
      </c>
      <c r="L411" s="24">
        <f>ROUND(J411+K411,2)</f>
        <v/>
      </c>
      <c r="M411" s="24">
        <f>D411*Premissas!$B$8+Premissas!$B$9+Premissas!$B$10+Premissas!$B$11+Premissas!$B$12+ROUND(Premissas!$B$13*E411,2)</f>
        <v/>
      </c>
      <c r="N411" s="25">
        <f>ROUNDUP((L411+M411-Premissas!$B$5*L411)/(1-Premissas!$B$6-Premissas!$B$7-Premissas!$B$5-Premissas!$B$14),2)</f>
        <v/>
      </c>
      <c r="O411" s="24">
        <f>ROUND(IF(N411&lt;=30000,N411*(1+Premissas!$B$21),N411+Premissas!$B$21*30000*SQRT(N411/30000)),2)</f>
        <v/>
      </c>
      <c r="P411" s="24">
        <f>N411-I411</f>
        <v/>
      </c>
      <c r="Q411" s="26">
        <f>P411/I411</f>
        <v/>
      </c>
      <c r="R411" s="26">
        <f>(I411-L411-Premissas!$B$5*(I411-L411)-(Premissas!$B$6+Premissas!$B$7)*I411-M411)/I411</f>
        <v/>
      </c>
      <c r="S411" s="24">
        <f>ROUND((CEILING((L411*Premissas!$B$17/Premissas!$B$18-97)/100,1)*100+97)*Premissas!$B$18,2)</f>
        <v/>
      </c>
    </row>
    <row r="412">
      <c r="A412" s="17" t="inlineStr">
        <is>
          <t>KIT 118 MOD. 620W + INV. SOLIS 75KW</t>
        </is>
      </c>
      <c r="B412" s="17" t="inlineStr">
        <is>
          <t>SOLIS</t>
        </is>
      </c>
      <c r="C412" s="17" t="inlineStr">
        <is>
          <t>Inversor</t>
        </is>
      </c>
      <c r="D412" s="21" t="n">
        <v>118</v>
      </c>
      <c r="E412" s="30" t="n">
        <v>73.16</v>
      </c>
      <c r="F412" s="20" t="inlineStr">
        <is>
          <t>SOLIS S6-GC-75K-LV TRI 220V</t>
        </is>
      </c>
      <c r="G412" s="21" t="n">
        <v>1</v>
      </c>
      <c r="H412" s="17" t="inlineStr">
        <is>
          <t>Sim</t>
        </is>
      </c>
      <c r="I412" s="23" t="n">
        <v>176186.85</v>
      </c>
      <c r="J412" s="24">
        <f>(D412*Premissas!$B$24+(2*ROUNDUP(D412/2,0))*Premissas!$B$26+INT((2*ROUNDUP(D412/2,0))/4)*Premissas!$B$27+MOD((2*ROUNDUP(D412/2,0)),4)/2*Premissas!$B$28+2*IF(D412&lt;=19,3*D412,IF(D412&lt;=50,ROUNDUP(2.5*D412,0),2*D412))*Premissas!$B$29+IF(C412="Micro",G412*(Premissas!$B$31+Premissas!$B$32+4*Premissas!$B$30),G412*(INDEX(Premissas!$B$40:$B$71,MATCH(F412,Premissas!$A$40:$A$71,0))+INDEX(Premissas!$C$40:$C$71,MATCH(F412,Premissas!$A$40:$A$71,0))*Premissas!$B$30)))</f>
        <v/>
      </c>
      <c r="K412" s="24">
        <f>IF(J412&lt;Premissas!$B$36,MAX(Premissas!$B$33,J412*Premissas!$B$34),J412*Premissas!$B$35)</f>
        <v/>
      </c>
      <c r="L412" s="24">
        <f>ROUND(J412+K412,2)</f>
        <v/>
      </c>
      <c r="M412" s="24">
        <f>D412*Premissas!$B$8+Premissas!$B$9+Premissas!$B$10+Premissas!$B$11+Premissas!$B$12+ROUND(Premissas!$B$13*E412,2)</f>
        <v/>
      </c>
      <c r="N412" s="25">
        <f>ROUNDUP((L412+M412-Premissas!$B$5*L412)/(1-Premissas!$B$6-Premissas!$B$7-Premissas!$B$5-Premissas!$B$14),2)</f>
        <v/>
      </c>
      <c r="O412" s="24">
        <f>ROUND(IF(N412&lt;=30000,N412*(1+Premissas!$B$21),N412+Premissas!$B$21*30000*SQRT(N412/30000)),2)</f>
        <v/>
      </c>
      <c r="P412" s="24">
        <f>N412-I412</f>
        <v/>
      </c>
      <c r="Q412" s="26">
        <f>P412/I412</f>
        <v/>
      </c>
      <c r="R412" s="26">
        <f>(I412-L412-Premissas!$B$5*(I412-L412)-(Premissas!$B$6+Premissas!$B$7)*I412-M412)/I412</f>
        <v/>
      </c>
      <c r="S412" s="24">
        <f>ROUND((CEILING((L412*Premissas!$B$17/Premissas!$B$18-97)/100,1)*100+97)*Premissas!$B$18,2)</f>
        <v/>
      </c>
    </row>
    <row r="413">
      <c r="A413" s="17" t="inlineStr">
        <is>
          <t>KIT 119 MOD. 620W + INV. SOLIS 75KW</t>
        </is>
      </c>
      <c r="B413" s="17" t="inlineStr">
        <is>
          <t>SOLIS</t>
        </is>
      </c>
      <c r="C413" s="17" t="inlineStr">
        <is>
          <t>Inversor</t>
        </is>
      </c>
      <c r="D413" s="21" t="n">
        <v>119</v>
      </c>
      <c r="E413" s="30" t="n">
        <v>73.78</v>
      </c>
      <c r="F413" s="20" t="inlineStr">
        <is>
          <t>SOLIS S6-GC-75K-LV TRI 220V</t>
        </is>
      </c>
      <c r="G413" s="21" t="n">
        <v>1</v>
      </c>
      <c r="H413" s="17" t="inlineStr">
        <is>
          <t>Sim</t>
        </is>
      </c>
      <c r="I413" s="23" t="n">
        <v>177446.85</v>
      </c>
      <c r="J413" s="24">
        <f>(D413*Premissas!$B$24+(2*ROUNDUP(D413/2,0))*Premissas!$B$26+INT((2*ROUNDUP(D413/2,0))/4)*Premissas!$B$27+MOD((2*ROUNDUP(D413/2,0)),4)/2*Premissas!$B$28+2*IF(D413&lt;=19,3*D413,IF(D413&lt;=50,ROUNDUP(2.5*D413,0),2*D413))*Premissas!$B$29+IF(C413="Micro",G413*(Premissas!$B$31+Premissas!$B$32+4*Premissas!$B$30),G413*(INDEX(Premissas!$B$40:$B$71,MATCH(F413,Premissas!$A$40:$A$71,0))+INDEX(Premissas!$C$40:$C$71,MATCH(F413,Premissas!$A$40:$A$71,0))*Premissas!$B$30)))</f>
        <v/>
      </c>
      <c r="K413" s="24">
        <f>IF(J413&lt;Premissas!$B$36,MAX(Premissas!$B$33,J413*Premissas!$B$34),J413*Premissas!$B$35)</f>
        <v/>
      </c>
      <c r="L413" s="24">
        <f>ROUND(J413+K413,2)</f>
        <v/>
      </c>
      <c r="M413" s="24">
        <f>D413*Premissas!$B$8+Premissas!$B$9+Premissas!$B$10+Premissas!$B$11+Premissas!$B$12+ROUND(Premissas!$B$13*E413,2)</f>
        <v/>
      </c>
      <c r="N413" s="25">
        <f>ROUNDUP((L413+M413-Premissas!$B$5*L413)/(1-Premissas!$B$6-Premissas!$B$7-Premissas!$B$5-Premissas!$B$14),2)</f>
        <v/>
      </c>
      <c r="O413" s="24">
        <f>ROUND(IF(N413&lt;=30000,N413*(1+Premissas!$B$21),N413+Premissas!$B$21*30000*SQRT(N413/30000)),2)</f>
        <v/>
      </c>
      <c r="P413" s="24">
        <f>N413-I413</f>
        <v/>
      </c>
      <c r="Q413" s="26">
        <f>P413/I413</f>
        <v/>
      </c>
      <c r="R413" s="26">
        <f>(I413-L413-Premissas!$B$5*(I413-L413)-(Premissas!$B$6+Premissas!$B$7)*I413-M413)/I413</f>
        <v/>
      </c>
      <c r="S413" s="24">
        <f>ROUND((CEILING((L413*Premissas!$B$17/Premissas!$B$18-97)/100,1)*100+97)*Premissas!$B$18,2)</f>
        <v/>
      </c>
    </row>
    <row r="414">
      <c r="A414" s="17" t="inlineStr">
        <is>
          <t>KIT 120 MOD. 620W + INV. SOLIS 75KW</t>
        </is>
      </c>
      <c r="B414" s="17" t="inlineStr">
        <is>
          <t>SOLIS</t>
        </is>
      </c>
      <c r="C414" s="17" t="inlineStr">
        <is>
          <t>Inversor</t>
        </is>
      </c>
      <c r="D414" s="21" t="n">
        <v>120</v>
      </c>
      <c r="E414" s="30" t="n">
        <v>74.40000000000001</v>
      </c>
      <c r="F414" s="20" t="inlineStr">
        <is>
          <t>SOLIS S6-GC-75K-LV TRI 220V</t>
        </is>
      </c>
      <c r="G414" s="21" t="n">
        <v>1</v>
      </c>
      <c r="H414" s="17" t="inlineStr">
        <is>
          <t>Sim</t>
        </is>
      </c>
      <c r="I414" s="23" t="n">
        <v>178496.85</v>
      </c>
      <c r="J414" s="24">
        <f>(D414*Premissas!$B$24+(2*ROUNDUP(D414/2,0))*Premissas!$B$26+INT((2*ROUNDUP(D414/2,0))/4)*Premissas!$B$27+MOD((2*ROUNDUP(D414/2,0)),4)/2*Premissas!$B$28+2*IF(D414&lt;=19,3*D414,IF(D414&lt;=50,ROUNDUP(2.5*D414,0),2*D414))*Premissas!$B$29+IF(C414="Micro",G414*(Premissas!$B$31+Premissas!$B$32+4*Premissas!$B$30),G414*(INDEX(Premissas!$B$40:$B$71,MATCH(F414,Premissas!$A$40:$A$71,0))+INDEX(Premissas!$C$40:$C$71,MATCH(F414,Premissas!$A$40:$A$71,0))*Premissas!$B$30)))</f>
        <v/>
      </c>
      <c r="K414" s="24">
        <f>IF(J414&lt;Premissas!$B$36,MAX(Premissas!$B$33,J414*Premissas!$B$34),J414*Premissas!$B$35)</f>
        <v/>
      </c>
      <c r="L414" s="24">
        <f>ROUND(J414+K414,2)</f>
        <v/>
      </c>
      <c r="M414" s="24">
        <f>D414*Premissas!$B$8+Premissas!$B$9+Premissas!$B$10+Premissas!$B$11+Premissas!$B$12+ROUND(Premissas!$B$13*E414,2)</f>
        <v/>
      </c>
      <c r="N414" s="25">
        <f>ROUNDUP((L414+M414-Premissas!$B$5*L414)/(1-Premissas!$B$6-Premissas!$B$7-Premissas!$B$5-Premissas!$B$14),2)</f>
        <v/>
      </c>
      <c r="O414" s="24">
        <f>ROUND(IF(N414&lt;=30000,N414*(1+Premissas!$B$21),N414+Premissas!$B$21*30000*SQRT(N414/30000)),2)</f>
        <v/>
      </c>
      <c r="P414" s="24">
        <f>N414-I414</f>
        <v/>
      </c>
      <c r="Q414" s="26">
        <f>P414/I414</f>
        <v/>
      </c>
      <c r="R414" s="26">
        <f>(I414-L414-Premissas!$B$5*(I414-L414)-(Premissas!$B$6+Premissas!$B$7)*I414-M414)/I414</f>
        <v/>
      </c>
      <c r="S414" s="24">
        <f>ROUND((CEILING((L414*Premissas!$B$17/Premissas!$B$18-97)/100,1)*100+97)*Premissas!$B$18,2)</f>
        <v/>
      </c>
    </row>
    <row r="415">
      <c r="A415" s="17" t="inlineStr">
        <is>
          <t>KIT 121 MOD. 620W + INV. SOLIS 75KW</t>
        </is>
      </c>
      <c r="B415" s="17" t="inlineStr">
        <is>
          <t>SOLIS</t>
        </is>
      </c>
      <c r="C415" s="17" t="inlineStr">
        <is>
          <t>Inversor</t>
        </is>
      </c>
      <c r="D415" s="21" t="n">
        <v>121</v>
      </c>
      <c r="E415" s="30" t="n">
        <v>75.02</v>
      </c>
      <c r="F415" s="20" t="inlineStr">
        <is>
          <t>SOLIS S6-GC-75K-LV TRI 220V</t>
        </is>
      </c>
      <c r="G415" s="21" t="n">
        <v>1</v>
      </c>
      <c r="H415" s="17" t="inlineStr">
        <is>
          <t>Sim</t>
        </is>
      </c>
      <c r="I415" s="23" t="n">
        <v>179861.85</v>
      </c>
      <c r="J415" s="24">
        <f>(D415*Premissas!$B$24+(2*ROUNDUP(D415/2,0))*Premissas!$B$26+INT((2*ROUNDUP(D415/2,0))/4)*Premissas!$B$27+MOD((2*ROUNDUP(D415/2,0)),4)/2*Premissas!$B$28+2*IF(D415&lt;=19,3*D415,IF(D415&lt;=50,ROUNDUP(2.5*D415,0),2*D415))*Premissas!$B$29+IF(C415="Micro",G415*(Premissas!$B$31+Premissas!$B$32+4*Premissas!$B$30),G415*(INDEX(Premissas!$B$40:$B$71,MATCH(F415,Premissas!$A$40:$A$71,0))+INDEX(Premissas!$C$40:$C$71,MATCH(F415,Premissas!$A$40:$A$71,0))*Premissas!$B$30)))</f>
        <v/>
      </c>
      <c r="K415" s="24">
        <f>IF(J415&lt;Premissas!$B$36,MAX(Premissas!$B$33,J415*Premissas!$B$34),J415*Premissas!$B$35)</f>
        <v/>
      </c>
      <c r="L415" s="24">
        <f>ROUND(J415+K415,2)</f>
        <v/>
      </c>
      <c r="M415" s="24">
        <f>D415*Premissas!$B$8+Premissas!$B$9+Premissas!$B$10+Premissas!$B$11+Premissas!$B$12+ROUND(Premissas!$B$13*E415,2)</f>
        <v/>
      </c>
      <c r="N415" s="25">
        <f>ROUNDUP((L415+M415-Premissas!$B$5*L415)/(1-Premissas!$B$6-Premissas!$B$7-Premissas!$B$5-Premissas!$B$14),2)</f>
        <v/>
      </c>
      <c r="O415" s="24">
        <f>ROUND(IF(N415&lt;=30000,N415*(1+Premissas!$B$21),N415+Premissas!$B$21*30000*SQRT(N415/30000)),2)</f>
        <v/>
      </c>
      <c r="P415" s="24">
        <f>N415-I415</f>
        <v/>
      </c>
      <c r="Q415" s="26">
        <f>P415/I415</f>
        <v/>
      </c>
      <c r="R415" s="26">
        <f>(I415-L415-Premissas!$B$5*(I415-L415)-(Premissas!$B$6+Premissas!$B$7)*I415-M415)/I415</f>
        <v/>
      </c>
      <c r="S415" s="24">
        <f>ROUND((CEILING((L415*Premissas!$B$17/Premissas!$B$18-97)/100,1)*100+97)*Premissas!$B$18,2)</f>
        <v/>
      </c>
    </row>
    <row r="416">
      <c r="A416" s="17" t="inlineStr">
        <is>
          <t>KIT 122 MOD. 620W + INV. SOLIS 75KW</t>
        </is>
      </c>
      <c r="B416" s="17" t="inlineStr">
        <is>
          <t>SOLIS</t>
        </is>
      </c>
      <c r="C416" s="17" t="inlineStr">
        <is>
          <t>Inversor</t>
        </is>
      </c>
      <c r="D416" s="21" t="n">
        <v>122</v>
      </c>
      <c r="E416" s="30" t="n">
        <v>75.64</v>
      </c>
      <c r="F416" s="20" t="inlineStr">
        <is>
          <t>SOLIS S6-GC-75K-LV TRI 220V</t>
        </is>
      </c>
      <c r="G416" s="21" t="n">
        <v>1</v>
      </c>
      <c r="H416" s="17" t="inlineStr">
        <is>
          <t>Sim</t>
        </is>
      </c>
      <c r="I416" s="23" t="n">
        <v>180911.85</v>
      </c>
      <c r="J416" s="24">
        <f>(D416*Premissas!$B$24+(2*ROUNDUP(D416/2,0))*Premissas!$B$26+INT((2*ROUNDUP(D416/2,0))/4)*Premissas!$B$27+MOD((2*ROUNDUP(D416/2,0)),4)/2*Premissas!$B$28+2*IF(D416&lt;=19,3*D416,IF(D416&lt;=50,ROUNDUP(2.5*D416,0),2*D416))*Premissas!$B$29+IF(C416="Micro",G416*(Premissas!$B$31+Premissas!$B$32+4*Premissas!$B$30),G416*(INDEX(Premissas!$B$40:$B$71,MATCH(F416,Premissas!$A$40:$A$71,0))+INDEX(Premissas!$C$40:$C$71,MATCH(F416,Premissas!$A$40:$A$71,0))*Premissas!$B$30)))</f>
        <v/>
      </c>
      <c r="K416" s="24">
        <f>IF(J416&lt;Premissas!$B$36,MAX(Premissas!$B$33,J416*Premissas!$B$34),J416*Premissas!$B$35)</f>
        <v/>
      </c>
      <c r="L416" s="24">
        <f>ROUND(J416+K416,2)</f>
        <v/>
      </c>
      <c r="M416" s="24">
        <f>D416*Premissas!$B$8+Premissas!$B$9+Premissas!$B$10+Premissas!$B$11+Premissas!$B$12+ROUND(Premissas!$B$13*E416,2)</f>
        <v/>
      </c>
      <c r="N416" s="25">
        <f>ROUNDUP((L416+M416-Premissas!$B$5*L416)/(1-Premissas!$B$6-Premissas!$B$7-Premissas!$B$5-Premissas!$B$14),2)</f>
        <v/>
      </c>
      <c r="O416" s="24">
        <f>ROUND(IF(N416&lt;=30000,N416*(1+Premissas!$B$21),N416+Premissas!$B$21*30000*SQRT(N416/30000)),2)</f>
        <v/>
      </c>
      <c r="P416" s="24">
        <f>N416-I416</f>
        <v/>
      </c>
      <c r="Q416" s="26">
        <f>P416/I416</f>
        <v/>
      </c>
      <c r="R416" s="26">
        <f>(I416-L416-Premissas!$B$5*(I416-L416)-(Premissas!$B$6+Premissas!$B$7)*I416-M416)/I416</f>
        <v/>
      </c>
      <c r="S416" s="24">
        <f>ROUND((CEILING((L416*Premissas!$B$17/Premissas!$B$18-97)/100,1)*100+97)*Premissas!$B$18,2)</f>
        <v/>
      </c>
    </row>
    <row r="417">
      <c r="A417" s="17" t="inlineStr">
        <is>
          <t>KIT 123 MOD. 620W + INV. SOLIS 75KW</t>
        </is>
      </c>
      <c r="B417" s="17" t="inlineStr">
        <is>
          <t>SOLIS</t>
        </is>
      </c>
      <c r="C417" s="17" t="inlineStr">
        <is>
          <t>Inversor</t>
        </is>
      </c>
      <c r="D417" s="21" t="n">
        <v>123</v>
      </c>
      <c r="E417" s="30" t="n">
        <v>76.26000000000001</v>
      </c>
      <c r="F417" s="20" t="inlineStr">
        <is>
          <t>SOLIS S6-GC-75K-LV TRI 220V</t>
        </is>
      </c>
      <c r="G417" s="21" t="n">
        <v>1</v>
      </c>
      <c r="H417" s="17" t="inlineStr">
        <is>
          <t>Sim</t>
        </is>
      </c>
      <c r="I417" s="23" t="n">
        <v>182171.85</v>
      </c>
      <c r="J417" s="24">
        <f>(D417*Premissas!$B$24+(2*ROUNDUP(D417/2,0))*Premissas!$B$26+INT((2*ROUNDUP(D417/2,0))/4)*Premissas!$B$27+MOD((2*ROUNDUP(D417/2,0)),4)/2*Premissas!$B$28+2*IF(D417&lt;=19,3*D417,IF(D417&lt;=50,ROUNDUP(2.5*D417,0),2*D417))*Premissas!$B$29+IF(C417="Micro",G417*(Premissas!$B$31+Premissas!$B$32+4*Premissas!$B$30),G417*(INDEX(Premissas!$B$40:$B$71,MATCH(F417,Premissas!$A$40:$A$71,0))+INDEX(Premissas!$C$40:$C$71,MATCH(F417,Premissas!$A$40:$A$71,0))*Premissas!$B$30)))</f>
        <v/>
      </c>
      <c r="K417" s="24">
        <f>IF(J417&lt;Premissas!$B$36,MAX(Premissas!$B$33,J417*Premissas!$B$34),J417*Premissas!$B$35)</f>
        <v/>
      </c>
      <c r="L417" s="24">
        <f>ROUND(J417+K417,2)</f>
        <v/>
      </c>
      <c r="M417" s="24">
        <f>D417*Premissas!$B$8+Premissas!$B$9+Premissas!$B$10+Premissas!$B$11+Premissas!$B$12+ROUND(Premissas!$B$13*E417,2)</f>
        <v/>
      </c>
      <c r="N417" s="25">
        <f>ROUNDUP((L417+M417-Premissas!$B$5*L417)/(1-Premissas!$B$6-Premissas!$B$7-Premissas!$B$5-Premissas!$B$14),2)</f>
        <v/>
      </c>
      <c r="O417" s="24">
        <f>ROUND(IF(N417&lt;=30000,N417*(1+Premissas!$B$21),N417+Premissas!$B$21*30000*SQRT(N417/30000)),2)</f>
        <v/>
      </c>
      <c r="P417" s="24">
        <f>N417-I417</f>
        <v/>
      </c>
      <c r="Q417" s="26">
        <f>P417/I417</f>
        <v/>
      </c>
      <c r="R417" s="26">
        <f>(I417-L417-Premissas!$B$5*(I417-L417)-(Premissas!$B$6+Premissas!$B$7)*I417-M417)/I417</f>
        <v/>
      </c>
      <c r="S417" s="24">
        <f>ROUND((CEILING((L417*Premissas!$B$17/Premissas!$B$18-97)/100,1)*100+97)*Premissas!$B$18,2)</f>
        <v/>
      </c>
    </row>
    <row r="418">
      <c r="A418" s="17" t="inlineStr">
        <is>
          <t>KIT 124 MOD. 620W + INV. SOLIS 75KW</t>
        </is>
      </c>
      <c r="B418" s="17" t="inlineStr">
        <is>
          <t>SOLIS</t>
        </is>
      </c>
      <c r="C418" s="17" t="inlineStr">
        <is>
          <t>Inversor</t>
        </is>
      </c>
      <c r="D418" s="21" t="n">
        <v>124</v>
      </c>
      <c r="E418" s="30" t="n">
        <v>76.88</v>
      </c>
      <c r="F418" s="20" t="inlineStr">
        <is>
          <t>SOLIS S6-GC-75K-LV TRI 220V</t>
        </is>
      </c>
      <c r="G418" s="21" t="n">
        <v>1</v>
      </c>
      <c r="H418" s="17" t="inlineStr">
        <is>
          <t>Sim</t>
        </is>
      </c>
      <c r="I418" s="23" t="n">
        <v>183221.85</v>
      </c>
      <c r="J418" s="24">
        <f>(D418*Premissas!$B$24+(2*ROUNDUP(D418/2,0))*Premissas!$B$26+INT((2*ROUNDUP(D418/2,0))/4)*Premissas!$B$27+MOD((2*ROUNDUP(D418/2,0)),4)/2*Premissas!$B$28+2*IF(D418&lt;=19,3*D418,IF(D418&lt;=50,ROUNDUP(2.5*D418,0),2*D418))*Premissas!$B$29+IF(C418="Micro",G418*(Premissas!$B$31+Premissas!$B$32+4*Premissas!$B$30),G418*(INDEX(Premissas!$B$40:$B$71,MATCH(F418,Premissas!$A$40:$A$71,0))+INDEX(Premissas!$C$40:$C$71,MATCH(F418,Premissas!$A$40:$A$71,0))*Premissas!$B$30)))</f>
        <v/>
      </c>
      <c r="K418" s="24">
        <f>IF(J418&lt;Premissas!$B$36,MAX(Premissas!$B$33,J418*Premissas!$B$34),J418*Premissas!$B$35)</f>
        <v/>
      </c>
      <c r="L418" s="24">
        <f>ROUND(J418+K418,2)</f>
        <v/>
      </c>
      <c r="M418" s="24">
        <f>D418*Premissas!$B$8+Premissas!$B$9+Premissas!$B$10+Premissas!$B$11+Premissas!$B$12+ROUND(Premissas!$B$13*E418,2)</f>
        <v/>
      </c>
      <c r="N418" s="25">
        <f>ROUNDUP((L418+M418-Premissas!$B$5*L418)/(1-Premissas!$B$6-Premissas!$B$7-Premissas!$B$5-Premissas!$B$14),2)</f>
        <v/>
      </c>
      <c r="O418" s="24">
        <f>ROUND(IF(N418&lt;=30000,N418*(1+Premissas!$B$21),N418+Premissas!$B$21*30000*SQRT(N418/30000)),2)</f>
        <v/>
      </c>
      <c r="P418" s="24">
        <f>N418-I418</f>
        <v/>
      </c>
      <c r="Q418" s="26">
        <f>P418/I418</f>
        <v/>
      </c>
      <c r="R418" s="26">
        <f>(I418-L418-Premissas!$B$5*(I418-L418)-(Premissas!$B$6+Premissas!$B$7)*I418-M418)/I418</f>
        <v/>
      </c>
      <c r="S418" s="24">
        <f>ROUND((CEILING((L418*Premissas!$B$17/Premissas!$B$18-97)/100,1)*100+97)*Premissas!$B$18,2)</f>
        <v/>
      </c>
    </row>
    <row r="419">
      <c r="A419" s="17" t="inlineStr">
        <is>
          <t>KIT 125 MOD. 620W + INV. SOLIS 75KW</t>
        </is>
      </c>
      <c r="B419" s="17" t="inlineStr">
        <is>
          <t>SOLIS</t>
        </is>
      </c>
      <c r="C419" s="17" t="inlineStr">
        <is>
          <t>Inversor</t>
        </is>
      </c>
      <c r="D419" s="21" t="n">
        <v>125</v>
      </c>
      <c r="E419" s="30" t="n">
        <v>77.5</v>
      </c>
      <c r="F419" s="20" t="inlineStr">
        <is>
          <t>SOLIS S6-GC-75K-LV TRI 220V</t>
        </is>
      </c>
      <c r="G419" s="21" t="n">
        <v>1</v>
      </c>
      <c r="H419" s="17" t="inlineStr">
        <is>
          <t>Sim</t>
        </is>
      </c>
      <c r="I419" s="23" t="n">
        <v>184586.85</v>
      </c>
      <c r="J419" s="24">
        <f>(D419*Premissas!$B$24+(2*ROUNDUP(D419/2,0))*Premissas!$B$26+INT((2*ROUNDUP(D419/2,0))/4)*Premissas!$B$27+MOD((2*ROUNDUP(D419/2,0)),4)/2*Premissas!$B$28+2*IF(D419&lt;=19,3*D419,IF(D419&lt;=50,ROUNDUP(2.5*D419,0),2*D419))*Premissas!$B$29+IF(C419="Micro",G419*(Premissas!$B$31+Premissas!$B$32+4*Premissas!$B$30),G419*(INDEX(Premissas!$B$40:$B$71,MATCH(F419,Premissas!$A$40:$A$71,0))+INDEX(Premissas!$C$40:$C$71,MATCH(F419,Premissas!$A$40:$A$71,0))*Premissas!$B$30)))</f>
        <v/>
      </c>
      <c r="K419" s="24">
        <f>IF(J419&lt;Premissas!$B$36,MAX(Premissas!$B$33,J419*Premissas!$B$34),J419*Premissas!$B$35)</f>
        <v/>
      </c>
      <c r="L419" s="24">
        <f>ROUND(J419+K419,2)</f>
        <v/>
      </c>
      <c r="M419" s="24">
        <f>D419*Premissas!$B$8+Premissas!$B$9+Premissas!$B$10+Premissas!$B$11+Premissas!$B$12+ROUND(Premissas!$B$13*E419,2)</f>
        <v/>
      </c>
      <c r="N419" s="25">
        <f>ROUNDUP((L419+M419-Premissas!$B$5*L419)/(1-Premissas!$B$6-Premissas!$B$7-Premissas!$B$5-Premissas!$B$14),2)</f>
        <v/>
      </c>
      <c r="O419" s="24">
        <f>ROUND(IF(N419&lt;=30000,N419*(1+Premissas!$B$21),N419+Premissas!$B$21*30000*SQRT(N419/30000)),2)</f>
        <v/>
      </c>
      <c r="P419" s="24">
        <f>N419-I419</f>
        <v/>
      </c>
      <c r="Q419" s="26">
        <f>P419/I419</f>
        <v/>
      </c>
      <c r="R419" s="26">
        <f>(I419-L419-Premissas!$B$5*(I419-L419)-(Premissas!$B$6+Premissas!$B$7)*I419-M419)/I419</f>
        <v/>
      </c>
      <c r="S419" s="24">
        <f>ROUND((CEILING((L419*Premissas!$B$17/Premissas!$B$18-97)/100,1)*100+97)*Premissas!$B$18,2)</f>
        <v/>
      </c>
    </row>
    <row r="420">
      <c r="A420" s="17" t="inlineStr">
        <is>
          <t>KIT 126 MOD. 620W + INV. SOLIS 75KW</t>
        </is>
      </c>
      <c r="B420" s="17" t="inlineStr">
        <is>
          <t>SOLIS</t>
        </is>
      </c>
      <c r="C420" s="17" t="inlineStr">
        <is>
          <t>Inversor</t>
        </is>
      </c>
      <c r="D420" s="21" t="n">
        <v>126</v>
      </c>
      <c r="E420" s="30" t="n">
        <v>78.12</v>
      </c>
      <c r="F420" s="20" t="inlineStr">
        <is>
          <t>SOLIS S6-GC-75K-LV TRI 220V</t>
        </is>
      </c>
      <c r="G420" s="21" t="n">
        <v>1</v>
      </c>
      <c r="H420" s="17" t="inlineStr">
        <is>
          <t>Sim</t>
        </is>
      </c>
      <c r="I420" s="23" t="n">
        <v>185636.85</v>
      </c>
      <c r="J420" s="24">
        <f>(D420*Premissas!$B$24+(2*ROUNDUP(D420/2,0))*Premissas!$B$26+INT((2*ROUNDUP(D420/2,0))/4)*Premissas!$B$27+MOD((2*ROUNDUP(D420/2,0)),4)/2*Premissas!$B$28+2*IF(D420&lt;=19,3*D420,IF(D420&lt;=50,ROUNDUP(2.5*D420,0),2*D420))*Premissas!$B$29+IF(C420="Micro",G420*(Premissas!$B$31+Premissas!$B$32+4*Premissas!$B$30),G420*(INDEX(Premissas!$B$40:$B$71,MATCH(F420,Premissas!$A$40:$A$71,0))+INDEX(Premissas!$C$40:$C$71,MATCH(F420,Premissas!$A$40:$A$71,0))*Premissas!$B$30)))</f>
        <v/>
      </c>
      <c r="K420" s="24">
        <f>IF(J420&lt;Premissas!$B$36,MAX(Premissas!$B$33,J420*Premissas!$B$34),J420*Premissas!$B$35)</f>
        <v/>
      </c>
      <c r="L420" s="24">
        <f>ROUND(J420+K420,2)</f>
        <v/>
      </c>
      <c r="M420" s="24">
        <f>D420*Premissas!$B$8+Premissas!$B$9+Premissas!$B$10+Premissas!$B$11+Premissas!$B$12+ROUND(Premissas!$B$13*E420,2)</f>
        <v/>
      </c>
      <c r="N420" s="25">
        <f>ROUNDUP((L420+M420-Premissas!$B$5*L420)/(1-Premissas!$B$6-Premissas!$B$7-Premissas!$B$5-Premissas!$B$14),2)</f>
        <v/>
      </c>
      <c r="O420" s="24">
        <f>ROUND(IF(N420&lt;=30000,N420*(1+Premissas!$B$21),N420+Premissas!$B$21*30000*SQRT(N420/30000)),2)</f>
        <v/>
      </c>
      <c r="P420" s="24">
        <f>N420-I420</f>
        <v/>
      </c>
      <c r="Q420" s="26">
        <f>P420/I420</f>
        <v/>
      </c>
      <c r="R420" s="26">
        <f>(I420-L420-Premissas!$B$5*(I420-L420)-(Premissas!$B$6+Premissas!$B$7)*I420-M420)/I420</f>
        <v/>
      </c>
      <c r="S420" s="24">
        <f>ROUND((CEILING((L420*Premissas!$B$17/Premissas!$B$18-97)/100,1)*100+97)*Premissas!$B$18,2)</f>
        <v/>
      </c>
    </row>
    <row r="421">
      <c r="A421" s="17" t="inlineStr">
        <is>
          <t>KIT 127 MOD. 620W + INV. SOLIS 75KW</t>
        </is>
      </c>
      <c r="B421" s="17" t="inlineStr">
        <is>
          <t>SOLIS</t>
        </is>
      </c>
      <c r="C421" s="17" t="inlineStr">
        <is>
          <t>Inversor</t>
        </is>
      </c>
      <c r="D421" s="21" t="n">
        <v>127</v>
      </c>
      <c r="E421" s="30" t="n">
        <v>78.73999999999999</v>
      </c>
      <c r="F421" s="20" t="inlineStr">
        <is>
          <t>SOLIS S6-GC-75K-LV TRI 220V</t>
        </is>
      </c>
      <c r="G421" s="21" t="n">
        <v>1</v>
      </c>
      <c r="H421" s="17" t="inlineStr">
        <is>
          <t>Sim</t>
        </is>
      </c>
      <c r="I421" s="23" t="n">
        <v>187001.85</v>
      </c>
      <c r="J421" s="24">
        <f>(D421*Premissas!$B$24+(2*ROUNDUP(D421/2,0))*Premissas!$B$26+INT((2*ROUNDUP(D421/2,0))/4)*Premissas!$B$27+MOD((2*ROUNDUP(D421/2,0)),4)/2*Premissas!$B$28+2*IF(D421&lt;=19,3*D421,IF(D421&lt;=50,ROUNDUP(2.5*D421,0),2*D421))*Premissas!$B$29+IF(C421="Micro",G421*(Premissas!$B$31+Premissas!$B$32+4*Premissas!$B$30),G421*(INDEX(Premissas!$B$40:$B$71,MATCH(F421,Premissas!$A$40:$A$71,0))+INDEX(Premissas!$C$40:$C$71,MATCH(F421,Premissas!$A$40:$A$71,0))*Premissas!$B$30)))</f>
        <v/>
      </c>
      <c r="K421" s="24">
        <f>IF(J421&lt;Premissas!$B$36,MAX(Premissas!$B$33,J421*Premissas!$B$34),J421*Premissas!$B$35)</f>
        <v/>
      </c>
      <c r="L421" s="24">
        <f>ROUND(J421+K421,2)</f>
        <v/>
      </c>
      <c r="M421" s="24">
        <f>D421*Premissas!$B$8+Premissas!$B$9+Premissas!$B$10+Premissas!$B$11+Premissas!$B$12+ROUND(Premissas!$B$13*E421,2)</f>
        <v/>
      </c>
      <c r="N421" s="25">
        <f>ROUNDUP((L421+M421-Premissas!$B$5*L421)/(1-Premissas!$B$6-Premissas!$B$7-Premissas!$B$5-Premissas!$B$14),2)</f>
        <v/>
      </c>
      <c r="O421" s="24">
        <f>ROUND(IF(N421&lt;=30000,N421*(1+Premissas!$B$21),N421+Premissas!$B$21*30000*SQRT(N421/30000)),2)</f>
        <v/>
      </c>
      <c r="P421" s="24">
        <f>N421-I421</f>
        <v/>
      </c>
      <c r="Q421" s="26">
        <f>P421/I421</f>
        <v/>
      </c>
      <c r="R421" s="26">
        <f>(I421-L421-Premissas!$B$5*(I421-L421)-(Premissas!$B$6+Premissas!$B$7)*I421-M421)/I421</f>
        <v/>
      </c>
      <c r="S421" s="24">
        <f>ROUND((CEILING((L421*Premissas!$B$17/Premissas!$B$18-97)/100,1)*100+97)*Premissas!$B$18,2)</f>
        <v/>
      </c>
    </row>
    <row r="422">
      <c r="A422" s="17" t="inlineStr">
        <is>
          <t>KIT 128 MOD. 620W + INV. SOLIS 75KW</t>
        </is>
      </c>
      <c r="B422" s="17" t="inlineStr">
        <is>
          <t>SOLIS</t>
        </is>
      </c>
      <c r="C422" s="17" t="inlineStr">
        <is>
          <t>Inversor</t>
        </is>
      </c>
      <c r="D422" s="21" t="n">
        <v>128</v>
      </c>
      <c r="E422" s="30" t="n">
        <v>79.36</v>
      </c>
      <c r="F422" s="20" t="inlineStr">
        <is>
          <t>SOLIS S6-GC-75K-LV TRI 220V</t>
        </is>
      </c>
      <c r="G422" s="21" t="n">
        <v>1</v>
      </c>
      <c r="H422" s="17" t="inlineStr">
        <is>
          <t>Sim</t>
        </is>
      </c>
      <c r="I422" s="23" t="n">
        <v>188051.85</v>
      </c>
      <c r="J422" s="24">
        <f>(D422*Premissas!$B$24+(2*ROUNDUP(D422/2,0))*Premissas!$B$26+INT((2*ROUNDUP(D422/2,0))/4)*Premissas!$B$27+MOD((2*ROUNDUP(D422/2,0)),4)/2*Premissas!$B$28+2*IF(D422&lt;=19,3*D422,IF(D422&lt;=50,ROUNDUP(2.5*D422,0),2*D422))*Premissas!$B$29+IF(C422="Micro",G422*(Premissas!$B$31+Premissas!$B$32+4*Premissas!$B$30),G422*(INDEX(Premissas!$B$40:$B$71,MATCH(F422,Premissas!$A$40:$A$71,0))+INDEX(Premissas!$C$40:$C$71,MATCH(F422,Premissas!$A$40:$A$71,0))*Premissas!$B$30)))</f>
        <v/>
      </c>
      <c r="K422" s="24">
        <f>IF(J422&lt;Premissas!$B$36,MAX(Premissas!$B$33,J422*Premissas!$B$34),J422*Premissas!$B$35)</f>
        <v/>
      </c>
      <c r="L422" s="24">
        <f>ROUND(J422+K422,2)</f>
        <v/>
      </c>
      <c r="M422" s="24">
        <f>D422*Premissas!$B$8+Premissas!$B$9+Premissas!$B$10+Premissas!$B$11+Premissas!$B$12+ROUND(Premissas!$B$13*E422,2)</f>
        <v/>
      </c>
      <c r="N422" s="25">
        <f>ROUNDUP((L422+M422-Premissas!$B$5*L422)/(1-Premissas!$B$6-Premissas!$B$7-Premissas!$B$5-Premissas!$B$14),2)</f>
        <v/>
      </c>
      <c r="O422" s="24">
        <f>ROUND(IF(N422&lt;=30000,N422*(1+Premissas!$B$21),N422+Premissas!$B$21*30000*SQRT(N422/30000)),2)</f>
        <v/>
      </c>
      <c r="P422" s="24">
        <f>N422-I422</f>
        <v/>
      </c>
      <c r="Q422" s="26">
        <f>P422/I422</f>
        <v/>
      </c>
      <c r="R422" s="26">
        <f>(I422-L422-Premissas!$B$5*(I422-L422)-(Premissas!$B$6+Premissas!$B$7)*I422-M422)/I422</f>
        <v/>
      </c>
      <c r="S422" s="24">
        <f>ROUND((CEILING((L422*Premissas!$B$17/Premissas!$B$18-97)/100,1)*100+97)*Premissas!$B$18,2)</f>
        <v/>
      </c>
    </row>
    <row r="423">
      <c r="A423" s="17" t="inlineStr">
        <is>
          <t>KIT 129 MOD. 620W + INV. SOLIS 75KW</t>
        </is>
      </c>
      <c r="B423" s="17" t="inlineStr">
        <is>
          <t>SOLIS</t>
        </is>
      </c>
      <c r="C423" s="17" t="inlineStr">
        <is>
          <t>Inversor</t>
        </is>
      </c>
      <c r="D423" s="21" t="n">
        <v>129</v>
      </c>
      <c r="E423" s="30" t="n">
        <v>79.98</v>
      </c>
      <c r="F423" s="20" t="inlineStr">
        <is>
          <t>SOLIS S6-GC-75K-LV TRI 220V</t>
        </is>
      </c>
      <c r="G423" s="21" t="n">
        <v>1</v>
      </c>
      <c r="H423" s="17" t="inlineStr">
        <is>
          <t>Sim</t>
        </is>
      </c>
      <c r="I423" s="23" t="n">
        <v>189311.85</v>
      </c>
      <c r="J423" s="24">
        <f>(D423*Premissas!$B$24+(2*ROUNDUP(D423/2,0))*Premissas!$B$26+INT((2*ROUNDUP(D423/2,0))/4)*Premissas!$B$27+MOD((2*ROUNDUP(D423/2,0)),4)/2*Premissas!$B$28+2*IF(D423&lt;=19,3*D423,IF(D423&lt;=50,ROUNDUP(2.5*D423,0),2*D423))*Premissas!$B$29+IF(C423="Micro",G423*(Premissas!$B$31+Premissas!$B$32+4*Premissas!$B$30),G423*(INDEX(Premissas!$B$40:$B$71,MATCH(F423,Premissas!$A$40:$A$71,0))+INDEX(Premissas!$C$40:$C$71,MATCH(F423,Premissas!$A$40:$A$71,0))*Premissas!$B$30)))</f>
        <v/>
      </c>
      <c r="K423" s="24">
        <f>IF(J423&lt;Premissas!$B$36,MAX(Premissas!$B$33,J423*Premissas!$B$34),J423*Premissas!$B$35)</f>
        <v/>
      </c>
      <c r="L423" s="24">
        <f>ROUND(J423+K423,2)</f>
        <v/>
      </c>
      <c r="M423" s="24">
        <f>D423*Premissas!$B$8+Premissas!$B$9+Premissas!$B$10+Premissas!$B$11+Premissas!$B$12+ROUND(Premissas!$B$13*E423,2)</f>
        <v/>
      </c>
      <c r="N423" s="25">
        <f>ROUNDUP((L423+M423-Premissas!$B$5*L423)/(1-Premissas!$B$6-Premissas!$B$7-Premissas!$B$5-Premissas!$B$14),2)</f>
        <v/>
      </c>
      <c r="O423" s="24">
        <f>ROUND(IF(N423&lt;=30000,N423*(1+Premissas!$B$21),N423+Premissas!$B$21*30000*SQRT(N423/30000)),2)</f>
        <v/>
      </c>
      <c r="P423" s="24">
        <f>N423-I423</f>
        <v/>
      </c>
      <c r="Q423" s="26">
        <f>P423/I423</f>
        <v/>
      </c>
      <c r="R423" s="26">
        <f>(I423-L423-Premissas!$B$5*(I423-L423)-(Premissas!$B$6+Premissas!$B$7)*I423-M423)/I423</f>
        <v/>
      </c>
      <c r="S423" s="24">
        <f>ROUND((CEILING((L423*Premissas!$B$17/Premissas!$B$18-97)/100,1)*100+97)*Premissas!$B$18,2)</f>
        <v/>
      </c>
    </row>
    <row r="424">
      <c r="A424" s="17" t="inlineStr">
        <is>
          <t>KIT 130 MOD. 620W + INV. SOLIS 75KW</t>
        </is>
      </c>
      <c r="B424" s="17" t="inlineStr">
        <is>
          <t>SOLIS</t>
        </is>
      </c>
      <c r="C424" s="17" t="inlineStr">
        <is>
          <t>Inversor</t>
        </is>
      </c>
      <c r="D424" s="21" t="n">
        <v>130</v>
      </c>
      <c r="E424" s="30" t="n">
        <v>80.59999999999999</v>
      </c>
      <c r="F424" s="20" t="inlineStr">
        <is>
          <t>SOLIS S6-GC-75K-LV TRI 220V</t>
        </is>
      </c>
      <c r="G424" s="21" t="n">
        <v>1</v>
      </c>
      <c r="H424" s="17" t="inlineStr">
        <is>
          <t>Sim</t>
        </is>
      </c>
      <c r="I424" s="23" t="n">
        <v>190361.85</v>
      </c>
      <c r="J424" s="24">
        <f>(D424*Premissas!$B$24+(2*ROUNDUP(D424/2,0))*Premissas!$B$26+INT((2*ROUNDUP(D424/2,0))/4)*Premissas!$B$27+MOD((2*ROUNDUP(D424/2,0)),4)/2*Premissas!$B$28+2*IF(D424&lt;=19,3*D424,IF(D424&lt;=50,ROUNDUP(2.5*D424,0),2*D424))*Premissas!$B$29+IF(C424="Micro",G424*(Premissas!$B$31+Premissas!$B$32+4*Premissas!$B$30),G424*(INDEX(Premissas!$B$40:$B$71,MATCH(F424,Premissas!$A$40:$A$71,0))+INDEX(Premissas!$C$40:$C$71,MATCH(F424,Premissas!$A$40:$A$71,0))*Premissas!$B$30)))</f>
        <v/>
      </c>
      <c r="K424" s="24">
        <f>IF(J424&lt;Premissas!$B$36,MAX(Premissas!$B$33,J424*Premissas!$B$34),J424*Premissas!$B$35)</f>
        <v/>
      </c>
      <c r="L424" s="24">
        <f>ROUND(J424+K424,2)</f>
        <v/>
      </c>
      <c r="M424" s="24">
        <f>D424*Premissas!$B$8+Premissas!$B$9+Premissas!$B$10+Premissas!$B$11+Premissas!$B$12+ROUND(Premissas!$B$13*E424,2)</f>
        <v/>
      </c>
      <c r="N424" s="25">
        <f>ROUNDUP((L424+M424-Premissas!$B$5*L424)/(1-Premissas!$B$6-Premissas!$B$7-Premissas!$B$5-Premissas!$B$14),2)</f>
        <v/>
      </c>
      <c r="O424" s="24">
        <f>ROUND(IF(N424&lt;=30000,N424*(1+Premissas!$B$21),N424+Premissas!$B$21*30000*SQRT(N424/30000)),2)</f>
        <v/>
      </c>
      <c r="P424" s="24">
        <f>N424-I424</f>
        <v/>
      </c>
      <c r="Q424" s="26">
        <f>P424/I424</f>
        <v/>
      </c>
      <c r="R424" s="26">
        <f>(I424-L424-Premissas!$B$5*(I424-L424)-(Premissas!$B$6+Premissas!$B$7)*I424-M424)/I424</f>
        <v/>
      </c>
      <c r="S424" s="24">
        <f>ROUND((CEILING((L424*Premissas!$B$17/Premissas!$B$18-97)/100,1)*100+97)*Premissas!$B$18,2)</f>
        <v/>
      </c>
    </row>
    <row r="425">
      <c r="A425" s="17" t="inlineStr">
        <is>
          <t>KIT 131 MOD. 620W + INV. SOLIS 75KW</t>
        </is>
      </c>
      <c r="B425" s="17" t="inlineStr">
        <is>
          <t>SOLIS</t>
        </is>
      </c>
      <c r="C425" s="17" t="inlineStr">
        <is>
          <t>Inversor</t>
        </is>
      </c>
      <c r="D425" s="21" t="n">
        <v>131</v>
      </c>
      <c r="E425" s="30" t="n">
        <v>81.22</v>
      </c>
      <c r="F425" s="20" t="inlineStr">
        <is>
          <t>SOLIS S6-GC-75K-LV TRI 220V</t>
        </is>
      </c>
      <c r="G425" s="21" t="n">
        <v>1</v>
      </c>
      <c r="H425" s="17" t="inlineStr">
        <is>
          <t>Sim</t>
        </is>
      </c>
      <c r="I425" s="23" t="n">
        <v>191726.85</v>
      </c>
      <c r="J425" s="24">
        <f>(D425*Premissas!$B$24+(2*ROUNDUP(D425/2,0))*Premissas!$B$26+INT((2*ROUNDUP(D425/2,0))/4)*Premissas!$B$27+MOD((2*ROUNDUP(D425/2,0)),4)/2*Premissas!$B$28+2*IF(D425&lt;=19,3*D425,IF(D425&lt;=50,ROUNDUP(2.5*D425,0),2*D425))*Premissas!$B$29+IF(C425="Micro",G425*(Premissas!$B$31+Premissas!$B$32+4*Premissas!$B$30),G425*(INDEX(Premissas!$B$40:$B$71,MATCH(F425,Premissas!$A$40:$A$71,0))+INDEX(Premissas!$C$40:$C$71,MATCH(F425,Premissas!$A$40:$A$71,0))*Premissas!$B$30)))</f>
        <v/>
      </c>
      <c r="K425" s="24">
        <f>IF(J425&lt;Premissas!$B$36,MAX(Premissas!$B$33,J425*Premissas!$B$34),J425*Premissas!$B$35)</f>
        <v/>
      </c>
      <c r="L425" s="24">
        <f>ROUND(J425+K425,2)</f>
        <v/>
      </c>
      <c r="M425" s="24">
        <f>D425*Premissas!$B$8+Premissas!$B$9+Premissas!$B$10+Premissas!$B$11+Premissas!$B$12+ROUND(Premissas!$B$13*E425,2)</f>
        <v/>
      </c>
      <c r="N425" s="25">
        <f>ROUNDUP((L425+M425-Premissas!$B$5*L425)/(1-Premissas!$B$6-Premissas!$B$7-Premissas!$B$5-Premissas!$B$14),2)</f>
        <v/>
      </c>
      <c r="O425" s="24">
        <f>ROUND(IF(N425&lt;=30000,N425*(1+Premissas!$B$21),N425+Premissas!$B$21*30000*SQRT(N425/30000)),2)</f>
        <v/>
      </c>
      <c r="P425" s="24">
        <f>N425-I425</f>
        <v/>
      </c>
      <c r="Q425" s="26">
        <f>P425/I425</f>
        <v/>
      </c>
      <c r="R425" s="26">
        <f>(I425-L425-Premissas!$B$5*(I425-L425)-(Premissas!$B$6+Premissas!$B$7)*I425-M425)/I425</f>
        <v/>
      </c>
      <c r="S425" s="24">
        <f>ROUND((CEILING((L425*Premissas!$B$17/Premissas!$B$18-97)/100,1)*100+97)*Premissas!$B$18,2)</f>
        <v/>
      </c>
    </row>
    <row r="426">
      <c r="A426" s="17" t="inlineStr">
        <is>
          <t>KIT 132 MOD. 620W + INV. SOLIS 75KW</t>
        </is>
      </c>
      <c r="B426" s="17" t="inlineStr">
        <is>
          <t>SOLIS</t>
        </is>
      </c>
      <c r="C426" s="17" t="inlineStr">
        <is>
          <t>Inversor</t>
        </is>
      </c>
      <c r="D426" s="21" t="n">
        <v>132</v>
      </c>
      <c r="E426" s="30" t="n">
        <v>81.84</v>
      </c>
      <c r="F426" s="20" t="inlineStr">
        <is>
          <t>SOLIS S6-GC-75K-LV TRI 220V</t>
        </is>
      </c>
      <c r="G426" s="21" t="n">
        <v>1</v>
      </c>
      <c r="H426" s="17" t="inlineStr">
        <is>
          <t>Sim</t>
        </is>
      </c>
      <c r="I426" s="23" t="n">
        <v>192776.85</v>
      </c>
      <c r="J426" s="24">
        <f>(D426*Premissas!$B$24+(2*ROUNDUP(D426/2,0))*Premissas!$B$26+INT((2*ROUNDUP(D426/2,0))/4)*Premissas!$B$27+MOD((2*ROUNDUP(D426/2,0)),4)/2*Premissas!$B$28+2*IF(D426&lt;=19,3*D426,IF(D426&lt;=50,ROUNDUP(2.5*D426,0),2*D426))*Premissas!$B$29+IF(C426="Micro",G426*(Premissas!$B$31+Premissas!$B$32+4*Premissas!$B$30),G426*(INDEX(Premissas!$B$40:$B$71,MATCH(F426,Premissas!$A$40:$A$71,0))+INDEX(Premissas!$C$40:$C$71,MATCH(F426,Premissas!$A$40:$A$71,0))*Premissas!$B$30)))</f>
        <v/>
      </c>
      <c r="K426" s="24">
        <f>IF(J426&lt;Premissas!$B$36,MAX(Premissas!$B$33,J426*Premissas!$B$34),J426*Premissas!$B$35)</f>
        <v/>
      </c>
      <c r="L426" s="24">
        <f>ROUND(J426+K426,2)</f>
        <v/>
      </c>
      <c r="M426" s="24">
        <f>D426*Premissas!$B$8+Premissas!$B$9+Premissas!$B$10+Premissas!$B$11+Premissas!$B$12+ROUND(Premissas!$B$13*E426,2)</f>
        <v/>
      </c>
      <c r="N426" s="25">
        <f>ROUNDUP((L426+M426-Premissas!$B$5*L426)/(1-Premissas!$B$6-Premissas!$B$7-Premissas!$B$5-Premissas!$B$14),2)</f>
        <v/>
      </c>
      <c r="O426" s="24">
        <f>ROUND(IF(N426&lt;=30000,N426*(1+Premissas!$B$21),N426+Premissas!$B$21*30000*SQRT(N426/30000)),2)</f>
        <v/>
      </c>
      <c r="P426" s="24">
        <f>N426-I426</f>
        <v/>
      </c>
      <c r="Q426" s="26">
        <f>P426/I426</f>
        <v/>
      </c>
      <c r="R426" s="26">
        <f>(I426-L426-Premissas!$B$5*(I426-L426)-(Premissas!$B$6+Premissas!$B$7)*I426-M426)/I426</f>
        <v/>
      </c>
      <c r="S426" s="24">
        <f>ROUND((CEILING((L426*Premissas!$B$17/Premissas!$B$18-97)/100,1)*100+97)*Premissas!$B$18,2)</f>
        <v/>
      </c>
    </row>
    <row r="427">
      <c r="A427" s="17" t="inlineStr">
        <is>
          <t>KIT 133 MOD. 620W + INV. SOLIS 75KW</t>
        </is>
      </c>
      <c r="B427" s="17" t="inlineStr">
        <is>
          <t>SOLIS</t>
        </is>
      </c>
      <c r="C427" s="17" t="inlineStr">
        <is>
          <t>Inversor</t>
        </is>
      </c>
      <c r="D427" s="21" t="n">
        <v>133</v>
      </c>
      <c r="E427" s="30" t="n">
        <v>82.45999999999999</v>
      </c>
      <c r="F427" s="20" t="inlineStr">
        <is>
          <t>SOLIS S6-GC-75K-LV TRI 220V</t>
        </is>
      </c>
      <c r="G427" s="21" t="n">
        <v>1</v>
      </c>
      <c r="H427" s="17" t="inlineStr">
        <is>
          <t>Sim</t>
        </is>
      </c>
      <c r="I427" s="23" t="n">
        <v>194141.85</v>
      </c>
      <c r="J427" s="24">
        <f>(D427*Premissas!$B$24+(2*ROUNDUP(D427/2,0))*Premissas!$B$26+INT((2*ROUNDUP(D427/2,0))/4)*Premissas!$B$27+MOD((2*ROUNDUP(D427/2,0)),4)/2*Premissas!$B$28+2*IF(D427&lt;=19,3*D427,IF(D427&lt;=50,ROUNDUP(2.5*D427,0),2*D427))*Premissas!$B$29+IF(C427="Micro",G427*(Premissas!$B$31+Premissas!$B$32+4*Premissas!$B$30),G427*(INDEX(Premissas!$B$40:$B$71,MATCH(F427,Premissas!$A$40:$A$71,0))+INDEX(Premissas!$C$40:$C$71,MATCH(F427,Premissas!$A$40:$A$71,0))*Premissas!$B$30)))</f>
        <v/>
      </c>
      <c r="K427" s="24">
        <f>IF(J427&lt;Premissas!$B$36,MAX(Premissas!$B$33,J427*Premissas!$B$34),J427*Premissas!$B$35)</f>
        <v/>
      </c>
      <c r="L427" s="24">
        <f>ROUND(J427+K427,2)</f>
        <v/>
      </c>
      <c r="M427" s="24">
        <f>D427*Premissas!$B$8+Premissas!$B$9+Premissas!$B$10+Premissas!$B$11+Premissas!$B$12+ROUND(Premissas!$B$13*E427,2)</f>
        <v/>
      </c>
      <c r="N427" s="25">
        <f>ROUNDUP((L427+M427-Premissas!$B$5*L427)/(1-Premissas!$B$6-Premissas!$B$7-Premissas!$B$5-Premissas!$B$14),2)</f>
        <v/>
      </c>
      <c r="O427" s="24">
        <f>ROUND(IF(N427&lt;=30000,N427*(1+Premissas!$B$21),N427+Premissas!$B$21*30000*SQRT(N427/30000)),2)</f>
        <v/>
      </c>
      <c r="P427" s="24">
        <f>N427-I427</f>
        <v/>
      </c>
      <c r="Q427" s="26">
        <f>P427/I427</f>
        <v/>
      </c>
      <c r="R427" s="26">
        <f>(I427-L427-Premissas!$B$5*(I427-L427)-(Premissas!$B$6+Premissas!$B$7)*I427-M427)/I427</f>
        <v/>
      </c>
      <c r="S427" s="24">
        <f>ROUND((CEILING((L427*Premissas!$B$17/Premissas!$B$18-97)/100,1)*100+97)*Premissas!$B$18,2)</f>
        <v/>
      </c>
    </row>
    <row r="428">
      <c r="A428" s="17" t="inlineStr">
        <is>
          <t>KIT 134 MOD. 620W + INV. SOLIS 75KW</t>
        </is>
      </c>
      <c r="B428" s="17" t="inlineStr">
        <is>
          <t>SOLIS</t>
        </is>
      </c>
      <c r="C428" s="17" t="inlineStr">
        <is>
          <t>Inversor</t>
        </is>
      </c>
      <c r="D428" s="21" t="n">
        <v>134</v>
      </c>
      <c r="E428" s="30" t="n">
        <v>83.08</v>
      </c>
      <c r="F428" s="20" t="inlineStr">
        <is>
          <t>SOLIS S6-GC-75K-LV TRI 220V</t>
        </is>
      </c>
      <c r="G428" s="21" t="n">
        <v>1</v>
      </c>
      <c r="H428" s="17" t="inlineStr">
        <is>
          <t>Sim</t>
        </is>
      </c>
      <c r="I428" s="23" t="n">
        <v>195191.85</v>
      </c>
      <c r="J428" s="24">
        <f>(D428*Premissas!$B$24+(2*ROUNDUP(D428/2,0))*Premissas!$B$26+INT((2*ROUNDUP(D428/2,0))/4)*Premissas!$B$27+MOD((2*ROUNDUP(D428/2,0)),4)/2*Premissas!$B$28+2*IF(D428&lt;=19,3*D428,IF(D428&lt;=50,ROUNDUP(2.5*D428,0),2*D428))*Premissas!$B$29+IF(C428="Micro",G428*(Premissas!$B$31+Premissas!$B$32+4*Premissas!$B$30),G428*(INDEX(Premissas!$B$40:$B$71,MATCH(F428,Premissas!$A$40:$A$71,0))+INDEX(Premissas!$C$40:$C$71,MATCH(F428,Premissas!$A$40:$A$71,0))*Premissas!$B$30)))</f>
        <v/>
      </c>
      <c r="K428" s="24">
        <f>IF(J428&lt;Premissas!$B$36,MAX(Premissas!$B$33,J428*Premissas!$B$34),J428*Premissas!$B$35)</f>
        <v/>
      </c>
      <c r="L428" s="24">
        <f>ROUND(J428+K428,2)</f>
        <v/>
      </c>
      <c r="M428" s="24">
        <f>D428*Premissas!$B$8+Premissas!$B$9+Premissas!$B$10+Premissas!$B$11+Premissas!$B$12+ROUND(Premissas!$B$13*E428,2)</f>
        <v/>
      </c>
      <c r="N428" s="25">
        <f>ROUNDUP((L428+M428-Premissas!$B$5*L428)/(1-Premissas!$B$6-Premissas!$B$7-Premissas!$B$5-Premissas!$B$14),2)</f>
        <v/>
      </c>
      <c r="O428" s="24">
        <f>ROUND(IF(N428&lt;=30000,N428*(1+Premissas!$B$21),N428+Premissas!$B$21*30000*SQRT(N428/30000)),2)</f>
        <v/>
      </c>
      <c r="P428" s="24">
        <f>N428-I428</f>
        <v/>
      </c>
      <c r="Q428" s="26">
        <f>P428/I428</f>
        <v/>
      </c>
      <c r="R428" s="26">
        <f>(I428-L428-Premissas!$B$5*(I428-L428)-(Premissas!$B$6+Premissas!$B$7)*I428-M428)/I428</f>
        <v/>
      </c>
      <c r="S428" s="24">
        <f>ROUND((CEILING((L428*Premissas!$B$17/Premissas!$B$18-97)/100,1)*100+97)*Premissas!$B$18,2)</f>
        <v/>
      </c>
    </row>
    <row r="429">
      <c r="A429" s="17" t="inlineStr">
        <is>
          <t>KIT 135 MOD. 620W + INV. SOLIS 75KW</t>
        </is>
      </c>
      <c r="B429" s="17" t="inlineStr">
        <is>
          <t>SOLIS</t>
        </is>
      </c>
      <c r="C429" s="17" t="inlineStr">
        <is>
          <t>Inversor</t>
        </is>
      </c>
      <c r="D429" s="21" t="n">
        <v>135</v>
      </c>
      <c r="E429" s="30" t="n">
        <v>83.7</v>
      </c>
      <c r="F429" s="20" t="inlineStr">
        <is>
          <t>SOLIS S6-GC-75K-LV TRI 220V</t>
        </is>
      </c>
      <c r="G429" s="21" t="n">
        <v>1</v>
      </c>
      <c r="H429" s="17" t="inlineStr">
        <is>
          <t>Sim</t>
        </is>
      </c>
      <c r="I429" s="23" t="n">
        <v>196451.85</v>
      </c>
      <c r="J429" s="24">
        <f>(D429*Premissas!$B$24+(2*ROUNDUP(D429/2,0))*Premissas!$B$26+INT((2*ROUNDUP(D429/2,0))/4)*Premissas!$B$27+MOD((2*ROUNDUP(D429/2,0)),4)/2*Premissas!$B$28+2*IF(D429&lt;=19,3*D429,IF(D429&lt;=50,ROUNDUP(2.5*D429,0),2*D429))*Premissas!$B$29+IF(C429="Micro",G429*(Premissas!$B$31+Premissas!$B$32+4*Premissas!$B$30),G429*(INDEX(Premissas!$B$40:$B$71,MATCH(F429,Premissas!$A$40:$A$71,0))+INDEX(Premissas!$C$40:$C$71,MATCH(F429,Premissas!$A$40:$A$71,0))*Premissas!$B$30)))</f>
        <v/>
      </c>
      <c r="K429" s="24">
        <f>IF(J429&lt;Premissas!$B$36,MAX(Premissas!$B$33,J429*Premissas!$B$34),J429*Premissas!$B$35)</f>
        <v/>
      </c>
      <c r="L429" s="24">
        <f>ROUND(J429+K429,2)</f>
        <v/>
      </c>
      <c r="M429" s="24">
        <f>D429*Premissas!$B$8+Premissas!$B$9+Premissas!$B$10+Premissas!$B$11+Premissas!$B$12+ROUND(Premissas!$B$13*E429,2)</f>
        <v/>
      </c>
      <c r="N429" s="25">
        <f>ROUNDUP((L429+M429-Premissas!$B$5*L429)/(1-Premissas!$B$6-Premissas!$B$7-Premissas!$B$5-Premissas!$B$14),2)</f>
        <v/>
      </c>
      <c r="O429" s="24">
        <f>ROUND(IF(N429&lt;=30000,N429*(1+Premissas!$B$21),N429+Premissas!$B$21*30000*SQRT(N429/30000)),2)</f>
        <v/>
      </c>
      <c r="P429" s="24">
        <f>N429-I429</f>
        <v/>
      </c>
      <c r="Q429" s="26">
        <f>P429/I429</f>
        <v/>
      </c>
      <c r="R429" s="26">
        <f>(I429-L429-Premissas!$B$5*(I429-L429)-(Premissas!$B$6+Premissas!$B$7)*I429-M429)/I429</f>
        <v/>
      </c>
      <c r="S429" s="24">
        <f>ROUND((CEILING((L429*Premissas!$B$17/Premissas!$B$18-97)/100,1)*100+97)*Premissas!$B$18,2)</f>
        <v/>
      </c>
    </row>
    <row r="430">
      <c r="A430" s="17" t="inlineStr">
        <is>
          <t>KIT 136 MOD. 620W + INV. SOLIS 75KW</t>
        </is>
      </c>
      <c r="B430" s="17" t="inlineStr">
        <is>
          <t>SOLIS</t>
        </is>
      </c>
      <c r="C430" s="17" t="inlineStr">
        <is>
          <t>Inversor</t>
        </is>
      </c>
      <c r="D430" s="21" t="n">
        <v>136</v>
      </c>
      <c r="E430" s="30" t="n">
        <v>84.31999999999999</v>
      </c>
      <c r="F430" s="20" t="inlineStr">
        <is>
          <t>SOLIS S6-GC-75K-LV TRI 220V</t>
        </is>
      </c>
      <c r="G430" s="21" t="n">
        <v>1</v>
      </c>
      <c r="H430" s="17" t="inlineStr">
        <is>
          <t>Sim</t>
        </is>
      </c>
      <c r="I430" s="23" t="n">
        <v>197501.85</v>
      </c>
      <c r="J430" s="24">
        <f>(D430*Premissas!$B$24+(2*ROUNDUP(D430/2,0))*Premissas!$B$26+INT((2*ROUNDUP(D430/2,0))/4)*Premissas!$B$27+MOD((2*ROUNDUP(D430/2,0)),4)/2*Premissas!$B$28+2*IF(D430&lt;=19,3*D430,IF(D430&lt;=50,ROUNDUP(2.5*D430,0),2*D430))*Premissas!$B$29+IF(C430="Micro",G430*(Premissas!$B$31+Premissas!$B$32+4*Premissas!$B$30),G430*(INDEX(Premissas!$B$40:$B$71,MATCH(F430,Premissas!$A$40:$A$71,0))+INDEX(Premissas!$C$40:$C$71,MATCH(F430,Premissas!$A$40:$A$71,0))*Premissas!$B$30)))</f>
        <v/>
      </c>
      <c r="K430" s="24">
        <f>IF(J430&lt;Premissas!$B$36,MAX(Premissas!$B$33,J430*Premissas!$B$34),J430*Premissas!$B$35)</f>
        <v/>
      </c>
      <c r="L430" s="24">
        <f>ROUND(J430+K430,2)</f>
        <v/>
      </c>
      <c r="M430" s="24">
        <f>D430*Premissas!$B$8+Premissas!$B$9+Premissas!$B$10+Premissas!$B$11+Premissas!$B$12+ROUND(Premissas!$B$13*E430,2)</f>
        <v/>
      </c>
      <c r="N430" s="25">
        <f>ROUNDUP((L430+M430-Premissas!$B$5*L430)/(1-Premissas!$B$6-Premissas!$B$7-Premissas!$B$5-Premissas!$B$14),2)</f>
        <v/>
      </c>
      <c r="O430" s="24">
        <f>ROUND(IF(N430&lt;=30000,N430*(1+Premissas!$B$21),N430+Premissas!$B$21*30000*SQRT(N430/30000)),2)</f>
        <v/>
      </c>
      <c r="P430" s="24">
        <f>N430-I430</f>
        <v/>
      </c>
      <c r="Q430" s="26">
        <f>P430/I430</f>
        <v/>
      </c>
      <c r="R430" s="26">
        <f>(I430-L430-Premissas!$B$5*(I430-L430)-(Premissas!$B$6+Premissas!$B$7)*I430-M430)/I430</f>
        <v/>
      </c>
      <c r="S430" s="24">
        <f>ROUND((CEILING((L430*Premissas!$B$17/Premissas!$B$18-97)/100,1)*100+97)*Premissas!$B$18,2)</f>
        <v/>
      </c>
    </row>
    <row r="431">
      <c r="A431" s="17" t="inlineStr">
        <is>
          <t>KIT 137 MOD. 620W + INV. SOLIS 75KW</t>
        </is>
      </c>
      <c r="B431" s="17" t="inlineStr">
        <is>
          <t>SOLIS</t>
        </is>
      </c>
      <c r="C431" s="17" t="inlineStr">
        <is>
          <t>Inversor</t>
        </is>
      </c>
      <c r="D431" s="21" t="n">
        <v>137</v>
      </c>
      <c r="E431" s="30" t="n">
        <v>84.94</v>
      </c>
      <c r="F431" s="20" t="inlineStr">
        <is>
          <t>SOLIS S6-GC-75K-LV TRI 220V</t>
        </is>
      </c>
      <c r="G431" s="21" t="n">
        <v>1</v>
      </c>
      <c r="H431" s="17" t="inlineStr">
        <is>
          <t>Sim</t>
        </is>
      </c>
      <c r="I431" s="23" t="n">
        <v>198866.85</v>
      </c>
      <c r="J431" s="24">
        <f>(D431*Premissas!$B$24+(2*ROUNDUP(D431/2,0))*Premissas!$B$26+INT((2*ROUNDUP(D431/2,0))/4)*Premissas!$B$27+MOD((2*ROUNDUP(D431/2,0)),4)/2*Premissas!$B$28+2*IF(D431&lt;=19,3*D431,IF(D431&lt;=50,ROUNDUP(2.5*D431,0),2*D431))*Premissas!$B$29+IF(C431="Micro",G431*(Premissas!$B$31+Premissas!$B$32+4*Premissas!$B$30),G431*(INDEX(Premissas!$B$40:$B$71,MATCH(F431,Premissas!$A$40:$A$71,0))+INDEX(Premissas!$C$40:$C$71,MATCH(F431,Premissas!$A$40:$A$71,0))*Premissas!$B$30)))</f>
        <v/>
      </c>
      <c r="K431" s="24">
        <f>IF(J431&lt;Premissas!$B$36,MAX(Premissas!$B$33,J431*Premissas!$B$34),J431*Premissas!$B$35)</f>
        <v/>
      </c>
      <c r="L431" s="24">
        <f>ROUND(J431+K431,2)</f>
        <v/>
      </c>
      <c r="M431" s="24">
        <f>D431*Premissas!$B$8+Premissas!$B$9+Premissas!$B$10+Premissas!$B$11+Premissas!$B$12+ROUND(Premissas!$B$13*E431,2)</f>
        <v/>
      </c>
      <c r="N431" s="25">
        <f>ROUNDUP((L431+M431-Premissas!$B$5*L431)/(1-Premissas!$B$6-Premissas!$B$7-Premissas!$B$5-Premissas!$B$14),2)</f>
        <v/>
      </c>
      <c r="O431" s="24">
        <f>ROUND(IF(N431&lt;=30000,N431*(1+Premissas!$B$21),N431+Premissas!$B$21*30000*SQRT(N431/30000)),2)</f>
        <v/>
      </c>
      <c r="P431" s="24">
        <f>N431-I431</f>
        <v/>
      </c>
      <c r="Q431" s="26">
        <f>P431/I431</f>
        <v/>
      </c>
      <c r="R431" s="26">
        <f>(I431-L431-Premissas!$B$5*(I431-L431)-(Premissas!$B$6+Premissas!$B$7)*I431-M431)/I431</f>
        <v/>
      </c>
      <c r="S431" s="24">
        <f>ROUND((CEILING((L431*Premissas!$B$17/Premissas!$B$18-97)/100,1)*100+97)*Premissas!$B$18,2)</f>
        <v/>
      </c>
    </row>
    <row r="432">
      <c r="A432" s="17" t="inlineStr">
        <is>
          <t>KIT 138 MOD. 620W + INV. SOLIS 75KW</t>
        </is>
      </c>
      <c r="B432" s="17" t="inlineStr">
        <is>
          <t>SOLIS</t>
        </is>
      </c>
      <c r="C432" s="17" t="inlineStr">
        <is>
          <t>Inversor</t>
        </is>
      </c>
      <c r="D432" s="21" t="n">
        <v>138</v>
      </c>
      <c r="E432" s="30" t="n">
        <v>85.56</v>
      </c>
      <c r="F432" s="20" t="inlineStr">
        <is>
          <t>SOLIS S6-GC-75K-LV TRI 220V</t>
        </is>
      </c>
      <c r="G432" s="21" t="n">
        <v>1</v>
      </c>
      <c r="H432" s="17" t="inlineStr">
        <is>
          <t>Sim</t>
        </is>
      </c>
      <c r="I432" s="23" t="n">
        <v>199916.85</v>
      </c>
      <c r="J432" s="24">
        <f>(D432*Premissas!$B$24+(2*ROUNDUP(D432/2,0))*Premissas!$B$26+INT((2*ROUNDUP(D432/2,0))/4)*Premissas!$B$27+MOD((2*ROUNDUP(D432/2,0)),4)/2*Premissas!$B$28+2*IF(D432&lt;=19,3*D432,IF(D432&lt;=50,ROUNDUP(2.5*D432,0),2*D432))*Premissas!$B$29+IF(C432="Micro",G432*(Premissas!$B$31+Premissas!$B$32+4*Premissas!$B$30),G432*(INDEX(Premissas!$B$40:$B$71,MATCH(F432,Premissas!$A$40:$A$71,0))+INDEX(Premissas!$C$40:$C$71,MATCH(F432,Premissas!$A$40:$A$71,0))*Premissas!$B$30)))</f>
        <v/>
      </c>
      <c r="K432" s="24">
        <f>IF(J432&lt;Premissas!$B$36,MAX(Premissas!$B$33,J432*Premissas!$B$34),J432*Premissas!$B$35)</f>
        <v/>
      </c>
      <c r="L432" s="24">
        <f>ROUND(J432+K432,2)</f>
        <v/>
      </c>
      <c r="M432" s="24">
        <f>D432*Premissas!$B$8+Premissas!$B$9+Premissas!$B$10+Premissas!$B$11+Premissas!$B$12+ROUND(Premissas!$B$13*E432,2)</f>
        <v/>
      </c>
      <c r="N432" s="25">
        <f>ROUNDUP((L432+M432-Premissas!$B$5*L432)/(1-Premissas!$B$6-Premissas!$B$7-Premissas!$B$5-Premissas!$B$14),2)</f>
        <v/>
      </c>
      <c r="O432" s="24">
        <f>ROUND(IF(N432&lt;=30000,N432*(1+Premissas!$B$21),N432+Premissas!$B$21*30000*SQRT(N432/30000)),2)</f>
        <v/>
      </c>
      <c r="P432" s="24">
        <f>N432-I432</f>
        <v/>
      </c>
      <c r="Q432" s="26">
        <f>P432/I432</f>
        <v/>
      </c>
      <c r="R432" s="26">
        <f>(I432-L432-Premissas!$B$5*(I432-L432)-(Premissas!$B$6+Premissas!$B$7)*I432-M432)/I432</f>
        <v/>
      </c>
      <c r="S432" s="24">
        <f>ROUND((CEILING((L432*Premissas!$B$17/Premissas!$B$18-97)/100,1)*100+97)*Premissas!$B$18,2)</f>
        <v/>
      </c>
    </row>
    <row r="433">
      <c r="A433" s="17" t="inlineStr">
        <is>
          <t>KIT 139 MOD. 620W + INV. SOLIS 75KW</t>
        </is>
      </c>
      <c r="B433" s="17" t="inlineStr">
        <is>
          <t>SOLIS</t>
        </is>
      </c>
      <c r="C433" s="17" t="inlineStr">
        <is>
          <t>Inversor</t>
        </is>
      </c>
      <c r="D433" s="21" t="n">
        <v>139</v>
      </c>
      <c r="E433" s="30" t="n">
        <v>86.18000000000001</v>
      </c>
      <c r="F433" s="20" t="inlineStr">
        <is>
          <t>SOLIS S6-GC-75K-LV TRI 220V</t>
        </is>
      </c>
      <c r="G433" s="21" t="n">
        <v>1</v>
      </c>
      <c r="H433" s="17" t="inlineStr">
        <is>
          <t>Sim</t>
        </is>
      </c>
      <c r="I433" s="23" t="n">
        <v>201176.85</v>
      </c>
      <c r="J433" s="24">
        <f>(D433*Premissas!$B$24+(2*ROUNDUP(D433/2,0))*Premissas!$B$26+INT((2*ROUNDUP(D433/2,0))/4)*Premissas!$B$27+MOD((2*ROUNDUP(D433/2,0)),4)/2*Premissas!$B$28+2*IF(D433&lt;=19,3*D433,IF(D433&lt;=50,ROUNDUP(2.5*D433,0),2*D433))*Premissas!$B$29+IF(C433="Micro",G433*(Premissas!$B$31+Premissas!$B$32+4*Premissas!$B$30),G433*(INDEX(Premissas!$B$40:$B$71,MATCH(F433,Premissas!$A$40:$A$71,0))+INDEX(Premissas!$C$40:$C$71,MATCH(F433,Premissas!$A$40:$A$71,0))*Premissas!$B$30)))</f>
        <v/>
      </c>
      <c r="K433" s="24">
        <f>IF(J433&lt;Premissas!$B$36,MAX(Premissas!$B$33,J433*Premissas!$B$34),J433*Premissas!$B$35)</f>
        <v/>
      </c>
      <c r="L433" s="24">
        <f>ROUND(J433+K433,2)</f>
        <v/>
      </c>
      <c r="M433" s="24">
        <f>D433*Premissas!$B$8+Premissas!$B$9+Premissas!$B$10+Premissas!$B$11+Premissas!$B$12+ROUND(Premissas!$B$13*E433,2)</f>
        <v/>
      </c>
      <c r="N433" s="25">
        <f>ROUNDUP((L433+M433-Premissas!$B$5*L433)/(1-Premissas!$B$6-Premissas!$B$7-Premissas!$B$5-Premissas!$B$14),2)</f>
        <v/>
      </c>
      <c r="O433" s="24">
        <f>ROUND(IF(N433&lt;=30000,N433*(1+Premissas!$B$21),N433+Premissas!$B$21*30000*SQRT(N433/30000)),2)</f>
        <v/>
      </c>
      <c r="P433" s="24">
        <f>N433-I433</f>
        <v/>
      </c>
      <c r="Q433" s="26">
        <f>P433/I433</f>
        <v/>
      </c>
      <c r="R433" s="26">
        <f>(I433-L433-Premissas!$B$5*(I433-L433)-(Premissas!$B$6+Premissas!$B$7)*I433-M433)/I433</f>
        <v/>
      </c>
      <c r="S433" s="24">
        <f>ROUND((CEILING((L433*Premissas!$B$17/Premissas!$B$18-97)/100,1)*100+97)*Premissas!$B$18,2)</f>
        <v/>
      </c>
    </row>
    <row r="434">
      <c r="A434" s="17" t="inlineStr">
        <is>
          <t>KIT 140 MOD. 620W + INV. SOLIS 75KW</t>
        </is>
      </c>
      <c r="B434" s="17" t="inlineStr">
        <is>
          <t>SOLIS</t>
        </is>
      </c>
      <c r="C434" s="17" t="inlineStr">
        <is>
          <t>Inversor</t>
        </is>
      </c>
      <c r="D434" s="21" t="n">
        <v>140</v>
      </c>
      <c r="E434" s="30" t="n">
        <v>86.8</v>
      </c>
      <c r="F434" s="20" t="inlineStr">
        <is>
          <t>SOLIS S6-GC-75K-LV TRI 220V</t>
        </is>
      </c>
      <c r="G434" s="21" t="n">
        <v>1</v>
      </c>
      <c r="H434" s="17" t="inlineStr">
        <is>
          <t>Sim</t>
        </is>
      </c>
      <c r="I434" s="23" t="n">
        <v>202226.85</v>
      </c>
      <c r="J434" s="24">
        <f>(D434*Premissas!$B$24+(2*ROUNDUP(D434/2,0))*Premissas!$B$26+INT((2*ROUNDUP(D434/2,0))/4)*Premissas!$B$27+MOD((2*ROUNDUP(D434/2,0)),4)/2*Premissas!$B$28+2*IF(D434&lt;=19,3*D434,IF(D434&lt;=50,ROUNDUP(2.5*D434,0),2*D434))*Premissas!$B$29+IF(C434="Micro",G434*(Premissas!$B$31+Premissas!$B$32+4*Premissas!$B$30),G434*(INDEX(Premissas!$B$40:$B$71,MATCH(F434,Premissas!$A$40:$A$71,0))+INDEX(Premissas!$C$40:$C$71,MATCH(F434,Premissas!$A$40:$A$71,0))*Premissas!$B$30)))</f>
        <v/>
      </c>
      <c r="K434" s="24">
        <f>IF(J434&lt;Premissas!$B$36,MAX(Premissas!$B$33,J434*Premissas!$B$34),J434*Premissas!$B$35)</f>
        <v/>
      </c>
      <c r="L434" s="24">
        <f>ROUND(J434+K434,2)</f>
        <v/>
      </c>
      <c r="M434" s="24">
        <f>D434*Premissas!$B$8+Premissas!$B$9+Premissas!$B$10+Premissas!$B$11+Premissas!$B$12+ROUND(Premissas!$B$13*E434,2)</f>
        <v/>
      </c>
      <c r="N434" s="25">
        <f>ROUNDUP((L434+M434-Premissas!$B$5*L434)/(1-Premissas!$B$6-Premissas!$B$7-Premissas!$B$5-Premissas!$B$14),2)</f>
        <v/>
      </c>
      <c r="O434" s="24">
        <f>ROUND(IF(N434&lt;=30000,N434*(1+Premissas!$B$21),N434+Premissas!$B$21*30000*SQRT(N434/30000)),2)</f>
        <v/>
      </c>
      <c r="P434" s="24">
        <f>N434-I434</f>
        <v/>
      </c>
      <c r="Q434" s="26">
        <f>P434/I434</f>
        <v/>
      </c>
      <c r="R434" s="26">
        <f>(I434-L434-Premissas!$B$5*(I434-L434)-(Premissas!$B$6+Premissas!$B$7)*I434-M434)/I434</f>
        <v/>
      </c>
      <c r="S434" s="24">
        <f>ROUND((CEILING((L434*Premissas!$B$17/Premissas!$B$18-97)/100,1)*100+97)*Premissas!$B$18,2)</f>
        <v/>
      </c>
    </row>
    <row r="435">
      <c r="A435" s="17" t="inlineStr">
        <is>
          <t>KIT 141 MOD. 620W + INV. SOLIS 75KW</t>
        </is>
      </c>
      <c r="B435" s="17" t="inlineStr">
        <is>
          <t>SOLIS</t>
        </is>
      </c>
      <c r="C435" s="17" t="inlineStr">
        <is>
          <t>Inversor</t>
        </is>
      </c>
      <c r="D435" s="21" t="n">
        <v>141</v>
      </c>
      <c r="E435" s="30" t="n">
        <v>87.42</v>
      </c>
      <c r="F435" s="20" t="inlineStr">
        <is>
          <t>SOLIS S6-GC-75K-LV TRI 220V</t>
        </is>
      </c>
      <c r="G435" s="21" t="n">
        <v>1</v>
      </c>
      <c r="H435" s="17" t="inlineStr">
        <is>
          <t>Sim</t>
        </is>
      </c>
      <c r="I435" s="23" t="n">
        <v>203591.85</v>
      </c>
      <c r="J435" s="24">
        <f>(D435*Premissas!$B$24+(2*ROUNDUP(D435/2,0))*Premissas!$B$26+INT((2*ROUNDUP(D435/2,0))/4)*Premissas!$B$27+MOD((2*ROUNDUP(D435/2,0)),4)/2*Premissas!$B$28+2*IF(D435&lt;=19,3*D435,IF(D435&lt;=50,ROUNDUP(2.5*D435,0),2*D435))*Premissas!$B$29+IF(C435="Micro",G435*(Premissas!$B$31+Premissas!$B$32+4*Premissas!$B$30),G435*(INDEX(Premissas!$B$40:$B$71,MATCH(F435,Premissas!$A$40:$A$71,0))+INDEX(Premissas!$C$40:$C$71,MATCH(F435,Premissas!$A$40:$A$71,0))*Premissas!$B$30)))</f>
        <v/>
      </c>
      <c r="K435" s="24">
        <f>IF(J435&lt;Premissas!$B$36,MAX(Premissas!$B$33,J435*Premissas!$B$34),J435*Premissas!$B$35)</f>
        <v/>
      </c>
      <c r="L435" s="24">
        <f>ROUND(J435+K435,2)</f>
        <v/>
      </c>
      <c r="M435" s="24">
        <f>D435*Premissas!$B$8+Premissas!$B$9+Premissas!$B$10+Premissas!$B$11+Premissas!$B$12+ROUND(Premissas!$B$13*E435,2)</f>
        <v/>
      </c>
      <c r="N435" s="25">
        <f>ROUNDUP((L435+M435-Premissas!$B$5*L435)/(1-Premissas!$B$6-Premissas!$B$7-Premissas!$B$5-Premissas!$B$14),2)</f>
        <v/>
      </c>
      <c r="O435" s="24">
        <f>ROUND(IF(N435&lt;=30000,N435*(1+Premissas!$B$21),N435+Premissas!$B$21*30000*SQRT(N435/30000)),2)</f>
        <v/>
      </c>
      <c r="P435" s="24">
        <f>N435-I435</f>
        <v/>
      </c>
      <c r="Q435" s="26">
        <f>P435/I435</f>
        <v/>
      </c>
      <c r="R435" s="26">
        <f>(I435-L435-Premissas!$B$5*(I435-L435)-(Premissas!$B$6+Premissas!$B$7)*I435-M435)/I435</f>
        <v/>
      </c>
      <c r="S435" s="24">
        <f>ROUND((CEILING((L435*Premissas!$B$17/Premissas!$B$18-97)/100,1)*100+97)*Premissas!$B$18,2)</f>
        <v/>
      </c>
    </row>
    <row r="436">
      <c r="A436" s="17" t="inlineStr">
        <is>
          <t>KIT 142 MOD. 620W + INV. SOLIS 75KW</t>
        </is>
      </c>
      <c r="B436" s="17" t="inlineStr">
        <is>
          <t>SOLIS</t>
        </is>
      </c>
      <c r="C436" s="17" t="inlineStr">
        <is>
          <t>Inversor</t>
        </is>
      </c>
      <c r="D436" s="21" t="n">
        <v>142</v>
      </c>
      <c r="E436" s="30" t="n">
        <v>88.04000000000001</v>
      </c>
      <c r="F436" s="20" t="inlineStr">
        <is>
          <t>SOLIS S6-GC-75K-LV TRI 220V</t>
        </is>
      </c>
      <c r="G436" s="21" t="n">
        <v>1</v>
      </c>
      <c r="H436" s="17" t="inlineStr">
        <is>
          <t>Sim</t>
        </is>
      </c>
      <c r="I436" s="23" t="n">
        <v>204641.85</v>
      </c>
      <c r="J436" s="24">
        <f>(D436*Premissas!$B$24+(2*ROUNDUP(D436/2,0))*Premissas!$B$26+INT((2*ROUNDUP(D436/2,0))/4)*Premissas!$B$27+MOD((2*ROUNDUP(D436/2,0)),4)/2*Premissas!$B$28+2*IF(D436&lt;=19,3*D436,IF(D436&lt;=50,ROUNDUP(2.5*D436,0),2*D436))*Premissas!$B$29+IF(C436="Micro",G436*(Premissas!$B$31+Premissas!$B$32+4*Premissas!$B$30),G436*(INDEX(Premissas!$B$40:$B$71,MATCH(F436,Premissas!$A$40:$A$71,0))+INDEX(Premissas!$C$40:$C$71,MATCH(F436,Premissas!$A$40:$A$71,0))*Premissas!$B$30)))</f>
        <v/>
      </c>
      <c r="K436" s="24">
        <f>IF(J436&lt;Premissas!$B$36,MAX(Premissas!$B$33,J436*Premissas!$B$34),J436*Premissas!$B$35)</f>
        <v/>
      </c>
      <c r="L436" s="24">
        <f>ROUND(J436+K436,2)</f>
        <v/>
      </c>
      <c r="M436" s="24">
        <f>D436*Premissas!$B$8+Premissas!$B$9+Premissas!$B$10+Premissas!$B$11+Premissas!$B$12+ROUND(Premissas!$B$13*E436,2)</f>
        <v/>
      </c>
      <c r="N436" s="25">
        <f>ROUNDUP((L436+M436-Premissas!$B$5*L436)/(1-Premissas!$B$6-Premissas!$B$7-Premissas!$B$5-Premissas!$B$14),2)</f>
        <v/>
      </c>
      <c r="O436" s="24">
        <f>ROUND(IF(N436&lt;=30000,N436*(1+Premissas!$B$21),N436+Premissas!$B$21*30000*SQRT(N436/30000)),2)</f>
        <v/>
      </c>
      <c r="P436" s="24">
        <f>N436-I436</f>
        <v/>
      </c>
      <c r="Q436" s="26">
        <f>P436/I436</f>
        <v/>
      </c>
      <c r="R436" s="26">
        <f>(I436-L436-Premissas!$B$5*(I436-L436)-(Premissas!$B$6+Premissas!$B$7)*I436-M436)/I436</f>
        <v/>
      </c>
      <c r="S436" s="24">
        <f>ROUND((CEILING((L436*Premissas!$B$17/Premissas!$B$18-97)/100,1)*100+97)*Premissas!$B$18,2)</f>
        <v/>
      </c>
    </row>
    <row r="437">
      <c r="A437" s="17" t="inlineStr">
        <is>
          <t>KIT 143 MOD. 620W + INV. SOLIS 75KW</t>
        </is>
      </c>
      <c r="B437" s="17" t="inlineStr">
        <is>
          <t>SOLIS</t>
        </is>
      </c>
      <c r="C437" s="17" t="inlineStr">
        <is>
          <t>Inversor</t>
        </is>
      </c>
      <c r="D437" s="21" t="n">
        <v>143</v>
      </c>
      <c r="E437" s="30" t="n">
        <v>88.66</v>
      </c>
      <c r="F437" s="20" t="inlineStr">
        <is>
          <t>SOLIS S6-GC-75K-LV TRI 220V</t>
        </is>
      </c>
      <c r="G437" s="21" t="n">
        <v>1</v>
      </c>
      <c r="H437" s="17" t="inlineStr">
        <is>
          <t>Sim</t>
        </is>
      </c>
      <c r="I437" s="23" t="n">
        <v>206006.85</v>
      </c>
      <c r="J437" s="24">
        <f>(D437*Premissas!$B$24+(2*ROUNDUP(D437/2,0))*Premissas!$B$26+INT((2*ROUNDUP(D437/2,0))/4)*Premissas!$B$27+MOD((2*ROUNDUP(D437/2,0)),4)/2*Premissas!$B$28+2*IF(D437&lt;=19,3*D437,IF(D437&lt;=50,ROUNDUP(2.5*D437,0),2*D437))*Premissas!$B$29+IF(C437="Micro",G437*(Premissas!$B$31+Premissas!$B$32+4*Premissas!$B$30),G437*(INDEX(Premissas!$B$40:$B$71,MATCH(F437,Premissas!$A$40:$A$71,0))+INDEX(Premissas!$C$40:$C$71,MATCH(F437,Premissas!$A$40:$A$71,0))*Premissas!$B$30)))</f>
        <v/>
      </c>
      <c r="K437" s="24">
        <f>IF(J437&lt;Premissas!$B$36,MAX(Premissas!$B$33,J437*Premissas!$B$34),J437*Premissas!$B$35)</f>
        <v/>
      </c>
      <c r="L437" s="24">
        <f>ROUND(J437+K437,2)</f>
        <v/>
      </c>
      <c r="M437" s="24">
        <f>D437*Premissas!$B$8+Premissas!$B$9+Premissas!$B$10+Premissas!$B$11+Premissas!$B$12+ROUND(Premissas!$B$13*E437,2)</f>
        <v/>
      </c>
      <c r="N437" s="25">
        <f>ROUNDUP((L437+M437-Premissas!$B$5*L437)/(1-Premissas!$B$6-Premissas!$B$7-Premissas!$B$5-Premissas!$B$14),2)</f>
        <v/>
      </c>
      <c r="O437" s="24">
        <f>ROUND(IF(N437&lt;=30000,N437*(1+Premissas!$B$21),N437+Premissas!$B$21*30000*SQRT(N437/30000)),2)</f>
        <v/>
      </c>
      <c r="P437" s="24">
        <f>N437-I437</f>
        <v/>
      </c>
      <c r="Q437" s="26">
        <f>P437/I437</f>
        <v/>
      </c>
      <c r="R437" s="26">
        <f>(I437-L437-Premissas!$B$5*(I437-L437)-(Premissas!$B$6+Premissas!$B$7)*I437-M437)/I437</f>
        <v/>
      </c>
      <c r="S437" s="24">
        <f>ROUND((CEILING((L437*Premissas!$B$17/Premissas!$B$18-97)/100,1)*100+97)*Premissas!$B$18,2)</f>
        <v/>
      </c>
    </row>
    <row r="438">
      <c r="A438" s="17" t="inlineStr">
        <is>
          <t>KIT 144 MOD. 620W + INV. SOLIS 75KW</t>
        </is>
      </c>
      <c r="B438" s="17" t="inlineStr">
        <is>
          <t>SOLIS</t>
        </is>
      </c>
      <c r="C438" s="17" t="inlineStr">
        <is>
          <t>Inversor</t>
        </is>
      </c>
      <c r="D438" s="21" t="n">
        <v>144</v>
      </c>
      <c r="E438" s="30" t="n">
        <v>89.28</v>
      </c>
      <c r="F438" s="20" t="inlineStr">
        <is>
          <t>SOLIS S6-GC-75K-LV TRI 220V</t>
        </is>
      </c>
      <c r="G438" s="21" t="n">
        <v>1</v>
      </c>
      <c r="H438" s="17" t="inlineStr">
        <is>
          <t>Sim</t>
        </is>
      </c>
      <c r="I438" s="23" t="n">
        <v>207056.85</v>
      </c>
      <c r="J438" s="24">
        <f>(D438*Premissas!$B$24+(2*ROUNDUP(D438/2,0))*Premissas!$B$26+INT((2*ROUNDUP(D438/2,0))/4)*Premissas!$B$27+MOD((2*ROUNDUP(D438/2,0)),4)/2*Premissas!$B$28+2*IF(D438&lt;=19,3*D438,IF(D438&lt;=50,ROUNDUP(2.5*D438,0),2*D438))*Premissas!$B$29+IF(C438="Micro",G438*(Premissas!$B$31+Premissas!$B$32+4*Premissas!$B$30),G438*(INDEX(Premissas!$B$40:$B$71,MATCH(F438,Premissas!$A$40:$A$71,0))+INDEX(Premissas!$C$40:$C$71,MATCH(F438,Premissas!$A$40:$A$71,0))*Premissas!$B$30)))</f>
        <v/>
      </c>
      <c r="K438" s="24">
        <f>IF(J438&lt;Premissas!$B$36,MAX(Premissas!$B$33,J438*Premissas!$B$34),J438*Premissas!$B$35)</f>
        <v/>
      </c>
      <c r="L438" s="24">
        <f>ROUND(J438+K438,2)</f>
        <v/>
      </c>
      <c r="M438" s="24">
        <f>D438*Premissas!$B$8+Premissas!$B$9+Premissas!$B$10+Premissas!$B$11+Premissas!$B$12+ROUND(Premissas!$B$13*E438,2)</f>
        <v/>
      </c>
      <c r="N438" s="25">
        <f>ROUNDUP((L438+M438-Premissas!$B$5*L438)/(1-Premissas!$B$6-Premissas!$B$7-Premissas!$B$5-Premissas!$B$14),2)</f>
        <v/>
      </c>
      <c r="O438" s="24">
        <f>ROUND(IF(N438&lt;=30000,N438*(1+Premissas!$B$21),N438+Premissas!$B$21*30000*SQRT(N438/30000)),2)</f>
        <v/>
      </c>
      <c r="P438" s="24">
        <f>N438-I438</f>
        <v/>
      </c>
      <c r="Q438" s="26">
        <f>P438/I438</f>
        <v/>
      </c>
      <c r="R438" s="26">
        <f>(I438-L438-Premissas!$B$5*(I438-L438)-(Premissas!$B$6+Premissas!$B$7)*I438-M438)/I438</f>
        <v/>
      </c>
      <c r="S438" s="24">
        <f>ROUND((CEILING((L438*Premissas!$B$17/Premissas!$B$18-97)/100,1)*100+97)*Premissas!$B$18,2)</f>
        <v/>
      </c>
    </row>
    <row r="439">
      <c r="A439" s="17" t="inlineStr">
        <is>
          <t>KIT 145 MOD. 620W + INV. SOLIS 75KW</t>
        </is>
      </c>
      <c r="B439" s="17" t="inlineStr">
        <is>
          <t>SOLIS</t>
        </is>
      </c>
      <c r="C439" s="17" t="inlineStr">
        <is>
          <t>Inversor</t>
        </is>
      </c>
      <c r="D439" s="21" t="n">
        <v>145</v>
      </c>
      <c r="E439" s="30" t="n">
        <v>89.90000000000001</v>
      </c>
      <c r="F439" s="20" t="inlineStr">
        <is>
          <t>SOLIS S6-GC-75K-LV TRI 220V</t>
        </is>
      </c>
      <c r="G439" s="21" t="n">
        <v>1</v>
      </c>
      <c r="H439" s="17" t="inlineStr">
        <is>
          <t>Sim</t>
        </is>
      </c>
      <c r="I439" s="23" t="n">
        <v>208316.85</v>
      </c>
      <c r="J439" s="24">
        <f>(D439*Premissas!$B$24+(2*ROUNDUP(D439/2,0))*Premissas!$B$26+INT((2*ROUNDUP(D439/2,0))/4)*Premissas!$B$27+MOD((2*ROUNDUP(D439/2,0)),4)/2*Premissas!$B$28+2*IF(D439&lt;=19,3*D439,IF(D439&lt;=50,ROUNDUP(2.5*D439,0),2*D439))*Premissas!$B$29+IF(C439="Micro",G439*(Premissas!$B$31+Premissas!$B$32+4*Premissas!$B$30),G439*(INDEX(Premissas!$B$40:$B$71,MATCH(F439,Premissas!$A$40:$A$71,0))+INDEX(Premissas!$C$40:$C$71,MATCH(F439,Premissas!$A$40:$A$71,0))*Premissas!$B$30)))</f>
        <v/>
      </c>
      <c r="K439" s="24">
        <f>IF(J439&lt;Premissas!$B$36,MAX(Premissas!$B$33,J439*Premissas!$B$34),J439*Premissas!$B$35)</f>
        <v/>
      </c>
      <c r="L439" s="24">
        <f>ROUND(J439+K439,2)</f>
        <v/>
      </c>
      <c r="M439" s="24">
        <f>D439*Premissas!$B$8+Premissas!$B$9+Premissas!$B$10+Premissas!$B$11+Premissas!$B$12+ROUND(Premissas!$B$13*E439,2)</f>
        <v/>
      </c>
      <c r="N439" s="25">
        <f>ROUNDUP((L439+M439-Premissas!$B$5*L439)/(1-Premissas!$B$6-Premissas!$B$7-Premissas!$B$5-Premissas!$B$14),2)</f>
        <v/>
      </c>
      <c r="O439" s="24">
        <f>ROUND(IF(N439&lt;=30000,N439*(1+Premissas!$B$21),N439+Premissas!$B$21*30000*SQRT(N439/30000)),2)</f>
        <v/>
      </c>
      <c r="P439" s="24">
        <f>N439-I439</f>
        <v/>
      </c>
      <c r="Q439" s="26">
        <f>P439/I439</f>
        <v/>
      </c>
      <c r="R439" s="26">
        <f>(I439-L439-Premissas!$B$5*(I439-L439)-(Premissas!$B$6+Premissas!$B$7)*I439-M439)/I439</f>
        <v/>
      </c>
      <c r="S439" s="24">
        <f>ROUND((CEILING((L439*Premissas!$B$17/Premissas!$B$18-97)/100,1)*100+97)*Premissas!$B$18,2)</f>
        <v/>
      </c>
    </row>
    <row r="440">
      <c r="A440" s="17" t="inlineStr">
        <is>
          <t>KIT 146 MOD. 620W + INV. SOLIS 75KW</t>
        </is>
      </c>
      <c r="B440" s="17" t="inlineStr">
        <is>
          <t>SOLIS</t>
        </is>
      </c>
      <c r="C440" s="17" t="inlineStr">
        <is>
          <t>Inversor</t>
        </is>
      </c>
      <c r="D440" s="21" t="n">
        <v>146</v>
      </c>
      <c r="E440" s="30" t="n">
        <v>90.52</v>
      </c>
      <c r="F440" s="20" t="inlineStr">
        <is>
          <t>SOLIS S6-GC-75K-LV TRI 220V</t>
        </is>
      </c>
      <c r="G440" s="21" t="n">
        <v>1</v>
      </c>
      <c r="H440" s="17" t="inlineStr">
        <is>
          <t>Sim</t>
        </is>
      </c>
      <c r="I440" s="23" t="n">
        <v>209366.85</v>
      </c>
      <c r="J440" s="24">
        <f>(D440*Premissas!$B$24+(2*ROUNDUP(D440/2,0))*Premissas!$B$26+INT((2*ROUNDUP(D440/2,0))/4)*Premissas!$B$27+MOD((2*ROUNDUP(D440/2,0)),4)/2*Premissas!$B$28+2*IF(D440&lt;=19,3*D440,IF(D440&lt;=50,ROUNDUP(2.5*D440,0),2*D440))*Premissas!$B$29+IF(C440="Micro",G440*(Premissas!$B$31+Premissas!$B$32+4*Premissas!$B$30),G440*(INDEX(Premissas!$B$40:$B$71,MATCH(F440,Premissas!$A$40:$A$71,0))+INDEX(Premissas!$C$40:$C$71,MATCH(F440,Premissas!$A$40:$A$71,0))*Premissas!$B$30)))</f>
        <v/>
      </c>
      <c r="K440" s="24">
        <f>IF(J440&lt;Premissas!$B$36,MAX(Premissas!$B$33,J440*Premissas!$B$34),J440*Premissas!$B$35)</f>
        <v/>
      </c>
      <c r="L440" s="24">
        <f>ROUND(J440+K440,2)</f>
        <v/>
      </c>
      <c r="M440" s="24">
        <f>D440*Premissas!$B$8+Premissas!$B$9+Premissas!$B$10+Premissas!$B$11+Premissas!$B$12+ROUND(Premissas!$B$13*E440,2)</f>
        <v/>
      </c>
      <c r="N440" s="25">
        <f>ROUNDUP((L440+M440-Premissas!$B$5*L440)/(1-Premissas!$B$6-Premissas!$B$7-Premissas!$B$5-Premissas!$B$14),2)</f>
        <v/>
      </c>
      <c r="O440" s="24">
        <f>ROUND(IF(N440&lt;=30000,N440*(1+Premissas!$B$21),N440+Premissas!$B$21*30000*SQRT(N440/30000)),2)</f>
        <v/>
      </c>
      <c r="P440" s="24">
        <f>N440-I440</f>
        <v/>
      </c>
      <c r="Q440" s="26">
        <f>P440/I440</f>
        <v/>
      </c>
      <c r="R440" s="26">
        <f>(I440-L440-Premissas!$B$5*(I440-L440)-(Premissas!$B$6+Premissas!$B$7)*I440-M440)/I440</f>
        <v/>
      </c>
      <c r="S440" s="24">
        <f>ROUND((CEILING((L440*Premissas!$B$17/Premissas!$B$18-97)/100,1)*100+97)*Premissas!$B$18,2)</f>
        <v/>
      </c>
    </row>
    <row r="441">
      <c r="A441" s="17" t="inlineStr">
        <is>
          <t>KIT 147 MOD. 620W + INV. SOLIS 75KW</t>
        </is>
      </c>
      <c r="B441" s="17" t="inlineStr">
        <is>
          <t>SOLIS</t>
        </is>
      </c>
      <c r="C441" s="17" t="inlineStr">
        <is>
          <t>Inversor</t>
        </is>
      </c>
      <c r="D441" s="21" t="n">
        <v>147</v>
      </c>
      <c r="E441" s="30" t="n">
        <v>91.14</v>
      </c>
      <c r="F441" s="20" t="inlineStr">
        <is>
          <t>SOLIS S6-GC-75K-LV TRI 220V</t>
        </is>
      </c>
      <c r="G441" s="21" t="n">
        <v>1</v>
      </c>
      <c r="H441" s="17" t="inlineStr">
        <is>
          <t>Sim</t>
        </is>
      </c>
      <c r="I441" s="23" t="n">
        <v>210731.85</v>
      </c>
      <c r="J441" s="24">
        <f>(D441*Premissas!$B$24+(2*ROUNDUP(D441/2,0))*Premissas!$B$26+INT((2*ROUNDUP(D441/2,0))/4)*Premissas!$B$27+MOD((2*ROUNDUP(D441/2,0)),4)/2*Premissas!$B$28+2*IF(D441&lt;=19,3*D441,IF(D441&lt;=50,ROUNDUP(2.5*D441,0),2*D441))*Premissas!$B$29+IF(C441="Micro",G441*(Premissas!$B$31+Premissas!$B$32+4*Premissas!$B$30),G441*(INDEX(Premissas!$B$40:$B$71,MATCH(F441,Premissas!$A$40:$A$71,0))+INDEX(Premissas!$C$40:$C$71,MATCH(F441,Premissas!$A$40:$A$71,0))*Premissas!$B$30)))</f>
        <v/>
      </c>
      <c r="K441" s="24">
        <f>IF(J441&lt;Premissas!$B$36,MAX(Premissas!$B$33,J441*Premissas!$B$34),J441*Premissas!$B$35)</f>
        <v/>
      </c>
      <c r="L441" s="24">
        <f>ROUND(J441+K441,2)</f>
        <v/>
      </c>
      <c r="M441" s="24">
        <f>D441*Premissas!$B$8+Premissas!$B$9+Premissas!$B$10+Premissas!$B$11+Premissas!$B$12+ROUND(Premissas!$B$13*E441,2)</f>
        <v/>
      </c>
      <c r="N441" s="25">
        <f>ROUNDUP((L441+M441-Premissas!$B$5*L441)/(1-Premissas!$B$6-Premissas!$B$7-Premissas!$B$5-Premissas!$B$14),2)</f>
        <v/>
      </c>
      <c r="O441" s="24">
        <f>ROUND(IF(N441&lt;=30000,N441*(1+Premissas!$B$21),N441+Premissas!$B$21*30000*SQRT(N441/30000)),2)</f>
        <v/>
      </c>
      <c r="P441" s="24">
        <f>N441-I441</f>
        <v/>
      </c>
      <c r="Q441" s="26">
        <f>P441/I441</f>
        <v/>
      </c>
      <c r="R441" s="26">
        <f>(I441-L441-Premissas!$B$5*(I441-L441)-(Premissas!$B$6+Premissas!$B$7)*I441-M441)/I441</f>
        <v/>
      </c>
      <c r="S441" s="24">
        <f>ROUND((CEILING((L441*Premissas!$B$17/Premissas!$B$18-97)/100,1)*100+97)*Premissas!$B$18,2)</f>
        <v/>
      </c>
    </row>
    <row r="442">
      <c r="A442" s="17" t="inlineStr">
        <is>
          <t>KIT 148 MOD. 620W + INV. SOLIS 75KW</t>
        </is>
      </c>
      <c r="B442" s="17" t="inlineStr">
        <is>
          <t>SOLIS</t>
        </is>
      </c>
      <c r="C442" s="17" t="inlineStr">
        <is>
          <t>Inversor</t>
        </is>
      </c>
      <c r="D442" s="21" t="n">
        <v>148</v>
      </c>
      <c r="E442" s="30" t="n">
        <v>91.76000000000001</v>
      </c>
      <c r="F442" s="20" t="inlineStr">
        <is>
          <t>SOLIS S6-GC-75K-LV TRI 220V</t>
        </is>
      </c>
      <c r="G442" s="21" t="n">
        <v>1</v>
      </c>
      <c r="H442" s="17" t="inlineStr">
        <is>
          <t>Sim</t>
        </is>
      </c>
      <c r="I442" s="23" t="n">
        <v>211781.85</v>
      </c>
      <c r="J442" s="24">
        <f>(D442*Premissas!$B$24+(2*ROUNDUP(D442/2,0))*Premissas!$B$26+INT((2*ROUNDUP(D442/2,0))/4)*Premissas!$B$27+MOD((2*ROUNDUP(D442/2,0)),4)/2*Premissas!$B$28+2*IF(D442&lt;=19,3*D442,IF(D442&lt;=50,ROUNDUP(2.5*D442,0),2*D442))*Premissas!$B$29+IF(C442="Micro",G442*(Premissas!$B$31+Premissas!$B$32+4*Premissas!$B$30),G442*(INDEX(Premissas!$B$40:$B$71,MATCH(F442,Premissas!$A$40:$A$71,0))+INDEX(Premissas!$C$40:$C$71,MATCH(F442,Premissas!$A$40:$A$71,0))*Premissas!$B$30)))</f>
        <v/>
      </c>
      <c r="K442" s="24">
        <f>IF(J442&lt;Premissas!$B$36,MAX(Premissas!$B$33,J442*Premissas!$B$34),J442*Premissas!$B$35)</f>
        <v/>
      </c>
      <c r="L442" s="24">
        <f>ROUND(J442+K442,2)</f>
        <v/>
      </c>
      <c r="M442" s="24">
        <f>D442*Premissas!$B$8+Premissas!$B$9+Premissas!$B$10+Premissas!$B$11+Premissas!$B$12+ROUND(Premissas!$B$13*E442,2)</f>
        <v/>
      </c>
      <c r="N442" s="25">
        <f>ROUNDUP((L442+M442-Premissas!$B$5*L442)/(1-Premissas!$B$6-Premissas!$B$7-Premissas!$B$5-Premissas!$B$14),2)</f>
        <v/>
      </c>
      <c r="O442" s="24">
        <f>ROUND(IF(N442&lt;=30000,N442*(1+Premissas!$B$21),N442+Premissas!$B$21*30000*SQRT(N442/30000)),2)</f>
        <v/>
      </c>
      <c r="P442" s="24">
        <f>N442-I442</f>
        <v/>
      </c>
      <c r="Q442" s="26">
        <f>P442/I442</f>
        <v/>
      </c>
      <c r="R442" s="26">
        <f>(I442-L442-Premissas!$B$5*(I442-L442)-(Premissas!$B$6+Premissas!$B$7)*I442-M442)/I442</f>
        <v/>
      </c>
      <c r="S442" s="24">
        <f>ROUND((CEILING((L442*Premissas!$B$17/Premissas!$B$18-97)/100,1)*100+97)*Premissas!$B$18,2)</f>
        <v/>
      </c>
    </row>
    <row r="443">
      <c r="A443" s="17" t="inlineStr">
        <is>
          <t>KIT 149 MOD. 620W + INV. SOLIS 75KW</t>
        </is>
      </c>
      <c r="B443" s="17" t="inlineStr">
        <is>
          <t>SOLIS</t>
        </is>
      </c>
      <c r="C443" s="17" t="inlineStr">
        <is>
          <t>Inversor</t>
        </is>
      </c>
      <c r="D443" s="21" t="n">
        <v>149</v>
      </c>
      <c r="E443" s="30" t="n">
        <v>92.38</v>
      </c>
      <c r="F443" s="20" t="inlineStr">
        <is>
          <t>SOLIS S6-GC-75K-LV TRI 220V</t>
        </is>
      </c>
      <c r="G443" s="21" t="n">
        <v>1</v>
      </c>
      <c r="H443" s="17" t="inlineStr">
        <is>
          <t>Sim</t>
        </is>
      </c>
      <c r="I443" s="23" t="n">
        <v>213146.85</v>
      </c>
      <c r="J443" s="24">
        <f>(D443*Premissas!$B$24+(2*ROUNDUP(D443/2,0))*Premissas!$B$26+INT((2*ROUNDUP(D443/2,0))/4)*Premissas!$B$27+MOD((2*ROUNDUP(D443/2,0)),4)/2*Premissas!$B$28+2*IF(D443&lt;=19,3*D443,IF(D443&lt;=50,ROUNDUP(2.5*D443,0),2*D443))*Premissas!$B$29+IF(C443="Micro",G443*(Premissas!$B$31+Premissas!$B$32+4*Premissas!$B$30),G443*(INDEX(Premissas!$B$40:$B$71,MATCH(F443,Premissas!$A$40:$A$71,0))+INDEX(Premissas!$C$40:$C$71,MATCH(F443,Premissas!$A$40:$A$71,0))*Premissas!$B$30)))</f>
        <v/>
      </c>
      <c r="K443" s="24">
        <f>IF(J443&lt;Premissas!$B$36,MAX(Premissas!$B$33,J443*Premissas!$B$34),J443*Premissas!$B$35)</f>
        <v/>
      </c>
      <c r="L443" s="24">
        <f>ROUND(J443+K443,2)</f>
        <v/>
      </c>
      <c r="M443" s="24">
        <f>D443*Premissas!$B$8+Premissas!$B$9+Premissas!$B$10+Premissas!$B$11+Premissas!$B$12+ROUND(Premissas!$B$13*E443,2)</f>
        <v/>
      </c>
      <c r="N443" s="25">
        <f>ROUNDUP((L443+M443-Premissas!$B$5*L443)/(1-Premissas!$B$6-Premissas!$B$7-Premissas!$B$5-Premissas!$B$14),2)</f>
        <v/>
      </c>
      <c r="O443" s="24">
        <f>ROUND(IF(N443&lt;=30000,N443*(1+Premissas!$B$21),N443+Premissas!$B$21*30000*SQRT(N443/30000)),2)</f>
        <v/>
      </c>
      <c r="P443" s="24">
        <f>N443-I443</f>
        <v/>
      </c>
      <c r="Q443" s="26">
        <f>P443/I443</f>
        <v/>
      </c>
      <c r="R443" s="26">
        <f>(I443-L443-Premissas!$B$5*(I443-L443)-(Premissas!$B$6+Premissas!$B$7)*I443-M443)/I443</f>
        <v/>
      </c>
      <c r="S443" s="24">
        <f>ROUND((CEILING((L443*Premissas!$B$17/Premissas!$B$18-97)/100,1)*100+97)*Premissas!$B$18,2)</f>
        <v/>
      </c>
    </row>
    <row r="444">
      <c r="A444" s="17" t="inlineStr">
        <is>
          <t>KIT 150 MOD. 620W + INV. SOLIS 75KW</t>
        </is>
      </c>
      <c r="B444" s="17" t="inlineStr">
        <is>
          <t>SOLIS</t>
        </is>
      </c>
      <c r="C444" s="17" t="inlineStr">
        <is>
          <t>Inversor</t>
        </is>
      </c>
      <c r="D444" s="21" t="n">
        <v>150</v>
      </c>
      <c r="E444" s="30" t="n">
        <v>93</v>
      </c>
      <c r="F444" s="20" t="inlineStr">
        <is>
          <t>SOLIS S6-GC-75K-LV TRI 220V</t>
        </is>
      </c>
      <c r="G444" s="21" t="n">
        <v>1</v>
      </c>
      <c r="H444" s="17" t="inlineStr">
        <is>
          <t>Sim</t>
        </is>
      </c>
      <c r="I444" s="23" t="n">
        <v>214196.85</v>
      </c>
      <c r="J444" s="24">
        <f>(D444*Premissas!$B$24+(2*ROUNDUP(D444/2,0))*Premissas!$B$26+INT((2*ROUNDUP(D444/2,0))/4)*Premissas!$B$27+MOD((2*ROUNDUP(D444/2,0)),4)/2*Premissas!$B$28+2*IF(D444&lt;=19,3*D444,IF(D444&lt;=50,ROUNDUP(2.5*D444,0),2*D444))*Premissas!$B$29+IF(C444="Micro",G444*(Premissas!$B$31+Premissas!$B$32+4*Premissas!$B$30),G444*(INDEX(Premissas!$B$40:$B$71,MATCH(F444,Premissas!$A$40:$A$71,0))+INDEX(Premissas!$C$40:$C$71,MATCH(F444,Premissas!$A$40:$A$71,0))*Premissas!$B$30)))</f>
        <v/>
      </c>
      <c r="K444" s="24">
        <f>IF(J444&lt;Premissas!$B$36,MAX(Premissas!$B$33,J444*Premissas!$B$34),J444*Premissas!$B$35)</f>
        <v/>
      </c>
      <c r="L444" s="24">
        <f>ROUND(J444+K444,2)</f>
        <v/>
      </c>
      <c r="M444" s="24">
        <f>D444*Premissas!$B$8+Premissas!$B$9+Premissas!$B$10+Premissas!$B$11+Premissas!$B$12+ROUND(Premissas!$B$13*E444,2)</f>
        <v/>
      </c>
      <c r="N444" s="25">
        <f>ROUNDUP((L444+M444-Premissas!$B$5*L444)/(1-Premissas!$B$6-Premissas!$B$7-Premissas!$B$5-Premissas!$B$14),2)</f>
        <v/>
      </c>
      <c r="O444" s="24">
        <f>ROUND(IF(N444&lt;=30000,N444*(1+Premissas!$B$21),N444+Premissas!$B$21*30000*SQRT(N444/30000)),2)</f>
        <v/>
      </c>
      <c r="P444" s="24">
        <f>N444-I444</f>
        <v/>
      </c>
      <c r="Q444" s="26">
        <f>P444/I444</f>
        <v/>
      </c>
      <c r="R444" s="26">
        <f>(I444-L444-Premissas!$B$5*(I444-L444)-(Premissas!$B$6+Premissas!$B$7)*I444-M444)/I444</f>
        <v/>
      </c>
      <c r="S444" s="24">
        <f>ROUND((CEILING((L444*Premissas!$B$17/Premissas!$B$18-97)/100,1)*100+97)*Premissas!$B$18,2)</f>
        <v/>
      </c>
    </row>
    <row r="445">
      <c r="A445" s="17" t="inlineStr">
        <is>
          <t>KIT 4 MOD. 620W + MICROINVERSOR HOYMILES 2,25KW</t>
        </is>
      </c>
      <c r="B445" s="17" t="inlineStr">
        <is>
          <t>HOYMILES</t>
        </is>
      </c>
      <c r="C445" s="17" t="inlineStr">
        <is>
          <t>Micro</t>
        </is>
      </c>
      <c r="D445" s="21" t="n">
        <v>4</v>
      </c>
      <c r="E445" s="30" t="n">
        <v>2.48</v>
      </c>
      <c r="F445" s="20" t="inlineStr">
        <is>
          <t>Microinversor HOYMILES 2,25kW</t>
        </is>
      </c>
      <c r="G445" s="21" t="n">
        <v>1</v>
      </c>
      <c r="H445" s="17" t="inlineStr">
        <is>
          <t>Sim</t>
        </is>
      </c>
      <c r="I445" s="23" t="n">
        <v>8029.29</v>
      </c>
      <c r="J445" s="24">
        <f>(D445*Premissas!$B$24+(2*ROUNDUP(D445/2,0))*Premissas!$B$26+INT((2*ROUNDUP(D445/2,0))/4)*Premissas!$B$27+MOD((2*ROUNDUP(D445/2,0)),4)/2*Premissas!$B$28+2*IF(D445&lt;=19,3*D445,IF(D445&lt;=50,ROUNDUP(2.5*D445,0),2*D445))*Premissas!$B$29+IF(C445="Micro",G445*(Premissas!$B$31+Premissas!$B$32+4*Premissas!$B$30),G445*(INDEX(Premissas!$B$40:$B$71,MATCH(F445,Premissas!$A$40:$A$71,0))+INDEX(Premissas!$C$40:$C$71,MATCH(F445,Premissas!$A$40:$A$71,0))*Premissas!$B$30)))</f>
        <v/>
      </c>
      <c r="K445" s="24">
        <f>IF(J445&lt;Premissas!$B$36,MAX(Premissas!$B$33,J445*Premissas!$B$34),J445*Premissas!$B$35)</f>
        <v/>
      </c>
      <c r="L445" s="24">
        <f>ROUND(J445+K445,2)</f>
        <v/>
      </c>
      <c r="M445" s="24">
        <f>D445*Premissas!$B$8+Premissas!$B$9+Premissas!$B$10+Premissas!$B$11+Premissas!$B$12+ROUND(Premissas!$B$13*E445,2)</f>
        <v/>
      </c>
      <c r="N445" s="25">
        <f>ROUNDUP((L445+M445-Premissas!$B$5*L445)/(1-Premissas!$B$6-Premissas!$B$7-Premissas!$B$5-Premissas!$B$14),2)</f>
        <v/>
      </c>
      <c r="O445" s="24">
        <f>ROUND(IF(N445&lt;=30000,N445*(1+Premissas!$B$21),N445+Premissas!$B$21*30000*SQRT(N445/30000)),2)</f>
        <v/>
      </c>
      <c r="P445" s="24">
        <f>N445-I445</f>
        <v/>
      </c>
      <c r="Q445" s="26">
        <f>P445/I445</f>
        <v/>
      </c>
      <c r="R445" s="26">
        <f>(I445-L445-Premissas!$B$5*(I445-L445)-(Premissas!$B$6+Premissas!$B$7)*I445-M445)/I445</f>
        <v/>
      </c>
      <c r="S445" s="24">
        <f>ROUND((CEILING((L445*Premissas!$B$19/Premissas!$B$20-97)/100,1)*100+97)*Premissas!$B$20,2)</f>
        <v/>
      </c>
    </row>
    <row r="446">
      <c r="A446" s="17" t="inlineStr">
        <is>
          <t>KIT 5 MOD. 620W + MICROINVERSOR HOYMILES 2,25KW</t>
        </is>
      </c>
      <c r="B446" s="17" t="inlineStr">
        <is>
          <t>HOYMILES</t>
        </is>
      </c>
      <c r="C446" s="17" t="inlineStr">
        <is>
          <t>Micro</t>
        </is>
      </c>
      <c r="D446" s="21" t="n">
        <v>5</v>
      </c>
      <c r="E446" s="30" t="n">
        <v>3.1</v>
      </c>
      <c r="F446" s="20" t="inlineStr">
        <is>
          <t>Microinversor HOYMILES 2,25kW</t>
        </is>
      </c>
      <c r="G446" s="21" t="n">
        <v>2</v>
      </c>
      <c r="H446" s="17" t="inlineStr">
        <is>
          <t>Sim</t>
        </is>
      </c>
      <c r="I446" s="23" t="n">
        <v>10171.29</v>
      </c>
      <c r="J446" s="24">
        <f>(D446*Premissas!$B$24+(2*ROUNDUP(D446/2,0))*Premissas!$B$26+INT((2*ROUNDUP(D446/2,0))/4)*Premissas!$B$27+MOD((2*ROUNDUP(D446/2,0)),4)/2*Premissas!$B$28+2*IF(D446&lt;=19,3*D446,IF(D446&lt;=50,ROUNDUP(2.5*D446,0),2*D446))*Premissas!$B$29+IF(C446="Micro",G446*(Premissas!$B$31+Premissas!$B$32+4*Premissas!$B$30),G446*(INDEX(Premissas!$B$40:$B$71,MATCH(F446,Premissas!$A$40:$A$71,0))+INDEX(Premissas!$C$40:$C$71,MATCH(F446,Premissas!$A$40:$A$71,0))*Premissas!$B$30)))</f>
        <v/>
      </c>
      <c r="K446" s="24">
        <f>IF(J446&lt;Premissas!$B$36,MAX(Premissas!$B$33,J446*Premissas!$B$34),J446*Premissas!$B$35)</f>
        <v/>
      </c>
      <c r="L446" s="24">
        <f>ROUND(J446+K446,2)</f>
        <v/>
      </c>
      <c r="M446" s="24">
        <f>D446*Premissas!$B$8+Premissas!$B$9+Premissas!$B$10+Premissas!$B$11+Premissas!$B$12+ROUND(Premissas!$B$13*E446,2)</f>
        <v/>
      </c>
      <c r="N446" s="25">
        <f>ROUNDUP((L446+M446-Premissas!$B$5*L446)/(1-Premissas!$B$6-Premissas!$B$7-Premissas!$B$5-Premissas!$B$14),2)</f>
        <v/>
      </c>
      <c r="O446" s="24">
        <f>ROUND(IF(N446&lt;=30000,N446*(1+Premissas!$B$21),N446+Premissas!$B$21*30000*SQRT(N446/30000)),2)</f>
        <v/>
      </c>
      <c r="P446" s="24">
        <f>N446-I446</f>
        <v/>
      </c>
      <c r="Q446" s="26">
        <f>P446/I446</f>
        <v/>
      </c>
      <c r="R446" s="26">
        <f>(I446-L446-Premissas!$B$5*(I446-L446)-(Premissas!$B$6+Premissas!$B$7)*I446-M446)/I446</f>
        <v/>
      </c>
      <c r="S446" s="24">
        <f>ROUND((CEILING((L446*Premissas!$B$19/Premissas!$B$20-97)/100,1)*100+97)*Premissas!$B$20,2)</f>
        <v/>
      </c>
    </row>
    <row r="447">
      <c r="A447" s="17" t="inlineStr">
        <is>
          <t>KIT 6 MOD. 620W + MICROINVERSOR HOYMILES 2,25KW</t>
        </is>
      </c>
      <c r="B447" s="17" t="inlineStr">
        <is>
          <t>HOYMILES</t>
        </is>
      </c>
      <c r="C447" s="17" t="inlineStr">
        <is>
          <t>Micro</t>
        </is>
      </c>
      <c r="D447" s="21" t="n">
        <v>6</v>
      </c>
      <c r="E447" s="30" t="n">
        <v>3.72</v>
      </c>
      <c r="F447" s="20" t="inlineStr">
        <is>
          <t>Microinversor HOYMILES 2,25kW</t>
        </is>
      </c>
      <c r="G447" s="21" t="n">
        <v>2</v>
      </c>
      <c r="H447" s="17" t="inlineStr">
        <is>
          <t>Sim</t>
        </is>
      </c>
      <c r="I447" s="23" t="n">
        <v>11135.19</v>
      </c>
      <c r="J447" s="24">
        <f>(D447*Premissas!$B$24+(2*ROUNDUP(D447/2,0))*Premissas!$B$26+INT((2*ROUNDUP(D447/2,0))/4)*Premissas!$B$27+MOD((2*ROUNDUP(D447/2,0)),4)/2*Premissas!$B$28+2*IF(D447&lt;=19,3*D447,IF(D447&lt;=50,ROUNDUP(2.5*D447,0),2*D447))*Premissas!$B$29+IF(C447="Micro",G447*(Premissas!$B$31+Premissas!$B$32+4*Premissas!$B$30),G447*(INDEX(Premissas!$B$40:$B$71,MATCH(F447,Premissas!$A$40:$A$71,0))+INDEX(Premissas!$C$40:$C$71,MATCH(F447,Premissas!$A$40:$A$71,0))*Premissas!$B$30)))</f>
        <v/>
      </c>
      <c r="K447" s="24">
        <f>IF(J447&lt;Premissas!$B$36,MAX(Premissas!$B$33,J447*Premissas!$B$34),J447*Premissas!$B$35)</f>
        <v/>
      </c>
      <c r="L447" s="24">
        <f>ROUND(J447+K447,2)</f>
        <v/>
      </c>
      <c r="M447" s="24">
        <f>D447*Premissas!$B$8+Premissas!$B$9+Premissas!$B$10+Premissas!$B$11+Premissas!$B$12+ROUND(Premissas!$B$13*E447,2)</f>
        <v/>
      </c>
      <c r="N447" s="25">
        <f>ROUNDUP((L447+M447-Premissas!$B$5*L447)/(1-Premissas!$B$6-Premissas!$B$7-Premissas!$B$5-Premissas!$B$14),2)</f>
        <v/>
      </c>
      <c r="O447" s="24">
        <f>ROUND(IF(N447&lt;=30000,N447*(1+Premissas!$B$21),N447+Premissas!$B$21*30000*SQRT(N447/30000)),2)</f>
        <v/>
      </c>
      <c r="P447" s="24">
        <f>N447-I447</f>
        <v/>
      </c>
      <c r="Q447" s="26">
        <f>P447/I447</f>
        <v/>
      </c>
      <c r="R447" s="26">
        <f>(I447-L447-Premissas!$B$5*(I447-L447)-(Premissas!$B$6+Premissas!$B$7)*I447-M447)/I447</f>
        <v/>
      </c>
      <c r="S447" s="24">
        <f>ROUND((CEILING((L447*Premissas!$B$19/Premissas!$B$20-97)/100,1)*100+97)*Premissas!$B$20,2)</f>
        <v/>
      </c>
    </row>
    <row r="448">
      <c r="A448" s="17" t="inlineStr">
        <is>
          <t>KIT 7 MOD. 620W + MICROINVERSOR HOYMILES 2,25KW</t>
        </is>
      </c>
      <c r="B448" s="17" t="inlineStr">
        <is>
          <t>HOYMILES</t>
        </is>
      </c>
      <c r="C448" s="17" t="inlineStr">
        <is>
          <t>Micro</t>
        </is>
      </c>
      <c r="D448" s="21" t="n">
        <v>7</v>
      </c>
      <c r="E448" s="30" t="n">
        <v>4.34</v>
      </c>
      <c r="F448" s="20" t="inlineStr">
        <is>
          <t>Microinversor HOYMILES 2,25kW</t>
        </is>
      </c>
      <c r="G448" s="21" t="n">
        <v>2</v>
      </c>
      <c r="H448" s="17" t="inlineStr">
        <is>
          <t>Sim</t>
        </is>
      </c>
      <c r="I448" s="23" t="n">
        <v>12420.39</v>
      </c>
      <c r="J448" s="24">
        <f>(D448*Premissas!$B$24+(2*ROUNDUP(D448/2,0))*Premissas!$B$26+INT((2*ROUNDUP(D448/2,0))/4)*Premissas!$B$27+MOD((2*ROUNDUP(D448/2,0)),4)/2*Premissas!$B$28+2*IF(D448&lt;=19,3*D448,IF(D448&lt;=50,ROUNDUP(2.5*D448,0),2*D448))*Premissas!$B$29+IF(C448="Micro",G448*(Premissas!$B$31+Premissas!$B$32+4*Premissas!$B$30),G448*(INDEX(Premissas!$B$40:$B$71,MATCH(F448,Premissas!$A$40:$A$71,0))+INDEX(Premissas!$C$40:$C$71,MATCH(F448,Premissas!$A$40:$A$71,0))*Premissas!$B$30)))</f>
        <v/>
      </c>
      <c r="K448" s="24">
        <f>IF(J448&lt;Premissas!$B$36,MAX(Premissas!$B$33,J448*Premissas!$B$34),J448*Premissas!$B$35)</f>
        <v/>
      </c>
      <c r="L448" s="24">
        <f>ROUND(J448+K448,2)</f>
        <v/>
      </c>
      <c r="M448" s="24">
        <f>D448*Premissas!$B$8+Premissas!$B$9+Premissas!$B$10+Premissas!$B$11+Premissas!$B$12+ROUND(Premissas!$B$13*E448,2)</f>
        <v/>
      </c>
      <c r="N448" s="25">
        <f>ROUNDUP((L448+M448-Premissas!$B$5*L448)/(1-Premissas!$B$6-Premissas!$B$7-Premissas!$B$5-Premissas!$B$14),2)</f>
        <v/>
      </c>
      <c r="O448" s="24">
        <f>ROUND(IF(N448&lt;=30000,N448*(1+Premissas!$B$21),N448+Premissas!$B$21*30000*SQRT(N448/30000)),2)</f>
        <v/>
      </c>
      <c r="P448" s="24">
        <f>N448-I448</f>
        <v/>
      </c>
      <c r="Q448" s="26">
        <f>P448/I448</f>
        <v/>
      </c>
      <c r="R448" s="26">
        <f>(I448-L448-Premissas!$B$5*(I448-L448)-(Premissas!$B$6+Premissas!$B$7)*I448-M448)/I448</f>
        <v/>
      </c>
      <c r="S448" s="24">
        <f>ROUND((CEILING((L448*Premissas!$B$19/Premissas!$B$20-97)/100,1)*100+97)*Premissas!$B$20,2)</f>
        <v/>
      </c>
    </row>
    <row r="449">
      <c r="A449" s="17" t="inlineStr">
        <is>
          <t>KIT 8 MOD. 620W + MICROINVERSOR HOYMILES 2,25KW</t>
        </is>
      </c>
      <c r="B449" s="17" t="inlineStr">
        <is>
          <t>HOYMILES</t>
        </is>
      </c>
      <c r="C449" s="17" t="inlineStr">
        <is>
          <t>Micro</t>
        </is>
      </c>
      <c r="D449" s="21" t="n">
        <v>8</v>
      </c>
      <c r="E449" s="30" t="n">
        <v>4.96</v>
      </c>
      <c r="F449" s="20" t="inlineStr">
        <is>
          <t>Microinversor HOYMILES 2,25kW</t>
        </is>
      </c>
      <c r="G449" s="21" t="n">
        <v>2</v>
      </c>
      <c r="H449" s="17" t="inlineStr">
        <is>
          <t>Sim</t>
        </is>
      </c>
      <c r="I449" s="23" t="n">
        <v>13598.49</v>
      </c>
      <c r="J449" s="24">
        <f>(D449*Premissas!$B$24+(2*ROUNDUP(D449/2,0))*Premissas!$B$26+INT((2*ROUNDUP(D449/2,0))/4)*Premissas!$B$27+MOD((2*ROUNDUP(D449/2,0)),4)/2*Premissas!$B$28+2*IF(D449&lt;=19,3*D449,IF(D449&lt;=50,ROUNDUP(2.5*D449,0),2*D449))*Premissas!$B$29+IF(C449="Micro",G449*(Premissas!$B$31+Premissas!$B$32+4*Premissas!$B$30),G449*(INDEX(Premissas!$B$40:$B$71,MATCH(F449,Premissas!$A$40:$A$71,0))+INDEX(Premissas!$C$40:$C$71,MATCH(F449,Premissas!$A$40:$A$71,0))*Premissas!$B$30)))</f>
        <v/>
      </c>
      <c r="K449" s="24">
        <f>IF(J449&lt;Premissas!$B$36,MAX(Premissas!$B$33,J449*Premissas!$B$34),J449*Premissas!$B$35)</f>
        <v/>
      </c>
      <c r="L449" s="24">
        <f>ROUND(J449+K449,2)</f>
        <v/>
      </c>
      <c r="M449" s="24">
        <f>D449*Premissas!$B$8+Premissas!$B$9+Premissas!$B$10+Premissas!$B$11+Premissas!$B$12+ROUND(Premissas!$B$13*E449,2)</f>
        <v/>
      </c>
      <c r="N449" s="25">
        <f>ROUNDUP((L449+M449-Premissas!$B$5*L449)/(1-Premissas!$B$6-Premissas!$B$7-Premissas!$B$5-Premissas!$B$14),2)</f>
        <v/>
      </c>
      <c r="O449" s="24">
        <f>ROUND(IF(N449&lt;=30000,N449*(1+Premissas!$B$21),N449+Premissas!$B$21*30000*SQRT(N449/30000)),2)</f>
        <v/>
      </c>
      <c r="P449" s="24">
        <f>N449-I449</f>
        <v/>
      </c>
      <c r="Q449" s="26">
        <f>P449/I449</f>
        <v/>
      </c>
      <c r="R449" s="26">
        <f>(I449-L449-Premissas!$B$5*(I449-L449)-(Premissas!$B$6+Premissas!$B$7)*I449-M449)/I449</f>
        <v/>
      </c>
      <c r="S449" s="24">
        <f>ROUND((CEILING((L449*Premissas!$B$19/Premissas!$B$20-97)/100,1)*100+97)*Premissas!$B$20,2)</f>
        <v/>
      </c>
    </row>
    <row r="450">
      <c r="A450" s="17" t="inlineStr">
        <is>
          <t>KIT 9 MOD. 620W + MICROINVERSOR HOYMILES 2,25KW</t>
        </is>
      </c>
      <c r="B450" s="17" t="inlineStr">
        <is>
          <t>HOYMILES</t>
        </is>
      </c>
      <c r="C450" s="17" t="inlineStr">
        <is>
          <t>Micro</t>
        </is>
      </c>
      <c r="D450" s="21" t="n">
        <v>9</v>
      </c>
      <c r="E450" s="30" t="n">
        <v>5.58</v>
      </c>
      <c r="F450" s="20" t="inlineStr">
        <is>
          <t>Microinversor HOYMILES 2,25kW</t>
        </is>
      </c>
      <c r="G450" s="21" t="n">
        <v>3</v>
      </c>
      <c r="H450" s="17" t="inlineStr">
        <is>
          <t>Sim</t>
        </is>
      </c>
      <c r="I450" s="23" t="n">
        <v>16383.09</v>
      </c>
      <c r="J450" s="24">
        <f>(D450*Premissas!$B$24+(2*ROUNDUP(D450/2,0))*Premissas!$B$26+INT((2*ROUNDUP(D450/2,0))/4)*Premissas!$B$27+MOD((2*ROUNDUP(D450/2,0)),4)/2*Premissas!$B$28+2*IF(D450&lt;=19,3*D450,IF(D450&lt;=50,ROUNDUP(2.5*D450,0),2*D450))*Premissas!$B$29+IF(C450="Micro",G450*(Premissas!$B$31+Premissas!$B$32+4*Premissas!$B$30),G450*(INDEX(Premissas!$B$40:$B$71,MATCH(F450,Premissas!$A$40:$A$71,0))+INDEX(Premissas!$C$40:$C$71,MATCH(F450,Premissas!$A$40:$A$71,0))*Premissas!$B$30)))</f>
        <v/>
      </c>
      <c r="K450" s="24">
        <f>IF(J450&lt;Premissas!$B$36,MAX(Premissas!$B$33,J450*Premissas!$B$34),J450*Premissas!$B$35)</f>
        <v/>
      </c>
      <c r="L450" s="24">
        <f>ROUND(J450+K450,2)</f>
        <v/>
      </c>
      <c r="M450" s="24">
        <f>D450*Premissas!$B$8+Premissas!$B$9+Premissas!$B$10+Premissas!$B$11+Premissas!$B$12+ROUND(Premissas!$B$13*E450,2)</f>
        <v/>
      </c>
      <c r="N450" s="25">
        <f>ROUNDUP((L450+M450-Premissas!$B$5*L450)/(1-Premissas!$B$6-Premissas!$B$7-Premissas!$B$5-Premissas!$B$14),2)</f>
        <v/>
      </c>
      <c r="O450" s="24">
        <f>ROUND(IF(N450&lt;=30000,N450*(1+Premissas!$B$21),N450+Premissas!$B$21*30000*SQRT(N450/30000)),2)</f>
        <v/>
      </c>
      <c r="P450" s="24">
        <f>N450-I450</f>
        <v/>
      </c>
      <c r="Q450" s="26">
        <f>P450/I450</f>
        <v/>
      </c>
      <c r="R450" s="26">
        <f>(I450-L450-Premissas!$B$5*(I450-L450)-(Premissas!$B$6+Premissas!$B$7)*I450-M450)/I450</f>
        <v/>
      </c>
      <c r="S450" s="24">
        <f>ROUND((CEILING((L450*Premissas!$B$19/Premissas!$B$20-97)/100,1)*100+97)*Premissas!$B$20,2)</f>
        <v/>
      </c>
    </row>
    <row r="451">
      <c r="A451" s="17" t="inlineStr">
        <is>
          <t>KIT 10 MOD. 620W + MICROINVERSOR HOYMILES 2,25KW</t>
        </is>
      </c>
      <c r="B451" s="17" t="inlineStr">
        <is>
          <t>HOYMILES</t>
        </is>
      </c>
      <c r="C451" s="17" t="inlineStr">
        <is>
          <t>Micro</t>
        </is>
      </c>
      <c r="D451" s="21" t="n">
        <v>10</v>
      </c>
      <c r="E451" s="30" t="n">
        <v>6.2</v>
      </c>
      <c r="F451" s="20" t="inlineStr">
        <is>
          <t>Microinversor HOYMILES 2,25kW</t>
        </is>
      </c>
      <c r="G451" s="21" t="n">
        <v>3</v>
      </c>
      <c r="H451" s="17" t="inlineStr">
        <is>
          <t>Sim</t>
        </is>
      </c>
      <c r="I451" s="23" t="n">
        <v>17454.09</v>
      </c>
      <c r="J451" s="24">
        <f>(D451*Premissas!$B$24+(2*ROUNDUP(D451/2,0))*Premissas!$B$26+INT((2*ROUNDUP(D451/2,0))/4)*Premissas!$B$27+MOD((2*ROUNDUP(D451/2,0)),4)/2*Premissas!$B$28+2*IF(D451&lt;=19,3*D451,IF(D451&lt;=50,ROUNDUP(2.5*D451,0),2*D451))*Premissas!$B$29+IF(C451="Micro",G451*(Premissas!$B$31+Premissas!$B$32+4*Premissas!$B$30),G451*(INDEX(Premissas!$B$40:$B$71,MATCH(F451,Premissas!$A$40:$A$71,0))+INDEX(Premissas!$C$40:$C$71,MATCH(F451,Premissas!$A$40:$A$71,0))*Premissas!$B$30)))</f>
        <v/>
      </c>
      <c r="K451" s="24">
        <f>IF(J451&lt;Premissas!$B$36,MAX(Premissas!$B$33,J451*Premissas!$B$34),J451*Premissas!$B$35)</f>
        <v/>
      </c>
      <c r="L451" s="24">
        <f>ROUND(J451+K451,2)</f>
        <v/>
      </c>
      <c r="M451" s="24">
        <f>D451*Premissas!$B$8+Premissas!$B$9+Premissas!$B$10+Premissas!$B$11+Premissas!$B$12+ROUND(Premissas!$B$13*E451,2)</f>
        <v/>
      </c>
      <c r="N451" s="25">
        <f>ROUNDUP((L451+M451-Premissas!$B$5*L451)/(1-Premissas!$B$6-Premissas!$B$7-Premissas!$B$5-Premissas!$B$14),2)</f>
        <v/>
      </c>
      <c r="O451" s="24">
        <f>ROUND(IF(N451&lt;=30000,N451*(1+Premissas!$B$21),N451+Premissas!$B$21*30000*SQRT(N451/30000)),2)</f>
        <v/>
      </c>
      <c r="P451" s="24">
        <f>N451-I451</f>
        <v/>
      </c>
      <c r="Q451" s="26">
        <f>P451/I451</f>
        <v/>
      </c>
      <c r="R451" s="26">
        <f>(I451-L451-Premissas!$B$5*(I451-L451)-(Premissas!$B$6+Premissas!$B$7)*I451-M451)/I451</f>
        <v/>
      </c>
      <c r="S451" s="24">
        <f>ROUND((CEILING((L451*Premissas!$B$19/Premissas!$B$20-97)/100,1)*100+97)*Premissas!$B$20,2)</f>
        <v/>
      </c>
    </row>
    <row r="452">
      <c r="A452" s="17" t="inlineStr">
        <is>
          <t>KIT 11 MOD. 620W + MICROINVERSOR HOYMILES 2,25KW</t>
        </is>
      </c>
      <c r="B452" s="17" t="inlineStr">
        <is>
          <t>HOYMILES</t>
        </is>
      </c>
      <c r="C452" s="17" t="inlineStr">
        <is>
          <t>Micro</t>
        </is>
      </c>
      <c r="D452" s="21" t="n">
        <v>11</v>
      </c>
      <c r="E452" s="30" t="n">
        <v>6.82</v>
      </c>
      <c r="F452" s="20" t="inlineStr">
        <is>
          <t>Microinversor HOYMILES 2,25kW</t>
        </is>
      </c>
      <c r="G452" s="21" t="n">
        <v>3</v>
      </c>
      <c r="H452" s="17" t="inlineStr">
        <is>
          <t>Sim</t>
        </is>
      </c>
      <c r="I452" s="23" t="n">
        <v>18739.29</v>
      </c>
      <c r="J452" s="24">
        <f>(D452*Premissas!$B$24+(2*ROUNDUP(D452/2,0))*Premissas!$B$26+INT((2*ROUNDUP(D452/2,0))/4)*Premissas!$B$27+MOD((2*ROUNDUP(D452/2,0)),4)/2*Premissas!$B$28+2*IF(D452&lt;=19,3*D452,IF(D452&lt;=50,ROUNDUP(2.5*D452,0),2*D452))*Premissas!$B$29+IF(C452="Micro",G452*(Premissas!$B$31+Premissas!$B$32+4*Premissas!$B$30),G452*(INDEX(Premissas!$B$40:$B$71,MATCH(F452,Premissas!$A$40:$A$71,0))+INDEX(Premissas!$C$40:$C$71,MATCH(F452,Premissas!$A$40:$A$71,0))*Premissas!$B$30)))</f>
        <v/>
      </c>
      <c r="K452" s="24">
        <f>IF(J452&lt;Premissas!$B$36,MAX(Premissas!$B$33,J452*Premissas!$B$34),J452*Premissas!$B$35)</f>
        <v/>
      </c>
      <c r="L452" s="24">
        <f>ROUND(J452+K452,2)</f>
        <v/>
      </c>
      <c r="M452" s="24">
        <f>D452*Premissas!$B$8+Premissas!$B$9+Premissas!$B$10+Premissas!$B$11+Premissas!$B$12+ROUND(Premissas!$B$13*E452,2)</f>
        <v/>
      </c>
      <c r="N452" s="25">
        <f>ROUNDUP((L452+M452-Premissas!$B$5*L452)/(1-Premissas!$B$6-Premissas!$B$7-Premissas!$B$5-Premissas!$B$14),2)</f>
        <v/>
      </c>
      <c r="O452" s="24">
        <f>ROUND(IF(N452&lt;=30000,N452*(1+Premissas!$B$21),N452+Premissas!$B$21*30000*SQRT(N452/30000)),2)</f>
        <v/>
      </c>
      <c r="P452" s="24">
        <f>N452-I452</f>
        <v/>
      </c>
      <c r="Q452" s="26">
        <f>P452/I452</f>
        <v/>
      </c>
      <c r="R452" s="26">
        <f>(I452-L452-Premissas!$B$5*(I452-L452)-(Premissas!$B$6+Premissas!$B$7)*I452-M452)/I452</f>
        <v/>
      </c>
      <c r="S452" s="24">
        <f>ROUND((CEILING((L452*Premissas!$B$19/Premissas!$B$20-97)/100,1)*100+97)*Premissas!$B$20,2)</f>
        <v/>
      </c>
    </row>
    <row r="453">
      <c r="A453" s="17" t="inlineStr">
        <is>
          <t>KIT 12 MOD. 620W + MICROINVERSOR HOYMILES 2,25KW</t>
        </is>
      </c>
      <c r="B453" s="17" t="inlineStr">
        <is>
          <t>HOYMILES</t>
        </is>
      </c>
      <c r="C453" s="17" t="inlineStr">
        <is>
          <t>Micro</t>
        </is>
      </c>
      <c r="D453" s="21" t="n">
        <v>12</v>
      </c>
      <c r="E453" s="30" t="n">
        <v>7.44</v>
      </c>
      <c r="F453" s="20" t="inlineStr">
        <is>
          <t>Microinversor HOYMILES 2,25kW</t>
        </is>
      </c>
      <c r="G453" s="21" t="n">
        <v>3</v>
      </c>
      <c r="H453" s="17" t="inlineStr">
        <is>
          <t>Sim</t>
        </is>
      </c>
      <c r="I453" s="23" t="n">
        <v>19810.29</v>
      </c>
      <c r="J453" s="24">
        <f>(D453*Premissas!$B$24+(2*ROUNDUP(D453/2,0))*Premissas!$B$26+INT((2*ROUNDUP(D453/2,0))/4)*Premissas!$B$27+MOD((2*ROUNDUP(D453/2,0)),4)/2*Premissas!$B$28+2*IF(D453&lt;=19,3*D453,IF(D453&lt;=50,ROUNDUP(2.5*D453,0),2*D453))*Premissas!$B$29+IF(C453="Micro",G453*(Premissas!$B$31+Premissas!$B$32+4*Premissas!$B$30),G453*(INDEX(Premissas!$B$40:$B$71,MATCH(F453,Premissas!$A$40:$A$71,0))+INDEX(Premissas!$C$40:$C$71,MATCH(F453,Premissas!$A$40:$A$71,0))*Premissas!$B$30)))</f>
        <v/>
      </c>
      <c r="K453" s="24">
        <f>IF(J453&lt;Premissas!$B$36,MAX(Premissas!$B$33,J453*Premissas!$B$34),J453*Premissas!$B$35)</f>
        <v/>
      </c>
      <c r="L453" s="24">
        <f>ROUND(J453+K453,2)</f>
        <v/>
      </c>
      <c r="M453" s="24">
        <f>D453*Premissas!$B$8+Premissas!$B$9+Premissas!$B$10+Premissas!$B$11+Premissas!$B$12+ROUND(Premissas!$B$13*E453,2)</f>
        <v/>
      </c>
      <c r="N453" s="25">
        <f>ROUNDUP((L453+M453-Premissas!$B$5*L453)/(1-Premissas!$B$6-Premissas!$B$7-Premissas!$B$5-Premissas!$B$14),2)</f>
        <v/>
      </c>
      <c r="O453" s="24">
        <f>ROUND(IF(N453&lt;=30000,N453*(1+Premissas!$B$21),N453+Premissas!$B$21*30000*SQRT(N453/30000)),2)</f>
        <v/>
      </c>
      <c r="P453" s="24">
        <f>N453-I453</f>
        <v/>
      </c>
      <c r="Q453" s="26">
        <f>P453/I453</f>
        <v/>
      </c>
      <c r="R453" s="26">
        <f>(I453-L453-Premissas!$B$5*(I453-L453)-(Premissas!$B$6+Premissas!$B$7)*I453-M453)/I453</f>
        <v/>
      </c>
      <c r="S453" s="24">
        <f>ROUND((CEILING((L453*Premissas!$B$19/Premissas!$B$20-97)/100,1)*100+97)*Premissas!$B$20,2)</f>
        <v/>
      </c>
    </row>
    <row r="454">
      <c r="A454" s="17" t="inlineStr">
        <is>
          <t>KIT 13 MOD. 620W + MICROINVERSOR HOYMILES 2,25KW</t>
        </is>
      </c>
      <c r="B454" s="17" t="inlineStr">
        <is>
          <t>HOYMILES</t>
        </is>
      </c>
      <c r="C454" s="17" t="inlineStr">
        <is>
          <t>Micro</t>
        </is>
      </c>
      <c r="D454" s="21" t="n">
        <v>13</v>
      </c>
      <c r="E454" s="30" t="n">
        <v>8.06</v>
      </c>
      <c r="F454" s="20" t="inlineStr">
        <is>
          <t>Microinversor HOYMILES 2,25kW</t>
        </is>
      </c>
      <c r="G454" s="21" t="n">
        <v>4</v>
      </c>
      <c r="H454" s="17" t="inlineStr">
        <is>
          <t>Sim</t>
        </is>
      </c>
      <c r="I454" s="23" t="n">
        <v>22701.99</v>
      </c>
      <c r="J454" s="24">
        <f>(D454*Premissas!$B$24+(2*ROUNDUP(D454/2,0))*Premissas!$B$26+INT((2*ROUNDUP(D454/2,0))/4)*Premissas!$B$27+MOD((2*ROUNDUP(D454/2,0)),4)/2*Premissas!$B$28+2*IF(D454&lt;=19,3*D454,IF(D454&lt;=50,ROUNDUP(2.5*D454,0),2*D454))*Premissas!$B$29+IF(C454="Micro",G454*(Premissas!$B$31+Premissas!$B$32+4*Premissas!$B$30),G454*(INDEX(Premissas!$B$40:$B$71,MATCH(F454,Premissas!$A$40:$A$71,0))+INDEX(Premissas!$C$40:$C$71,MATCH(F454,Premissas!$A$40:$A$71,0))*Premissas!$B$30)))</f>
        <v/>
      </c>
      <c r="K454" s="24">
        <f>IF(J454&lt;Premissas!$B$36,MAX(Premissas!$B$33,J454*Premissas!$B$34),J454*Premissas!$B$35)</f>
        <v/>
      </c>
      <c r="L454" s="24">
        <f>ROUND(J454+K454,2)</f>
        <v/>
      </c>
      <c r="M454" s="24">
        <f>D454*Premissas!$B$8+Premissas!$B$9+Premissas!$B$10+Premissas!$B$11+Premissas!$B$12+ROUND(Premissas!$B$13*E454,2)</f>
        <v/>
      </c>
      <c r="N454" s="25">
        <f>ROUNDUP((L454+M454-Premissas!$B$5*L454)/(1-Premissas!$B$6-Premissas!$B$7-Premissas!$B$5-Premissas!$B$14),2)</f>
        <v/>
      </c>
      <c r="O454" s="24">
        <f>ROUND(IF(N454&lt;=30000,N454*(1+Premissas!$B$21),N454+Premissas!$B$21*30000*SQRT(N454/30000)),2)</f>
        <v/>
      </c>
      <c r="P454" s="24">
        <f>N454-I454</f>
        <v/>
      </c>
      <c r="Q454" s="26">
        <f>P454/I454</f>
        <v/>
      </c>
      <c r="R454" s="26">
        <f>(I454-L454-Premissas!$B$5*(I454-L454)-(Premissas!$B$6+Premissas!$B$7)*I454-M454)/I454</f>
        <v/>
      </c>
      <c r="S454" s="24">
        <f>ROUND((CEILING((L454*Premissas!$B$19/Premissas!$B$20-97)/100,1)*100+97)*Premissas!$B$20,2)</f>
        <v/>
      </c>
    </row>
    <row r="455">
      <c r="A455" s="17" t="inlineStr">
        <is>
          <t>KIT 14 MOD. 620W + MICROINVERSOR HOYMILES 2,25KW</t>
        </is>
      </c>
      <c r="B455" s="17" t="inlineStr">
        <is>
          <t>HOYMILES</t>
        </is>
      </c>
      <c r="C455" s="17" t="inlineStr">
        <is>
          <t>Micro</t>
        </is>
      </c>
      <c r="D455" s="21" t="n">
        <v>14</v>
      </c>
      <c r="E455" s="30" t="n">
        <v>8.68</v>
      </c>
      <c r="F455" s="20" t="inlineStr">
        <is>
          <t>Microinversor HOYMILES 2,25kW</t>
        </is>
      </c>
      <c r="G455" s="21" t="n">
        <v>4</v>
      </c>
      <c r="H455" s="17" t="inlineStr">
        <is>
          <t>Sim</t>
        </is>
      </c>
      <c r="I455" s="23" t="n">
        <v>23772.99</v>
      </c>
      <c r="J455" s="24">
        <f>(D455*Premissas!$B$24+(2*ROUNDUP(D455/2,0))*Premissas!$B$26+INT((2*ROUNDUP(D455/2,0))/4)*Premissas!$B$27+MOD((2*ROUNDUP(D455/2,0)),4)/2*Premissas!$B$28+2*IF(D455&lt;=19,3*D455,IF(D455&lt;=50,ROUNDUP(2.5*D455,0),2*D455))*Premissas!$B$29+IF(C455="Micro",G455*(Premissas!$B$31+Premissas!$B$32+4*Premissas!$B$30),G455*(INDEX(Premissas!$B$40:$B$71,MATCH(F455,Premissas!$A$40:$A$71,0))+INDEX(Premissas!$C$40:$C$71,MATCH(F455,Premissas!$A$40:$A$71,0))*Premissas!$B$30)))</f>
        <v/>
      </c>
      <c r="K455" s="24">
        <f>IF(J455&lt;Premissas!$B$36,MAX(Premissas!$B$33,J455*Premissas!$B$34),J455*Premissas!$B$35)</f>
        <v/>
      </c>
      <c r="L455" s="24">
        <f>ROUND(J455+K455,2)</f>
        <v/>
      </c>
      <c r="M455" s="24">
        <f>D455*Premissas!$B$8+Premissas!$B$9+Premissas!$B$10+Premissas!$B$11+Premissas!$B$12+ROUND(Premissas!$B$13*E455,2)</f>
        <v/>
      </c>
      <c r="N455" s="25">
        <f>ROUNDUP((L455+M455-Premissas!$B$5*L455)/(1-Premissas!$B$6-Premissas!$B$7-Premissas!$B$5-Premissas!$B$14),2)</f>
        <v/>
      </c>
      <c r="O455" s="24">
        <f>ROUND(IF(N455&lt;=30000,N455*(1+Premissas!$B$21),N455+Premissas!$B$21*30000*SQRT(N455/30000)),2)</f>
        <v/>
      </c>
      <c r="P455" s="24">
        <f>N455-I455</f>
        <v/>
      </c>
      <c r="Q455" s="26">
        <f>P455/I455</f>
        <v/>
      </c>
      <c r="R455" s="26">
        <f>(I455-L455-Premissas!$B$5*(I455-L455)-(Premissas!$B$6+Premissas!$B$7)*I455-M455)/I455</f>
        <v/>
      </c>
      <c r="S455" s="24">
        <f>ROUND((CEILING((L455*Premissas!$B$19/Premissas!$B$20-97)/100,1)*100+97)*Premissas!$B$20,2)</f>
        <v/>
      </c>
    </row>
    <row r="456">
      <c r="A456" s="17" t="inlineStr">
        <is>
          <t>KIT 15 MOD. 620W + MICROINVERSOR HOYMILES 2,25KW</t>
        </is>
      </c>
      <c r="B456" s="17" t="inlineStr">
        <is>
          <t>HOYMILES</t>
        </is>
      </c>
      <c r="C456" s="17" t="inlineStr">
        <is>
          <t>Micro</t>
        </is>
      </c>
      <c r="D456" s="21" t="n">
        <v>15</v>
      </c>
      <c r="E456" s="30" t="n">
        <v>9.300000000000001</v>
      </c>
      <c r="F456" s="20" t="inlineStr">
        <is>
          <t>Microinversor HOYMILES 2,25kW</t>
        </is>
      </c>
      <c r="G456" s="21" t="n">
        <v>4</v>
      </c>
      <c r="H456" s="17" t="inlineStr">
        <is>
          <t>Sim</t>
        </is>
      </c>
      <c r="I456" s="23" t="n">
        <v>25058.19</v>
      </c>
      <c r="J456" s="24">
        <f>(D456*Premissas!$B$24+(2*ROUNDUP(D456/2,0))*Premissas!$B$26+INT((2*ROUNDUP(D456/2,0))/4)*Premissas!$B$27+MOD((2*ROUNDUP(D456/2,0)),4)/2*Premissas!$B$28+2*IF(D456&lt;=19,3*D456,IF(D456&lt;=50,ROUNDUP(2.5*D456,0),2*D456))*Premissas!$B$29+IF(C456="Micro",G456*(Premissas!$B$31+Premissas!$B$32+4*Premissas!$B$30),G456*(INDEX(Premissas!$B$40:$B$71,MATCH(F456,Premissas!$A$40:$A$71,0))+INDEX(Premissas!$C$40:$C$71,MATCH(F456,Premissas!$A$40:$A$71,0))*Premissas!$B$30)))</f>
        <v/>
      </c>
      <c r="K456" s="24">
        <f>IF(J456&lt;Premissas!$B$36,MAX(Premissas!$B$33,J456*Premissas!$B$34),J456*Premissas!$B$35)</f>
        <v/>
      </c>
      <c r="L456" s="24">
        <f>ROUND(J456+K456,2)</f>
        <v/>
      </c>
      <c r="M456" s="24">
        <f>D456*Premissas!$B$8+Premissas!$B$9+Premissas!$B$10+Premissas!$B$11+Premissas!$B$12+ROUND(Premissas!$B$13*E456,2)</f>
        <v/>
      </c>
      <c r="N456" s="25">
        <f>ROUNDUP((L456+M456-Premissas!$B$5*L456)/(1-Premissas!$B$6-Premissas!$B$7-Premissas!$B$5-Premissas!$B$14),2)</f>
        <v/>
      </c>
      <c r="O456" s="24">
        <f>ROUND(IF(N456&lt;=30000,N456*(1+Premissas!$B$21),N456+Premissas!$B$21*30000*SQRT(N456/30000)),2)</f>
        <v/>
      </c>
      <c r="P456" s="24">
        <f>N456-I456</f>
        <v/>
      </c>
      <c r="Q456" s="26">
        <f>P456/I456</f>
        <v/>
      </c>
      <c r="R456" s="26">
        <f>(I456-L456-Premissas!$B$5*(I456-L456)-(Premissas!$B$6+Premissas!$B$7)*I456-M456)/I456</f>
        <v/>
      </c>
      <c r="S456" s="24">
        <f>ROUND((CEILING((L456*Premissas!$B$19/Premissas!$B$20-97)/100,1)*100+97)*Premissas!$B$20,2)</f>
        <v/>
      </c>
    </row>
    <row r="457">
      <c r="A457" s="17" t="inlineStr">
        <is>
          <t>KIT 16 MOD. 620W + MICROINVERSOR HOYMILES 2,25KW</t>
        </is>
      </c>
      <c r="B457" s="17" t="inlineStr">
        <is>
          <t>HOYMILES</t>
        </is>
      </c>
      <c r="C457" s="17" t="inlineStr">
        <is>
          <t>Micro</t>
        </is>
      </c>
      <c r="D457" s="21" t="n">
        <v>16</v>
      </c>
      <c r="E457" s="30" t="n">
        <v>9.92</v>
      </c>
      <c r="F457" s="20" t="inlineStr">
        <is>
          <t>Microinversor HOYMILES 2,25kW</t>
        </is>
      </c>
      <c r="G457" s="21" t="n">
        <v>4</v>
      </c>
      <c r="H457" s="17" t="inlineStr">
        <is>
          <t>Sim</t>
        </is>
      </c>
      <c r="I457" s="23" t="n">
        <v>26129.19</v>
      </c>
      <c r="J457" s="24">
        <f>(D457*Premissas!$B$24+(2*ROUNDUP(D457/2,0))*Premissas!$B$26+INT((2*ROUNDUP(D457/2,0))/4)*Premissas!$B$27+MOD((2*ROUNDUP(D457/2,0)),4)/2*Premissas!$B$28+2*IF(D457&lt;=19,3*D457,IF(D457&lt;=50,ROUNDUP(2.5*D457,0),2*D457))*Premissas!$B$29+IF(C457="Micro",G457*(Premissas!$B$31+Premissas!$B$32+4*Premissas!$B$30),G457*(INDEX(Premissas!$B$40:$B$71,MATCH(F457,Premissas!$A$40:$A$71,0))+INDEX(Premissas!$C$40:$C$71,MATCH(F457,Premissas!$A$40:$A$71,0))*Premissas!$B$30)))</f>
        <v/>
      </c>
      <c r="K457" s="24">
        <f>IF(J457&lt;Premissas!$B$36,MAX(Premissas!$B$33,J457*Premissas!$B$34),J457*Premissas!$B$35)</f>
        <v/>
      </c>
      <c r="L457" s="24">
        <f>ROUND(J457+K457,2)</f>
        <v/>
      </c>
      <c r="M457" s="24">
        <f>D457*Premissas!$B$8+Premissas!$B$9+Premissas!$B$10+Premissas!$B$11+Premissas!$B$12+ROUND(Premissas!$B$13*E457,2)</f>
        <v/>
      </c>
      <c r="N457" s="25">
        <f>ROUNDUP((L457+M457-Premissas!$B$5*L457)/(1-Premissas!$B$6-Premissas!$B$7-Premissas!$B$5-Premissas!$B$14),2)</f>
        <v/>
      </c>
      <c r="O457" s="24">
        <f>ROUND(IF(N457&lt;=30000,N457*(1+Premissas!$B$21),N457+Premissas!$B$21*30000*SQRT(N457/30000)),2)</f>
        <v/>
      </c>
      <c r="P457" s="24">
        <f>N457-I457</f>
        <v/>
      </c>
      <c r="Q457" s="26">
        <f>P457/I457</f>
        <v/>
      </c>
      <c r="R457" s="26">
        <f>(I457-L457-Premissas!$B$5*(I457-L457)-(Premissas!$B$6+Premissas!$B$7)*I457-M457)/I457</f>
        <v/>
      </c>
      <c r="S457" s="24">
        <f>ROUND((CEILING((L457*Premissas!$B$19/Premissas!$B$20-97)/100,1)*100+97)*Premissas!$B$20,2)</f>
        <v/>
      </c>
    </row>
    <row r="458">
      <c r="A458" s="17" t="inlineStr">
        <is>
          <t>KIT 17 MOD. 620W + MICROINVERSOR HOYMILES 2,25KW</t>
        </is>
      </c>
      <c r="B458" s="17" t="inlineStr">
        <is>
          <t>HOYMILES</t>
        </is>
      </c>
      <c r="C458" s="17" t="inlineStr">
        <is>
          <t>Micro</t>
        </is>
      </c>
      <c r="D458" s="21" t="n">
        <v>17</v>
      </c>
      <c r="E458" s="30" t="n">
        <v>10.54</v>
      </c>
      <c r="F458" s="20" t="inlineStr">
        <is>
          <t>Microinversor HOYMILES 2,25kW</t>
        </is>
      </c>
      <c r="G458" s="21" t="n">
        <v>5</v>
      </c>
      <c r="H458" s="17" t="inlineStr">
        <is>
          <t>Sim</t>
        </is>
      </c>
      <c r="I458" s="23" t="n">
        <v>29127.99</v>
      </c>
      <c r="J458" s="24">
        <f>(D458*Premissas!$B$24+(2*ROUNDUP(D458/2,0))*Premissas!$B$26+INT((2*ROUNDUP(D458/2,0))/4)*Premissas!$B$27+MOD((2*ROUNDUP(D458/2,0)),4)/2*Premissas!$B$28+2*IF(D458&lt;=19,3*D458,IF(D458&lt;=50,ROUNDUP(2.5*D458,0),2*D458))*Premissas!$B$29+IF(C458="Micro",G458*(Premissas!$B$31+Premissas!$B$32+4*Premissas!$B$30),G458*(INDEX(Premissas!$B$40:$B$71,MATCH(F458,Premissas!$A$40:$A$71,0))+INDEX(Premissas!$C$40:$C$71,MATCH(F458,Premissas!$A$40:$A$71,0))*Premissas!$B$30)))</f>
        <v/>
      </c>
      <c r="K458" s="24">
        <f>IF(J458&lt;Premissas!$B$36,MAX(Premissas!$B$33,J458*Premissas!$B$34),J458*Premissas!$B$35)</f>
        <v/>
      </c>
      <c r="L458" s="24">
        <f>ROUND(J458+K458,2)</f>
        <v/>
      </c>
      <c r="M458" s="24">
        <f>D458*Premissas!$B$8+Premissas!$B$9+Premissas!$B$10+Premissas!$B$11+Premissas!$B$12+ROUND(Premissas!$B$13*E458,2)</f>
        <v/>
      </c>
      <c r="N458" s="25">
        <f>ROUNDUP((L458+M458-Premissas!$B$5*L458)/(1-Premissas!$B$6-Premissas!$B$7-Premissas!$B$5-Premissas!$B$14),2)</f>
        <v/>
      </c>
      <c r="O458" s="24">
        <f>ROUND(IF(N458&lt;=30000,N458*(1+Premissas!$B$21),N458+Premissas!$B$21*30000*SQRT(N458/30000)),2)</f>
        <v/>
      </c>
      <c r="P458" s="24">
        <f>N458-I458</f>
        <v/>
      </c>
      <c r="Q458" s="26">
        <f>P458/I458</f>
        <v/>
      </c>
      <c r="R458" s="26">
        <f>(I458-L458-Premissas!$B$5*(I458-L458)-(Premissas!$B$6+Premissas!$B$7)*I458-M458)/I458</f>
        <v/>
      </c>
      <c r="S458" s="24">
        <f>ROUND((CEILING((L458*Premissas!$B$19/Premissas!$B$20-97)/100,1)*100+97)*Premissas!$B$20,2)</f>
        <v/>
      </c>
    </row>
    <row r="459">
      <c r="A459" s="17" t="inlineStr">
        <is>
          <t>KIT 18 MOD. 620W + MICROINVERSOR HOYMILES 2,25KW</t>
        </is>
      </c>
      <c r="B459" s="17" t="inlineStr">
        <is>
          <t>HOYMILES</t>
        </is>
      </c>
      <c r="C459" s="17" t="inlineStr">
        <is>
          <t>Micro</t>
        </is>
      </c>
      <c r="D459" s="21" t="n">
        <v>18</v>
      </c>
      <c r="E459" s="30" t="n">
        <v>11.16</v>
      </c>
      <c r="F459" s="20" t="inlineStr">
        <is>
          <t>Microinversor HOYMILES 2,25kW</t>
        </is>
      </c>
      <c r="G459" s="21" t="n">
        <v>5</v>
      </c>
      <c r="H459" s="17" t="inlineStr">
        <is>
          <t>Sim</t>
        </is>
      </c>
      <c r="I459" s="23" t="n">
        <v>30198.99</v>
      </c>
      <c r="J459" s="24">
        <f>(D459*Premissas!$B$24+(2*ROUNDUP(D459/2,0))*Premissas!$B$26+INT((2*ROUNDUP(D459/2,0))/4)*Premissas!$B$27+MOD((2*ROUNDUP(D459/2,0)),4)/2*Premissas!$B$28+2*IF(D459&lt;=19,3*D459,IF(D459&lt;=50,ROUNDUP(2.5*D459,0),2*D459))*Premissas!$B$29+IF(C459="Micro",G459*(Premissas!$B$31+Premissas!$B$32+4*Premissas!$B$30),G459*(INDEX(Premissas!$B$40:$B$71,MATCH(F459,Premissas!$A$40:$A$71,0))+INDEX(Premissas!$C$40:$C$71,MATCH(F459,Premissas!$A$40:$A$71,0))*Premissas!$B$30)))</f>
        <v/>
      </c>
      <c r="K459" s="24">
        <f>IF(J459&lt;Premissas!$B$36,MAX(Premissas!$B$33,J459*Premissas!$B$34),J459*Premissas!$B$35)</f>
        <v/>
      </c>
      <c r="L459" s="24">
        <f>ROUND(J459+K459,2)</f>
        <v/>
      </c>
      <c r="M459" s="24">
        <f>D459*Premissas!$B$8+Premissas!$B$9+Premissas!$B$10+Premissas!$B$11+Premissas!$B$12+ROUND(Premissas!$B$13*E459,2)</f>
        <v/>
      </c>
      <c r="N459" s="25">
        <f>ROUNDUP((L459+M459-Premissas!$B$5*L459)/(1-Premissas!$B$6-Premissas!$B$7-Premissas!$B$5-Premissas!$B$14),2)</f>
        <v/>
      </c>
      <c r="O459" s="24">
        <f>ROUND(IF(N459&lt;=30000,N459*(1+Premissas!$B$21),N459+Premissas!$B$21*30000*SQRT(N459/30000)),2)</f>
        <v/>
      </c>
      <c r="P459" s="24">
        <f>N459-I459</f>
        <v/>
      </c>
      <c r="Q459" s="26">
        <f>P459/I459</f>
        <v/>
      </c>
      <c r="R459" s="26">
        <f>(I459-L459-Premissas!$B$5*(I459-L459)-(Premissas!$B$6+Premissas!$B$7)*I459-M459)/I459</f>
        <v/>
      </c>
      <c r="S459" s="24">
        <f>ROUND((CEILING((L459*Premissas!$B$19/Premissas!$B$20-97)/100,1)*100+97)*Premissas!$B$20,2)</f>
        <v/>
      </c>
    </row>
    <row r="460">
      <c r="A460" s="17" t="inlineStr">
        <is>
          <t>KIT 19 MOD. 620W + MICROINVERSOR HOYMILES 2,25KW</t>
        </is>
      </c>
      <c r="B460" s="17" t="inlineStr">
        <is>
          <t>HOYMILES</t>
        </is>
      </c>
      <c r="C460" s="17" t="inlineStr">
        <is>
          <t>Micro</t>
        </is>
      </c>
      <c r="D460" s="21" t="n">
        <v>19</v>
      </c>
      <c r="E460" s="30" t="n">
        <v>11.78</v>
      </c>
      <c r="F460" s="20" t="inlineStr">
        <is>
          <t>Microinversor HOYMILES 2,25kW</t>
        </is>
      </c>
      <c r="G460" s="21" t="n">
        <v>5</v>
      </c>
      <c r="H460" s="17" t="inlineStr">
        <is>
          <t>Sim</t>
        </is>
      </c>
      <c r="I460" s="23" t="n">
        <v>31484.19</v>
      </c>
      <c r="J460" s="24">
        <f>(D460*Premissas!$B$24+(2*ROUNDUP(D460/2,0))*Premissas!$B$26+INT((2*ROUNDUP(D460/2,0))/4)*Premissas!$B$27+MOD((2*ROUNDUP(D460/2,0)),4)/2*Premissas!$B$28+2*IF(D460&lt;=19,3*D460,IF(D460&lt;=50,ROUNDUP(2.5*D460,0),2*D460))*Premissas!$B$29+IF(C460="Micro",G460*(Premissas!$B$31+Premissas!$B$32+4*Premissas!$B$30),G460*(INDEX(Premissas!$B$40:$B$71,MATCH(F460,Premissas!$A$40:$A$71,0))+INDEX(Premissas!$C$40:$C$71,MATCH(F460,Premissas!$A$40:$A$71,0))*Premissas!$B$30)))</f>
        <v/>
      </c>
      <c r="K460" s="24">
        <f>IF(J460&lt;Premissas!$B$36,MAX(Premissas!$B$33,J460*Premissas!$B$34),J460*Premissas!$B$35)</f>
        <v/>
      </c>
      <c r="L460" s="24">
        <f>ROUND(J460+K460,2)</f>
        <v/>
      </c>
      <c r="M460" s="24">
        <f>D460*Premissas!$B$8+Premissas!$B$9+Premissas!$B$10+Premissas!$B$11+Premissas!$B$12+ROUND(Premissas!$B$13*E460,2)</f>
        <v/>
      </c>
      <c r="N460" s="25">
        <f>ROUNDUP((L460+M460-Premissas!$B$5*L460)/(1-Premissas!$B$6-Premissas!$B$7-Premissas!$B$5-Premissas!$B$14),2)</f>
        <v/>
      </c>
      <c r="O460" s="24">
        <f>ROUND(IF(N460&lt;=30000,N460*(1+Premissas!$B$21),N460+Premissas!$B$21*30000*SQRT(N460/30000)),2)</f>
        <v/>
      </c>
      <c r="P460" s="24">
        <f>N460-I460</f>
        <v/>
      </c>
      <c r="Q460" s="26">
        <f>P460/I460</f>
        <v/>
      </c>
      <c r="R460" s="26">
        <f>(I460-L460-Premissas!$B$5*(I460-L460)-(Premissas!$B$6+Premissas!$B$7)*I460-M460)/I460</f>
        <v/>
      </c>
      <c r="S460" s="24">
        <f>ROUND((CEILING((L460*Premissas!$B$19/Premissas!$B$20-97)/100,1)*100+97)*Premissas!$B$20,2)</f>
        <v/>
      </c>
    </row>
    <row r="461">
      <c r="A461" s="17" t="inlineStr">
        <is>
          <t>KIT 20 MOD. 620W + MICROINVERSOR HOYMILES 2,25KW</t>
        </is>
      </c>
      <c r="B461" s="17" t="inlineStr">
        <is>
          <t>HOYMILES</t>
        </is>
      </c>
      <c r="C461" s="17" t="inlineStr">
        <is>
          <t>Micro</t>
        </is>
      </c>
      <c r="D461" s="21" t="n">
        <v>20</v>
      </c>
      <c r="E461" s="30" t="n">
        <v>12.4</v>
      </c>
      <c r="F461" s="20" t="inlineStr">
        <is>
          <t>Microinversor HOYMILES 2,25kW</t>
        </is>
      </c>
      <c r="G461" s="21" t="n">
        <v>5</v>
      </c>
      <c r="H461" s="17" t="inlineStr">
        <is>
          <t>Sim</t>
        </is>
      </c>
      <c r="I461" s="23" t="n">
        <v>32555.19</v>
      </c>
      <c r="J461" s="24">
        <f>(D461*Premissas!$B$24+(2*ROUNDUP(D461/2,0))*Premissas!$B$26+INT((2*ROUNDUP(D461/2,0))/4)*Premissas!$B$27+MOD((2*ROUNDUP(D461/2,0)),4)/2*Premissas!$B$28+2*IF(D461&lt;=19,3*D461,IF(D461&lt;=50,ROUNDUP(2.5*D461,0),2*D461))*Premissas!$B$29+IF(C461="Micro",G461*(Premissas!$B$31+Premissas!$B$32+4*Premissas!$B$30),G461*(INDEX(Premissas!$B$40:$B$71,MATCH(F461,Premissas!$A$40:$A$71,0))+INDEX(Premissas!$C$40:$C$71,MATCH(F461,Premissas!$A$40:$A$71,0))*Premissas!$B$30)))</f>
        <v/>
      </c>
      <c r="K461" s="24">
        <f>IF(J461&lt;Premissas!$B$36,MAX(Premissas!$B$33,J461*Premissas!$B$34),J461*Premissas!$B$35)</f>
        <v/>
      </c>
      <c r="L461" s="24">
        <f>ROUND(J461+K461,2)</f>
        <v/>
      </c>
      <c r="M461" s="24">
        <f>D461*Premissas!$B$8+Premissas!$B$9+Premissas!$B$10+Premissas!$B$11+Premissas!$B$12+ROUND(Premissas!$B$13*E461,2)</f>
        <v/>
      </c>
      <c r="N461" s="25">
        <f>ROUNDUP((L461+M461-Premissas!$B$5*L461)/(1-Premissas!$B$6-Premissas!$B$7-Premissas!$B$5-Premissas!$B$14),2)</f>
        <v/>
      </c>
      <c r="O461" s="24">
        <f>ROUND(IF(N461&lt;=30000,N461*(1+Premissas!$B$21),N461+Premissas!$B$21*30000*SQRT(N461/30000)),2)</f>
        <v/>
      </c>
      <c r="P461" s="24">
        <f>N461-I461</f>
        <v/>
      </c>
      <c r="Q461" s="26">
        <f>P461/I461</f>
        <v/>
      </c>
      <c r="R461" s="26">
        <f>(I461-L461-Premissas!$B$5*(I461-L461)-(Premissas!$B$6+Premissas!$B$7)*I461-M461)/I461</f>
        <v/>
      </c>
      <c r="S461" s="24">
        <f>ROUND((CEILING((L461*Premissas!$B$19/Premissas!$B$20-97)/100,1)*100+97)*Premissas!$B$20,2)</f>
        <v/>
      </c>
    </row>
    <row r="462">
      <c r="A462" s="17" t="inlineStr">
        <is>
          <t>KIT 21 MOD. 620W + MICROINVERSOR HOYMILES 2,25KW</t>
        </is>
      </c>
      <c r="B462" s="17" t="inlineStr">
        <is>
          <t>HOYMILES</t>
        </is>
      </c>
      <c r="C462" s="17" t="inlineStr">
        <is>
          <t>Micro</t>
        </is>
      </c>
      <c r="D462" s="21" t="n">
        <v>21</v>
      </c>
      <c r="E462" s="30" t="n">
        <v>13.02</v>
      </c>
      <c r="F462" s="20" t="inlineStr">
        <is>
          <t>Microinversor HOYMILES 2,25kW</t>
        </is>
      </c>
      <c r="G462" s="21" t="n">
        <v>6</v>
      </c>
      <c r="H462" s="17" t="inlineStr">
        <is>
          <t>Sim</t>
        </is>
      </c>
      <c r="I462" s="23" t="n">
        <v>36196.59</v>
      </c>
      <c r="J462" s="24">
        <f>(D462*Premissas!$B$24+(2*ROUNDUP(D462/2,0))*Premissas!$B$26+INT((2*ROUNDUP(D462/2,0))/4)*Premissas!$B$27+MOD((2*ROUNDUP(D462/2,0)),4)/2*Premissas!$B$28+2*IF(D462&lt;=19,3*D462,IF(D462&lt;=50,ROUNDUP(2.5*D462,0),2*D462))*Premissas!$B$29+IF(C462="Micro",G462*(Premissas!$B$31+Premissas!$B$32+4*Premissas!$B$30),G462*(INDEX(Premissas!$B$40:$B$71,MATCH(F462,Premissas!$A$40:$A$71,0))+INDEX(Premissas!$C$40:$C$71,MATCH(F462,Premissas!$A$40:$A$71,0))*Premissas!$B$30)))</f>
        <v/>
      </c>
      <c r="K462" s="24">
        <f>IF(J462&lt;Premissas!$B$36,MAX(Premissas!$B$33,J462*Premissas!$B$34),J462*Premissas!$B$35)</f>
        <v/>
      </c>
      <c r="L462" s="24">
        <f>ROUND(J462+K462,2)</f>
        <v/>
      </c>
      <c r="M462" s="24">
        <f>D462*Premissas!$B$8+Premissas!$B$9+Premissas!$B$10+Premissas!$B$11+Premissas!$B$12+ROUND(Premissas!$B$13*E462,2)</f>
        <v/>
      </c>
      <c r="N462" s="25">
        <f>ROUNDUP((L462+M462-Premissas!$B$5*L462)/(1-Premissas!$B$6-Premissas!$B$7-Premissas!$B$5-Premissas!$B$14),2)</f>
        <v/>
      </c>
      <c r="O462" s="24">
        <f>ROUND(IF(N462&lt;=30000,N462*(1+Premissas!$B$21),N462+Premissas!$B$21*30000*SQRT(N462/30000)),2)</f>
        <v/>
      </c>
      <c r="P462" s="24">
        <f>N462-I462</f>
        <v/>
      </c>
      <c r="Q462" s="26">
        <f>P462/I462</f>
        <v/>
      </c>
      <c r="R462" s="26">
        <f>(I462-L462-Premissas!$B$5*(I462-L462)-(Premissas!$B$6+Premissas!$B$7)*I462-M462)/I462</f>
        <v/>
      </c>
      <c r="S462" s="24">
        <f>ROUND((CEILING((L462*Premissas!$B$19/Premissas!$B$20-97)/100,1)*100+97)*Premissas!$B$20,2)</f>
        <v/>
      </c>
    </row>
    <row r="463">
      <c r="A463" s="17" t="inlineStr">
        <is>
          <t>KIT 22 MOD. 620W + MICROINVERSOR HOYMILES 2,25KW</t>
        </is>
      </c>
      <c r="B463" s="17" t="inlineStr">
        <is>
          <t>HOYMILES</t>
        </is>
      </c>
      <c r="C463" s="17" t="inlineStr">
        <is>
          <t>Micro</t>
        </is>
      </c>
      <c r="D463" s="21" t="n">
        <v>22</v>
      </c>
      <c r="E463" s="30" t="n">
        <v>13.64</v>
      </c>
      <c r="F463" s="20" t="inlineStr">
        <is>
          <t>Microinversor HOYMILES 2,25kW</t>
        </is>
      </c>
      <c r="G463" s="21" t="n">
        <v>6</v>
      </c>
      <c r="H463" s="17" t="inlineStr">
        <is>
          <t>Sim</t>
        </is>
      </c>
      <c r="I463" s="23" t="n">
        <v>37160.49</v>
      </c>
      <c r="J463" s="24">
        <f>(D463*Premissas!$B$24+(2*ROUNDUP(D463/2,0))*Premissas!$B$26+INT((2*ROUNDUP(D463/2,0))/4)*Premissas!$B$27+MOD((2*ROUNDUP(D463/2,0)),4)/2*Premissas!$B$28+2*IF(D463&lt;=19,3*D463,IF(D463&lt;=50,ROUNDUP(2.5*D463,0),2*D463))*Premissas!$B$29+IF(C463="Micro",G463*(Premissas!$B$31+Premissas!$B$32+4*Premissas!$B$30),G463*(INDEX(Premissas!$B$40:$B$71,MATCH(F463,Premissas!$A$40:$A$71,0))+INDEX(Premissas!$C$40:$C$71,MATCH(F463,Premissas!$A$40:$A$71,0))*Premissas!$B$30)))</f>
        <v/>
      </c>
      <c r="K463" s="24">
        <f>IF(J463&lt;Premissas!$B$36,MAX(Premissas!$B$33,J463*Premissas!$B$34),J463*Premissas!$B$35)</f>
        <v/>
      </c>
      <c r="L463" s="24">
        <f>ROUND(J463+K463,2)</f>
        <v/>
      </c>
      <c r="M463" s="24">
        <f>D463*Premissas!$B$8+Premissas!$B$9+Premissas!$B$10+Premissas!$B$11+Premissas!$B$12+ROUND(Premissas!$B$13*E463,2)</f>
        <v/>
      </c>
      <c r="N463" s="25">
        <f>ROUNDUP((L463+M463-Premissas!$B$5*L463)/(1-Premissas!$B$6-Premissas!$B$7-Premissas!$B$5-Premissas!$B$14),2)</f>
        <v/>
      </c>
      <c r="O463" s="24">
        <f>ROUND(IF(N463&lt;=30000,N463*(1+Premissas!$B$21),N463+Premissas!$B$21*30000*SQRT(N463/30000)),2)</f>
        <v/>
      </c>
      <c r="P463" s="24">
        <f>N463-I463</f>
        <v/>
      </c>
      <c r="Q463" s="26">
        <f>P463/I463</f>
        <v/>
      </c>
      <c r="R463" s="26">
        <f>(I463-L463-Premissas!$B$5*(I463-L463)-(Premissas!$B$6+Premissas!$B$7)*I463-M463)/I463</f>
        <v/>
      </c>
      <c r="S463" s="24">
        <f>ROUND((CEILING((L463*Premissas!$B$19/Premissas!$B$20-97)/100,1)*100+97)*Premissas!$B$20,2)</f>
        <v/>
      </c>
    </row>
    <row r="464">
      <c r="A464" s="17" t="inlineStr">
        <is>
          <t>KIT 23 MOD. 620W + MICROINVERSOR HOYMILES 2,25KW</t>
        </is>
      </c>
      <c r="B464" s="17" t="inlineStr">
        <is>
          <t>HOYMILES</t>
        </is>
      </c>
      <c r="C464" s="17" t="inlineStr">
        <is>
          <t>Micro</t>
        </is>
      </c>
      <c r="D464" s="21" t="n">
        <v>23</v>
      </c>
      <c r="E464" s="30" t="n">
        <v>14.26</v>
      </c>
      <c r="F464" s="20" t="inlineStr">
        <is>
          <t>Microinversor HOYMILES 2,25kW</t>
        </is>
      </c>
      <c r="G464" s="21" t="n">
        <v>6</v>
      </c>
      <c r="H464" s="17" t="inlineStr">
        <is>
          <t>Sim</t>
        </is>
      </c>
      <c r="I464" s="23" t="n">
        <v>38552.79</v>
      </c>
      <c r="J464" s="24">
        <f>(D464*Premissas!$B$24+(2*ROUNDUP(D464/2,0))*Premissas!$B$26+INT((2*ROUNDUP(D464/2,0))/4)*Premissas!$B$27+MOD((2*ROUNDUP(D464/2,0)),4)/2*Premissas!$B$28+2*IF(D464&lt;=19,3*D464,IF(D464&lt;=50,ROUNDUP(2.5*D464,0),2*D464))*Premissas!$B$29+IF(C464="Micro",G464*(Premissas!$B$31+Premissas!$B$32+4*Premissas!$B$30),G464*(INDEX(Premissas!$B$40:$B$71,MATCH(F464,Premissas!$A$40:$A$71,0))+INDEX(Premissas!$C$40:$C$71,MATCH(F464,Premissas!$A$40:$A$71,0))*Premissas!$B$30)))</f>
        <v/>
      </c>
      <c r="K464" s="24">
        <f>IF(J464&lt;Premissas!$B$36,MAX(Premissas!$B$33,J464*Premissas!$B$34),J464*Premissas!$B$35)</f>
        <v/>
      </c>
      <c r="L464" s="24">
        <f>ROUND(J464+K464,2)</f>
        <v/>
      </c>
      <c r="M464" s="24">
        <f>D464*Premissas!$B$8+Premissas!$B$9+Premissas!$B$10+Premissas!$B$11+Premissas!$B$12+ROUND(Premissas!$B$13*E464,2)</f>
        <v/>
      </c>
      <c r="N464" s="25">
        <f>ROUNDUP((L464+M464-Premissas!$B$5*L464)/(1-Premissas!$B$6-Premissas!$B$7-Premissas!$B$5-Premissas!$B$14),2)</f>
        <v/>
      </c>
      <c r="O464" s="24">
        <f>ROUND(IF(N464&lt;=30000,N464*(1+Premissas!$B$21),N464+Premissas!$B$21*30000*SQRT(N464/30000)),2)</f>
        <v/>
      </c>
      <c r="P464" s="24">
        <f>N464-I464</f>
        <v/>
      </c>
      <c r="Q464" s="26">
        <f>P464/I464</f>
        <v/>
      </c>
      <c r="R464" s="26">
        <f>(I464-L464-Premissas!$B$5*(I464-L464)-(Premissas!$B$6+Premissas!$B$7)*I464-M464)/I464</f>
        <v/>
      </c>
      <c r="S464" s="24">
        <f>ROUND((CEILING((L464*Premissas!$B$19/Premissas!$B$20-97)/100,1)*100+97)*Premissas!$B$20,2)</f>
        <v/>
      </c>
    </row>
    <row r="465">
      <c r="A465" s="17" t="inlineStr">
        <is>
          <t>KIT 24 MOD. 620W + MICROINVERSOR HOYMILES 2,25KW</t>
        </is>
      </c>
      <c r="B465" s="17" t="inlineStr">
        <is>
          <t>HOYMILES</t>
        </is>
      </c>
      <c r="C465" s="17" t="inlineStr">
        <is>
          <t>Micro</t>
        </is>
      </c>
      <c r="D465" s="21" t="n">
        <v>24</v>
      </c>
      <c r="E465" s="30" t="n">
        <v>14.88</v>
      </c>
      <c r="F465" s="20" t="inlineStr">
        <is>
          <t>Microinversor HOYMILES 2,25kW</t>
        </is>
      </c>
      <c r="G465" s="21" t="n">
        <v>6</v>
      </c>
      <c r="H465" s="17" t="inlineStr">
        <is>
          <t>Sim</t>
        </is>
      </c>
      <c r="I465" s="23" t="n">
        <v>39516.69</v>
      </c>
      <c r="J465" s="24">
        <f>(D465*Premissas!$B$24+(2*ROUNDUP(D465/2,0))*Premissas!$B$26+INT((2*ROUNDUP(D465/2,0))/4)*Premissas!$B$27+MOD((2*ROUNDUP(D465/2,0)),4)/2*Premissas!$B$28+2*IF(D465&lt;=19,3*D465,IF(D465&lt;=50,ROUNDUP(2.5*D465,0),2*D465))*Premissas!$B$29+IF(C465="Micro",G465*(Premissas!$B$31+Premissas!$B$32+4*Premissas!$B$30),G465*(INDEX(Premissas!$B$40:$B$71,MATCH(F465,Premissas!$A$40:$A$71,0))+INDEX(Premissas!$C$40:$C$71,MATCH(F465,Premissas!$A$40:$A$71,0))*Premissas!$B$30)))</f>
        <v/>
      </c>
      <c r="K465" s="24">
        <f>IF(J465&lt;Premissas!$B$36,MAX(Premissas!$B$33,J465*Premissas!$B$34),J465*Premissas!$B$35)</f>
        <v/>
      </c>
      <c r="L465" s="24">
        <f>ROUND(J465+K465,2)</f>
        <v/>
      </c>
      <c r="M465" s="24">
        <f>D465*Premissas!$B$8+Premissas!$B$9+Premissas!$B$10+Premissas!$B$11+Premissas!$B$12+ROUND(Premissas!$B$13*E465,2)</f>
        <v/>
      </c>
      <c r="N465" s="25">
        <f>ROUNDUP((L465+M465-Premissas!$B$5*L465)/(1-Premissas!$B$6-Premissas!$B$7-Premissas!$B$5-Premissas!$B$14),2)</f>
        <v/>
      </c>
      <c r="O465" s="24">
        <f>ROUND(IF(N465&lt;=30000,N465*(1+Premissas!$B$21),N465+Premissas!$B$21*30000*SQRT(N465/30000)),2)</f>
        <v/>
      </c>
      <c r="P465" s="24">
        <f>N465-I465</f>
        <v/>
      </c>
      <c r="Q465" s="26">
        <f>P465/I465</f>
        <v/>
      </c>
      <c r="R465" s="26">
        <f>(I465-L465-Premissas!$B$5*(I465-L465)-(Premissas!$B$6+Premissas!$B$7)*I465-M465)/I465</f>
        <v/>
      </c>
      <c r="S465" s="24">
        <f>ROUND((CEILING((L465*Premissas!$B$19/Premissas!$B$20-97)/100,1)*100+97)*Premissas!$B$20,2)</f>
        <v/>
      </c>
    </row>
    <row r="466">
      <c r="A466" s="17" t="inlineStr">
        <is>
          <t>KIT 25 MOD. 620W + MICROINVERSOR HOYMILES 2,25KW</t>
        </is>
      </c>
      <c r="B466" s="17" t="inlineStr">
        <is>
          <t>HOYMILES</t>
        </is>
      </c>
      <c r="C466" s="17" t="inlineStr">
        <is>
          <t>Micro</t>
        </is>
      </c>
      <c r="D466" s="21" t="n">
        <v>25</v>
      </c>
      <c r="E466" s="30" t="n">
        <v>15.5</v>
      </c>
      <c r="F466" s="20" t="inlineStr">
        <is>
          <t>Microinversor HOYMILES 2,25kW</t>
        </is>
      </c>
      <c r="G466" s="21" t="n">
        <v>7</v>
      </c>
      <c r="H466" s="17" t="inlineStr">
        <is>
          <t>Sim</t>
        </is>
      </c>
      <c r="I466" s="23" t="n">
        <v>42729.69</v>
      </c>
      <c r="J466" s="24">
        <f>(D466*Premissas!$B$24+(2*ROUNDUP(D466/2,0))*Premissas!$B$26+INT((2*ROUNDUP(D466/2,0))/4)*Premissas!$B$27+MOD((2*ROUNDUP(D466/2,0)),4)/2*Premissas!$B$28+2*IF(D466&lt;=19,3*D466,IF(D466&lt;=50,ROUNDUP(2.5*D466,0),2*D466))*Premissas!$B$29+IF(C466="Micro",G466*(Premissas!$B$31+Premissas!$B$32+4*Premissas!$B$30),G466*(INDEX(Premissas!$B$40:$B$71,MATCH(F466,Premissas!$A$40:$A$71,0))+INDEX(Premissas!$C$40:$C$71,MATCH(F466,Premissas!$A$40:$A$71,0))*Premissas!$B$30)))</f>
        <v/>
      </c>
      <c r="K466" s="24">
        <f>IF(J466&lt;Premissas!$B$36,MAX(Premissas!$B$33,J466*Premissas!$B$34),J466*Premissas!$B$35)</f>
        <v/>
      </c>
      <c r="L466" s="24">
        <f>ROUND(J466+K466,2)</f>
        <v/>
      </c>
      <c r="M466" s="24">
        <f>D466*Premissas!$B$8+Premissas!$B$9+Premissas!$B$10+Premissas!$B$11+Premissas!$B$12+ROUND(Premissas!$B$13*E466,2)</f>
        <v/>
      </c>
      <c r="N466" s="25">
        <f>ROUNDUP((L466+M466-Premissas!$B$5*L466)/(1-Premissas!$B$6-Premissas!$B$7-Premissas!$B$5-Premissas!$B$14),2)</f>
        <v/>
      </c>
      <c r="O466" s="24">
        <f>ROUND(IF(N466&lt;=30000,N466*(1+Premissas!$B$21),N466+Premissas!$B$21*30000*SQRT(N466/30000)),2)</f>
        <v/>
      </c>
      <c r="P466" s="24">
        <f>N466-I466</f>
        <v/>
      </c>
      <c r="Q466" s="26">
        <f>P466/I466</f>
        <v/>
      </c>
      <c r="R466" s="26">
        <f>(I466-L466-Premissas!$B$5*(I466-L466)-(Premissas!$B$6+Premissas!$B$7)*I466-M466)/I466</f>
        <v/>
      </c>
      <c r="S466" s="24">
        <f>ROUND((CEILING((L466*Premissas!$B$19/Premissas!$B$20-97)/100,1)*100+97)*Premissas!$B$20,2)</f>
        <v/>
      </c>
    </row>
    <row r="467">
      <c r="A467" s="17" t="inlineStr">
        <is>
          <t>KIT 26 MOD. 620W + MICROINVERSOR HOYMILES 2,25KW</t>
        </is>
      </c>
      <c r="B467" s="17" t="inlineStr">
        <is>
          <t>HOYMILES</t>
        </is>
      </c>
      <c r="C467" s="17" t="inlineStr">
        <is>
          <t>Micro</t>
        </is>
      </c>
      <c r="D467" s="21" t="n">
        <v>26</v>
      </c>
      <c r="E467" s="30" t="n">
        <v>16.12</v>
      </c>
      <c r="F467" s="20" t="inlineStr">
        <is>
          <t>Microinversor HOYMILES 2,25kW</t>
        </is>
      </c>
      <c r="G467" s="21" t="n">
        <v>7</v>
      </c>
      <c r="H467" s="17" t="inlineStr">
        <is>
          <t>Sim</t>
        </is>
      </c>
      <c r="I467" s="23" t="n">
        <v>43800.69</v>
      </c>
      <c r="J467" s="24">
        <f>(D467*Premissas!$B$24+(2*ROUNDUP(D467/2,0))*Premissas!$B$26+INT((2*ROUNDUP(D467/2,0))/4)*Premissas!$B$27+MOD((2*ROUNDUP(D467/2,0)),4)/2*Premissas!$B$28+2*IF(D467&lt;=19,3*D467,IF(D467&lt;=50,ROUNDUP(2.5*D467,0),2*D467))*Premissas!$B$29+IF(C467="Micro",G467*(Premissas!$B$31+Premissas!$B$32+4*Premissas!$B$30),G467*(INDEX(Premissas!$B$40:$B$71,MATCH(F467,Premissas!$A$40:$A$71,0))+INDEX(Premissas!$C$40:$C$71,MATCH(F467,Premissas!$A$40:$A$71,0))*Premissas!$B$30)))</f>
        <v/>
      </c>
      <c r="K467" s="24">
        <f>IF(J467&lt;Premissas!$B$36,MAX(Premissas!$B$33,J467*Premissas!$B$34),J467*Premissas!$B$35)</f>
        <v/>
      </c>
      <c r="L467" s="24">
        <f>ROUND(J467+K467,2)</f>
        <v/>
      </c>
      <c r="M467" s="24">
        <f>D467*Premissas!$B$8+Premissas!$B$9+Premissas!$B$10+Premissas!$B$11+Premissas!$B$12+ROUND(Premissas!$B$13*E467,2)</f>
        <v/>
      </c>
      <c r="N467" s="25">
        <f>ROUNDUP((L467+M467-Premissas!$B$5*L467)/(1-Premissas!$B$6-Premissas!$B$7-Premissas!$B$5-Premissas!$B$14),2)</f>
        <v/>
      </c>
      <c r="O467" s="24">
        <f>ROUND(IF(N467&lt;=30000,N467*(1+Premissas!$B$21),N467+Premissas!$B$21*30000*SQRT(N467/30000)),2)</f>
        <v/>
      </c>
      <c r="P467" s="24">
        <f>N467-I467</f>
        <v/>
      </c>
      <c r="Q467" s="26">
        <f>P467/I467</f>
        <v/>
      </c>
      <c r="R467" s="26">
        <f>(I467-L467-Premissas!$B$5*(I467-L467)-(Premissas!$B$6+Premissas!$B$7)*I467-M467)/I467</f>
        <v/>
      </c>
      <c r="S467" s="24">
        <f>ROUND((CEILING((L467*Premissas!$B$19/Premissas!$B$20-97)/100,1)*100+97)*Premissas!$B$20,2)</f>
        <v/>
      </c>
    </row>
    <row r="468">
      <c r="A468" s="17" t="inlineStr">
        <is>
          <t>KIT 27 MOD. 620W + MICROINVERSOR HOYMILES 2,25KW</t>
        </is>
      </c>
      <c r="B468" s="17" t="inlineStr">
        <is>
          <t>HOYMILES</t>
        </is>
      </c>
      <c r="C468" s="17" t="inlineStr">
        <is>
          <t>Micro</t>
        </is>
      </c>
      <c r="D468" s="21" t="n">
        <v>27</v>
      </c>
      <c r="E468" s="30" t="n">
        <v>16.74</v>
      </c>
      <c r="F468" s="20" t="inlineStr">
        <is>
          <t>Microinversor HOYMILES 2,25kW</t>
        </is>
      </c>
      <c r="G468" s="21" t="n">
        <v>7</v>
      </c>
      <c r="H468" s="17" t="inlineStr">
        <is>
          <t>Sim</t>
        </is>
      </c>
      <c r="I468" s="23" t="n">
        <v>45085.89</v>
      </c>
      <c r="J468" s="24">
        <f>(D468*Premissas!$B$24+(2*ROUNDUP(D468/2,0))*Premissas!$B$26+INT((2*ROUNDUP(D468/2,0))/4)*Premissas!$B$27+MOD((2*ROUNDUP(D468/2,0)),4)/2*Premissas!$B$28+2*IF(D468&lt;=19,3*D468,IF(D468&lt;=50,ROUNDUP(2.5*D468,0),2*D468))*Premissas!$B$29+IF(C468="Micro",G468*(Premissas!$B$31+Premissas!$B$32+4*Premissas!$B$30),G468*(INDEX(Premissas!$B$40:$B$71,MATCH(F468,Premissas!$A$40:$A$71,0))+INDEX(Premissas!$C$40:$C$71,MATCH(F468,Premissas!$A$40:$A$71,0))*Premissas!$B$30)))</f>
        <v/>
      </c>
      <c r="K468" s="24">
        <f>IF(J468&lt;Premissas!$B$36,MAX(Premissas!$B$33,J468*Premissas!$B$34),J468*Premissas!$B$35)</f>
        <v/>
      </c>
      <c r="L468" s="24">
        <f>ROUND(J468+K468,2)</f>
        <v/>
      </c>
      <c r="M468" s="24">
        <f>D468*Premissas!$B$8+Premissas!$B$9+Premissas!$B$10+Premissas!$B$11+Premissas!$B$12+ROUND(Premissas!$B$13*E468,2)</f>
        <v/>
      </c>
      <c r="N468" s="25">
        <f>ROUNDUP((L468+M468-Premissas!$B$5*L468)/(1-Premissas!$B$6-Premissas!$B$7-Premissas!$B$5-Premissas!$B$14),2)</f>
        <v/>
      </c>
      <c r="O468" s="24">
        <f>ROUND(IF(N468&lt;=30000,N468*(1+Premissas!$B$21),N468+Premissas!$B$21*30000*SQRT(N468/30000)),2)</f>
        <v/>
      </c>
      <c r="P468" s="24">
        <f>N468-I468</f>
        <v/>
      </c>
      <c r="Q468" s="26">
        <f>P468/I468</f>
        <v/>
      </c>
      <c r="R468" s="26">
        <f>(I468-L468-Premissas!$B$5*(I468-L468)-(Premissas!$B$6+Premissas!$B$7)*I468-M468)/I468</f>
        <v/>
      </c>
      <c r="S468" s="24">
        <f>ROUND((CEILING((L468*Premissas!$B$19/Premissas!$B$20-97)/100,1)*100+97)*Premissas!$B$20,2)</f>
        <v/>
      </c>
    </row>
    <row r="469">
      <c r="A469" s="17" t="inlineStr">
        <is>
          <t>KIT 28 MOD. 620W + MICROINVERSOR HOYMILES 2,25KW</t>
        </is>
      </c>
      <c r="B469" s="17" t="inlineStr">
        <is>
          <t>HOYMILES</t>
        </is>
      </c>
      <c r="C469" s="17" t="inlineStr">
        <is>
          <t>Micro</t>
        </is>
      </c>
      <c r="D469" s="21" t="n">
        <v>28</v>
      </c>
      <c r="E469" s="30" t="n">
        <v>17.36</v>
      </c>
      <c r="F469" s="20" t="inlineStr">
        <is>
          <t>Microinversor HOYMILES 2,25kW</t>
        </is>
      </c>
      <c r="G469" s="21" t="n">
        <v>7</v>
      </c>
      <c r="H469" s="17" t="inlineStr">
        <is>
          <t>Sim</t>
        </is>
      </c>
      <c r="I469" s="23" t="n">
        <v>45835.59</v>
      </c>
      <c r="J469" s="24">
        <f>(D469*Premissas!$B$24+(2*ROUNDUP(D469/2,0))*Premissas!$B$26+INT((2*ROUNDUP(D469/2,0))/4)*Premissas!$B$27+MOD((2*ROUNDUP(D469/2,0)),4)/2*Premissas!$B$28+2*IF(D469&lt;=19,3*D469,IF(D469&lt;=50,ROUNDUP(2.5*D469,0),2*D469))*Premissas!$B$29+IF(C469="Micro",G469*(Premissas!$B$31+Premissas!$B$32+4*Premissas!$B$30),G469*(INDEX(Premissas!$B$40:$B$71,MATCH(F469,Premissas!$A$40:$A$71,0))+INDEX(Premissas!$C$40:$C$71,MATCH(F469,Premissas!$A$40:$A$71,0))*Premissas!$B$30)))</f>
        <v/>
      </c>
      <c r="K469" s="24">
        <f>IF(J469&lt;Premissas!$B$36,MAX(Premissas!$B$33,J469*Premissas!$B$34),J469*Premissas!$B$35)</f>
        <v/>
      </c>
      <c r="L469" s="24">
        <f>ROUND(J469+K469,2)</f>
        <v/>
      </c>
      <c r="M469" s="24">
        <f>D469*Premissas!$B$8+Premissas!$B$9+Premissas!$B$10+Premissas!$B$11+Premissas!$B$12+ROUND(Premissas!$B$13*E469,2)</f>
        <v/>
      </c>
      <c r="N469" s="25">
        <f>ROUNDUP((L469+M469-Premissas!$B$5*L469)/(1-Premissas!$B$6-Premissas!$B$7-Premissas!$B$5-Premissas!$B$14),2)</f>
        <v/>
      </c>
      <c r="O469" s="24">
        <f>ROUND(IF(N469&lt;=30000,N469*(1+Premissas!$B$21),N469+Premissas!$B$21*30000*SQRT(N469/30000)),2)</f>
        <v/>
      </c>
      <c r="P469" s="24">
        <f>N469-I469</f>
        <v/>
      </c>
      <c r="Q469" s="26">
        <f>P469/I469</f>
        <v/>
      </c>
      <c r="R469" s="26">
        <f>(I469-L469-Premissas!$B$5*(I469-L469)-(Premissas!$B$6+Premissas!$B$7)*I469-M469)/I469</f>
        <v/>
      </c>
      <c r="S469" s="24">
        <f>ROUND((CEILING((L469*Premissas!$B$19/Premissas!$B$20-97)/100,1)*100+97)*Premissas!$B$20,2)</f>
        <v/>
      </c>
    </row>
    <row r="470">
      <c r="A470" s="17" t="inlineStr">
        <is>
          <t>KIT 29 MOD. 620W + MICROINVERSOR HOYMILES 2,25KW</t>
        </is>
      </c>
      <c r="B470" s="17" t="inlineStr">
        <is>
          <t>HOYMILES</t>
        </is>
      </c>
      <c r="C470" s="17" t="inlineStr">
        <is>
          <t>Micro</t>
        </is>
      </c>
      <c r="D470" s="21" t="n">
        <v>29</v>
      </c>
      <c r="E470" s="30" t="n">
        <v>17.98</v>
      </c>
      <c r="F470" s="20" t="inlineStr">
        <is>
          <t>Microinversor HOYMILES 2,25kW</t>
        </is>
      </c>
      <c r="G470" s="21" t="n">
        <v>8</v>
      </c>
      <c r="H470" s="17" t="inlineStr">
        <is>
          <t>Sim</t>
        </is>
      </c>
      <c r="I470" s="23" t="n">
        <v>48941.49</v>
      </c>
      <c r="J470" s="24">
        <f>(D470*Premissas!$B$24+(2*ROUNDUP(D470/2,0))*Premissas!$B$26+INT((2*ROUNDUP(D470/2,0))/4)*Premissas!$B$27+MOD((2*ROUNDUP(D470/2,0)),4)/2*Premissas!$B$28+2*IF(D470&lt;=19,3*D470,IF(D470&lt;=50,ROUNDUP(2.5*D470,0),2*D470))*Premissas!$B$29+IF(C470="Micro",G470*(Premissas!$B$31+Premissas!$B$32+4*Premissas!$B$30),G470*(INDEX(Premissas!$B$40:$B$71,MATCH(F470,Premissas!$A$40:$A$71,0))+INDEX(Premissas!$C$40:$C$71,MATCH(F470,Premissas!$A$40:$A$71,0))*Premissas!$B$30)))</f>
        <v/>
      </c>
      <c r="K470" s="24">
        <f>IF(J470&lt;Premissas!$B$36,MAX(Premissas!$B$33,J470*Premissas!$B$34),J470*Premissas!$B$35)</f>
        <v/>
      </c>
      <c r="L470" s="24">
        <f>ROUND(J470+K470,2)</f>
        <v/>
      </c>
      <c r="M470" s="24">
        <f>D470*Premissas!$B$8+Premissas!$B$9+Premissas!$B$10+Premissas!$B$11+Premissas!$B$12+ROUND(Premissas!$B$13*E470,2)</f>
        <v/>
      </c>
      <c r="N470" s="25">
        <f>ROUNDUP((L470+M470-Premissas!$B$5*L470)/(1-Premissas!$B$6-Premissas!$B$7-Premissas!$B$5-Premissas!$B$14),2)</f>
        <v/>
      </c>
      <c r="O470" s="24">
        <f>ROUND(IF(N470&lt;=30000,N470*(1+Premissas!$B$21),N470+Premissas!$B$21*30000*SQRT(N470/30000)),2)</f>
        <v/>
      </c>
      <c r="P470" s="24">
        <f>N470-I470</f>
        <v/>
      </c>
      <c r="Q470" s="26">
        <f>P470/I470</f>
        <v/>
      </c>
      <c r="R470" s="26">
        <f>(I470-L470-Premissas!$B$5*(I470-L470)-(Premissas!$B$6+Premissas!$B$7)*I470-M470)/I470</f>
        <v/>
      </c>
      <c r="S470" s="24">
        <f>ROUND((CEILING((L470*Premissas!$B$19/Premissas!$B$20-97)/100,1)*100+97)*Premissas!$B$20,2)</f>
        <v/>
      </c>
    </row>
    <row r="471">
      <c r="A471" s="17" t="inlineStr">
        <is>
          <t>KIT 30 MOD. 620W + MICROINVERSOR HOYMILES 2,25KW</t>
        </is>
      </c>
      <c r="B471" s="17" t="inlineStr">
        <is>
          <t>HOYMILES</t>
        </is>
      </c>
      <c r="C471" s="17" t="inlineStr">
        <is>
          <t>Micro</t>
        </is>
      </c>
      <c r="D471" s="21" t="n">
        <v>30</v>
      </c>
      <c r="E471" s="30" t="n">
        <v>18.6</v>
      </c>
      <c r="F471" s="20" t="inlineStr">
        <is>
          <t>Microinversor HOYMILES 2,25kW</t>
        </is>
      </c>
      <c r="G471" s="21" t="n">
        <v>8</v>
      </c>
      <c r="H471" s="17" t="inlineStr">
        <is>
          <t>Sim</t>
        </is>
      </c>
      <c r="I471" s="23" t="n">
        <v>50012.49</v>
      </c>
      <c r="J471" s="24">
        <f>(D471*Premissas!$B$24+(2*ROUNDUP(D471/2,0))*Premissas!$B$26+INT((2*ROUNDUP(D471/2,0))/4)*Premissas!$B$27+MOD((2*ROUNDUP(D471/2,0)),4)/2*Premissas!$B$28+2*IF(D471&lt;=19,3*D471,IF(D471&lt;=50,ROUNDUP(2.5*D471,0),2*D471))*Premissas!$B$29+IF(C471="Micro",G471*(Premissas!$B$31+Premissas!$B$32+4*Premissas!$B$30),G471*(INDEX(Premissas!$B$40:$B$71,MATCH(F471,Premissas!$A$40:$A$71,0))+INDEX(Premissas!$C$40:$C$71,MATCH(F471,Premissas!$A$40:$A$71,0))*Premissas!$B$30)))</f>
        <v/>
      </c>
      <c r="K471" s="24">
        <f>IF(J471&lt;Premissas!$B$36,MAX(Premissas!$B$33,J471*Premissas!$B$34),J471*Premissas!$B$35)</f>
        <v/>
      </c>
      <c r="L471" s="24">
        <f>ROUND(J471+K471,2)</f>
        <v/>
      </c>
      <c r="M471" s="24">
        <f>D471*Premissas!$B$8+Premissas!$B$9+Premissas!$B$10+Premissas!$B$11+Premissas!$B$12+ROUND(Premissas!$B$13*E471,2)</f>
        <v/>
      </c>
      <c r="N471" s="25">
        <f>ROUNDUP((L471+M471-Premissas!$B$5*L471)/(1-Premissas!$B$6-Premissas!$B$7-Premissas!$B$5-Premissas!$B$14),2)</f>
        <v/>
      </c>
      <c r="O471" s="24">
        <f>ROUND(IF(N471&lt;=30000,N471*(1+Premissas!$B$21),N471+Premissas!$B$21*30000*SQRT(N471/30000)),2)</f>
        <v/>
      </c>
      <c r="P471" s="24">
        <f>N471-I471</f>
        <v/>
      </c>
      <c r="Q471" s="26">
        <f>P471/I471</f>
        <v/>
      </c>
      <c r="R471" s="26">
        <f>(I471-L471-Premissas!$B$5*(I471-L471)-(Premissas!$B$6+Premissas!$B$7)*I471-M471)/I471</f>
        <v/>
      </c>
      <c r="S471" s="24">
        <f>ROUND((CEILING((L471*Premissas!$B$19/Premissas!$B$20-97)/100,1)*100+97)*Premissas!$B$20,2)</f>
        <v/>
      </c>
    </row>
    <row r="472">
      <c r="A472" s="17" t="inlineStr">
        <is>
          <t>KIT 31 MOD. 620W + MICROINVERSOR HOYMILES 2,25KW</t>
        </is>
      </c>
      <c r="B472" s="17" t="inlineStr">
        <is>
          <t>HOYMILES</t>
        </is>
      </c>
      <c r="C472" s="17" t="inlineStr">
        <is>
          <t>Micro</t>
        </is>
      </c>
      <c r="D472" s="21" t="n">
        <v>31</v>
      </c>
      <c r="E472" s="30" t="n">
        <v>19.22</v>
      </c>
      <c r="F472" s="20" t="inlineStr">
        <is>
          <t>Microinversor HOYMILES 2,25kW</t>
        </is>
      </c>
      <c r="G472" s="21" t="n">
        <v>8</v>
      </c>
      <c r="H472" s="17" t="inlineStr">
        <is>
          <t>Sim</t>
        </is>
      </c>
      <c r="I472" s="23" t="n">
        <v>51297.69</v>
      </c>
      <c r="J472" s="24">
        <f>(D472*Premissas!$B$24+(2*ROUNDUP(D472/2,0))*Premissas!$B$26+INT((2*ROUNDUP(D472/2,0))/4)*Premissas!$B$27+MOD((2*ROUNDUP(D472/2,0)),4)/2*Premissas!$B$28+2*IF(D472&lt;=19,3*D472,IF(D472&lt;=50,ROUNDUP(2.5*D472,0),2*D472))*Premissas!$B$29+IF(C472="Micro",G472*(Premissas!$B$31+Premissas!$B$32+4*Premissas!$B$30),G472*(INDEX(Premissas!$B$40:$B$71,MATCH(F472,Premissas!$A$40:$A$71,0))+INDEX(Premissas!$C$40:$C$71,MATCH(F472,Premissas!$A$40:$A$71,0))*Premissas!$B$30)))</f>
        <v/>
      </c>
      <c r="K472" s="24">
        <f>IF(J472&lt;Premissas!$B$36,MAX(Premissas!$B$33,J472*Premissas!$B$34),J472*Premissas!$B$35)</f>
        <v/>
      </c>
      <c r="L472" s="24">
        <f>ROUND(J472+K472,2)</f>
        <v/>
      </c>
      <c r="M472" s="24">
        <f>D472*Premissas!$B$8+Premissas!$B$9+Premissas!$B$10+Premissas!$B$11+Premissas!$B$12+ROUND(Premissas!$B$13*E472,2)</f>
        <v/>
      </c>
      <c r="N472" s="25">
        <f>ROUNDUP((L472+M472-Premissas!$B$5*L472)/(1-Premissas!$B$6-Premissas!$B$7-Premissas!$B$5-Premissas!$B$14),2)</f>
        <v/>
      </c>
      <c r="O472" s="24">
        <f>ROUND(IF(N472&lt;=30000,N472*(1+Premissas!$B$21),N472+Premissas!$B$21*30000*SQRT(N472/30000)),2)</f>
        <v/>
      </c>
      <c r="P472" s="24">
        <f>N472-I472</f>
        <v/>
      </c>
      <c r="Q472" s="26">
        <f>P472/I472</f>
        <v/>
      </c>
      <c r="R472" s="26">
        <f>(I472-L472-Premissas!$B$5*(I472-L472)-(Premissas!$B$6+Premissas!$B$7)*I472-M472)/I472</f>
        <v/>
      </c>
      <c r="S472" s="24">
        <f>ROUND((CEILING((L472*Premissas!$B$19/Premissas!$B$20-97)/100,1)*100+97)*Premissas!$B$20,2)</f>
        <v/>
      </c>
    </row>
    <row r="473">
      <c r="A473" s="17" t="inlineStr">
        <is>
          <t>KIT 32 MOD. 620W + MICROINVERSOR HOYMILES 2,25KW</t>
        </is>
      </c>
      <c r="B473" s="17" t="inlineStr">
        <is>
          <t>HOYMILES</t>
        </is>
      </c>
      <c r="C473" s="17" t="inlineStr">
        <is>
          <t>Micro</t>
        </is>
      </c>
      <c r="D473" s="21" t="n">
        <v>32</v>
      </c>
      <c r="E473" s="30" t="n">
        <v>19.84</v>
      </c>
      <c r="F473" s="20" t="inlineStr">
        <is>
          <t>Microinversor HOYMILES 2,25kW</t>
        </is>
      </c>
      <c r="G473" s="21" t="n">
        <v>8</v>
      </c>
      <c r="H473" s="17" t="inlineStr">
        <is>
          <t>Sim</t>
        </is>
      </c>
      <c r="I473" s="23" t="n">
        <v>52368.69</v>
      </c>
      <c r="J473" s="24">
        <f>(D473*Premissas!$B$24+(2*ROUNDUP(D473/2,0))*Premissas!$B$26+INT((2*ROUNDUP(D473/2,0))/4)*Premissas!$B$27+MOD((2*ROUNDUP(D473/2,0)),4)/2*Premissas!$B$28+2*IF(D473&lt;=19,3*D473,IF(D473&lt;=50,ROUNDUP(2.5*D473,0),2*D473))*Premissas!$B$29+IF(C473="Micro",G473*(Premissas!$B$31+Premissas!$B$32+4*Premissas!$B$30),G473*(INDEX(Premissas!$B$40:$B$71,MATCH(F473,Premissas!$A$40:$A$71,0))+INDEX(Premissas!$C$40:$C$71,MATCH(F473,Premissas!$A$40:$A$71,0))*Premissas!$B$30)))</f>
        <v/>
      </c>
      <c r="K473" s="24">
        <f>IF(J473&lt;Premissas!$B$36,MAX(Premissas!$B$33,J473*Premissas!$B$34),J473*Premissas!$B$35)</f>
        <v/>
      </c>
      <c r="L473" s="24">
        <f>ROUND(J473+K473,2)</f>
        <v/>
      </c>
      <c r="M473" s="24">
        <f>D473*Premissas!$B$8+Premissas!$B$9+Premissas!$B$10+Premissas!$B$11+Premissas!$B$12+ROUND(Premissas!$B$13*E473,2)</f>
        <v/>
      </c>
      <c r="N473" s="25">
        <f>ROUNDUP((L473+M473-Premissas!$B$5*L473)/(1-Premissas!$B$6-Premissas!$B$7-Premissas!$B$5-Premissas!$B$14),2)</f>
        <v/>
      </c>
      <c r="O473" s="24">
        <f>ROUND(IF(N473&lt;=30000,N473*(1+Premissas!$B$21),N473+Premissas!$B$21*30000*SQRT(N473/30000)),2)</f>
        <v/>
      </c>
      <c r="P473" s="24">
        <f>N473-I473</f>
        <v/>
      </c>
      <c r="Q473" s="26">
        <f>P473/I473</f>
        <v/>
      </c>
      <c r="R473" s="26">
        <f>(I473-L473-Premissas!$B$5*(I473-L473)-(Premissas!$B$6+Premissas!$B$7)*I473-M473)/I473</f>
        <v/>
      </c>
      <c r="S473" s="24">
        <f>ROUND((CEILING((L473*Premissas!$B$19/Premissas!$B$20-97)/100,1)*100+97)*Premissas!$B$20,2)</f>
        <v/>
      </c>
    </row>
    <row r="474">
      <c r="A474" s="17" t="inlineStr">
        <is>
          <t>KIT 33 MOD. 620W + MICROINVERSOR HOYMILES 2,25KW</t>
        </is>
      </c>
      <c r="B474" s="17" t="inlineStr">
        <is>
          <t>HOYMILES</t>
        </is>
      </c>
      <c r="C474" s="17" t="inlineStr">
        <is>
          <t>Micro</t>
        </is>
      </c>
      <c r="D474" s="21" t="n">
        <v>33</v>
      </c>
      <c r="E474" s="30" t="n">
        <v>20.46</v>
      </c>
      <c r="F474" s="20" t="inlineStr">
        <is>
          <t>Microinversor HOYMILES 2,25kW</t>
        </is>
      </c>
      <c r="G474" s="21" t="n">
        <v>9</v>
      </c>
      <c r="H474" s="17" t="inlineStr">
        <is>
          <t>Sim</t>
        </is>
      </c>
      <c r="I474" s="23" t="n">
        <v>55474.59</v>
      </c>
      <c r="J474" s="24">
        <f>(D474*Premissas!$B$24+(2*ROUNDUP(D474/2,0))*Premissas!$B$26+INT((2*ROUNDUP(D474/2,0))/4)*Premissas!$B$27+MOD((2*ROUNDUP(D474/2,0)),4)/2*Premissas!$B$28+2*IF(D474&lt;=19,3*D474,IF(D474&lt;=50,ROUNDUP(2.5*D474,0),2*D474))*Premissas!$B$29+IF(C474="Micro",G474*(Premissas!$B$31+Premissas!$B$32+4*Premissas!$B$30),G474*(INDEX(Premissas!$B$40:$B$71,MATCH(F474,Premissas!$A$40:$A$71,0))+INDEX(Premissas!$C$40:$C$71,MATCH(F474,Premissas!$A$40:$A$71,0))*Premissas!$B$30)))</f>
        <v/>
      </c>
      <c r="K474" s="24">
        <f>IF(J474&lt;Premissas!$B$36,MAX(Premissas!$B$33,J474*Premissas!$B$34),J474*Premissas!$B$35)</f>
        <v/>
      </c>
      <c r="L474" s="24">
        <f>ROUND(J474+K474,2)</f>
        <v/>
      </c>
      <c r="M474" s="24">
        <f>D474*Premissas!$B$8+Premissas!$B$9+Premissas!$B$10+Premissas!$B$11+Premissas!$B$12+ROUND(Premissas!$B$13*E474,2)</f>
        <v/>
      </c>
      <c r="N474" s="25">
        <f>ROUNDUP((L474+M474-Premissas!$B$5*L474)/(1-Premissas!$B$6-Premissas!$B$7-Premissas!$B$5-Premissas!$B$14),2)</f>
        <v/>
      </c>
      <c r="O474" s="24">
        <f>ROUND(IF(N474&lt;=30000,N474*(1+Premissas!$B$21),N474+Premissas!$B$21*30000*SQRT(N474/30000)),2)</f>
        <v/>
      </c>
      <c r="P474" s="24">
        <f>N474-I474</f>
        <v/>
      </c>
      <c r="Q474" s="26">
        <f>P474/I474</f>
        <v/>
      </c>
      <c r="R474" s="26">
        <f>(I474-L474-Premissas!$B$5*(I474-L474)-(Premissas!$B$6+Premissas!$B$7)*I474-M474)/I474</f>
        <v/>
      </c>
      <c r="S474" s="24">
        <f>ROUND((CEILING((L474*Premissas!$B$19/Premissas!$B$20-97)/100,1)*100+97)*Premissas!$B$20,2)</f>
        <v/>
      </c>
    </row>
    <row r="475">
      <c r="A475" s="17" t="inlineStr">
        <is>
          <t>KIT 34 MOD. 620W + MICROINVERSOR HOYMILES 2,25KW</t>
        </is>
      </c>
      <c r="B475" s="17" t="inlineStr">
        <is>
          <t>HOYMILES</t>
        </is>
      </c>
      <c r="C475" s="17" t="inlineStr">
        <is>
          <t>Micro</t>
        </is>
      </c>
      <c r="D475" s="21" t="n">
        <v>34</v>
      </c>
      <c r="E475" s="30" t="n">
        <v>21.08</v>
      </c>
      <c r="F475" s="20" t="inlineStr">
        <is>
          <t>Microinversor HOYMILES 2,25kW</t>
        </is>
      </c>
      <c r="G475" s="21" t="n">
        <v>9</v>
      </c>
      <c r="H475" s="17" t="inlineStr">
        <is>
          <t>Sim</t>
        </is>
      </c>
      <c r="I475" s="23" t="n">
        <v>56545.59</v>
      </c>
      <c r="J475" s="24">
        <f>(D475*Premissas!$B$24+(2*ROUNDUP(D475/2,0))*Premissas!$B$26+INT((2*ROUNDUP(D475/2,0))/4)*Premissas!$B$27+MOD((2*ROUNDUP(D475/2,0)),4)/2*Premissas!$B$28+2*IF(D475&lt;=19,3*D475,IF(D475&lt;=50,ROUNDUP(2.5*D475,0),2*D475))*Premissas!$B$29+IF(C475="Micro",G475*(Premissas!$B$31+Premissas!$B$32+4*Premissas!$B$30),G475*(INDEX(Premissas!$B$40:$B$71,MATCH(F475,Premissas!$A$40:$A$71,0))+INDEX(Premissas!$C$40:$C$71,MATCH(F475,Premissas!$A$40:$A$71,0))*Premissas!$B$30)))</f>
        <v/>
      </c>
      <c r="K475" s="24">
        <f>IF(J475&lt;Premissas!$B$36,MAX(Premissas!$B$33,J475*Premissas!$B$34),J475*Premissas!$B$35)</f>
        <v/>
      </c>
      <c r="L475" s="24">
        <f>ROUND(J475+K475,2)</f>
        <v/>
      </c>
      <c r="M475" s="24">
        <f>D475*Premissas!$B$8+Premissas!$B$9+Premissas!$B$10+Premissas!$B$11+Premissas!$B$12+ROUND(Premissas!$B$13*E475,2)</f>
        <v/>
      </c>
      <c r="N475" s="25">
        <f>ROUNDUP((L475+M475-Premissas!$B$5*L475)/(1-Premissas!$B$6-Premissas!$B$7-Premissas!$B$5-Premissas!$B$14),2)</f>
        <v/>
      </c>
      <c r="O475" s="24">
        <f>ROUND(IF(N475&lt;=30000,N475*(1+Premissas!$B$21),N475+Premissas!$B$21*30000*SQRT(N475/30000)),2)</f>
        <v/>
      </c>
      <c r="P475" s="24">
        <f>N475-I475</f>
        <v/>
      </c>
      <c r="Q475" s="26">
        <f>P475/I475</f>
        <v/>
      </c>
      <c r="R475" s="26">
        <f>(I475-L475-Premissas!$B$5*(I475-L475)-(Premissas!$B$6+Premissas!$B$7)*I475-M475)/I475</f>
        <v/>
      </c>
      <c r="S475" s="24">
        <f>ROUND((CEILING((L475*Premissas!$B$19/Premissas!$B$20-97)/100,1)*100+97)*Premissas!$B$20,2)</f>
        <v/>
      </c>
    </row>
    <row r="476">
      <c r="A476" s="17" t="inlineStr">
        <is>
          <t>KIT 35 MOD. 620W + MICROINVERSOR HOYMILES 2,25KW</t>
        </is>
      </c>
      <c r="B476" s="17" t="inlineStr">
        <is>
          <t>HOYMILES</t>
        </is>
      </c>
      <c r="C476" s="17" t="inlineStr">
        <is>
          <t>Micro</t>
        </is>
      </c>
      <c r="D476" s="21" t="n">
        <v>35</v>
      </c>
      <c r="E476" s="30" t="n">
        <v>21.7</v>
      </c>
      <c r="F476" s="20" t="inlineStr">
        <is>
          <t>Microinversor HOYMILES 2,25kW</t>
        </is>
      </c>
      <c r="G476" s="21" t="n">
        <v>9</v>
      </c>
      <c r="H476" s="17" t="inlineStr">
        <is>
          <t>Sim</t>
        </is>
      </c>
      <c r="I476" s="23" t="n">
        <v>57830.79</v>
      </c>
      <c r="J476" s="24">
        <f>(D476*Premissas!$B$24+(2*ROUNDUP(D476/2,0))*Premissas!$B$26+INT((2*ROUNDUP(D476/2,0))/4)*Premissas!$B$27+MOD((2*ROUNDUP(D476/2,0)),4)/2*Premissas!$B$28+2*IF(D476&lt;=19,3*D476,IF(D476&lt;=50,ROUNDUP(2.5*D476,0),2*D476))*Premissas!$B$29+IF(C476="Micro",G476*(Premissas!$B$31+Premissas!$B$32+4*Premissas!$B$30),G476*(INDEX(Premissas!$B$40:$B$71,MATCH(F476,Premissas!$A$40:$A$71,0))+INDEX(Premissas!$C$40:$C$71,MATCH(F476,Premissas!$A$40:$A$71,0))*Premissas!$B$30)))</f>
        <v/>
      </c>
      <c r="K476" s="24">
        <f>IF(J476&lt;Premissas!$B$36,MAX(Premissas!$B$33,J476*Premissas!$B$34),J476*Premissas!$B$35)</f>
        <v/>
      </c>
      <c r="L476" s="24">
        <f>ROUND(J476+K476,2)</f>
        <v/>
      </c>
      <c r="M476" s="24">
        <f>D476*Premissas!$B$8+Premissas!$B$9+Premissas!$B$10+Premissas!$B$11+Premissas!$B$12+ROUND(Premissas!$B$13*E476,2)</f>
        <v/>
      </c>
      <c r="N476" s="25">
        <f>ROUNDUP((L476+M476-Premissas!$B$5*L476)/(1-Premissas!$B$6-Premissas!$B$7-Premissas!$B$5-Premissas!$B$14),2)</f>
        <v/>
      </c>
      <c r="O476" s="24">
        <f>ROUND(IF(N476&lt;=30000,N476*(1+Premissas!$B$21),N476+Premissas!$B$21*30000*SQRT(N476/30000)),2)</f>
        <v/>
      </c>
      <c r="P476" s="24">
        <f>N476-I476</f>
        <v/>
      </c>
      <c r="Q476" s="26">
        <f>P476/I476</f>
        <v/>
      </c>
      <c r="R476" s="26">
        <f>(I476-L476-Premissas!$B$5*(I476-L476)-(Premissas!$B$6+Premissas!$B$7)*I476-M476)/I476</f>
        <v/>
      </c>
      <c r="S476" s="24">
        <f>ROUND((CEILING((L476*Premissas!$B$19/Premissas!$B$20-97)/100,1)*100+97)*Premissas!$B$20,2)</f>
        <v/>
      </c>
    </row>
    <row r="477">
      <c r="A477" s="17" t="inlineStr">
        <is>
          <t>KIT 36 MOD. 620W + MICROINVERSOR HOYMILES 2,25KW</t>
        </is>
      </c>
      <c r="B477" s="17" t="inlineStr">
        <is>
          <t>HOYMILES</t>
        </is>
      </c>
      <c r="C477" s="17" t="inlineStr">
        <is>
          <t>Micro</t>
        </is>
      </c>
      <c r="D477" s="21" t="n">
        <v>36</v>
      </c>
      <c r="E477" s="30" t="n">
        <v>22.32</v>
      </c>
      <c r="F477" s="20" t="inlineStr">
        <is>
          <t>Microinversor HOYMILES 2,25kW</t>
        </is>
      </c>
      <c r="G477" s="21" t="n">
        <v>9</v>
      </c>
      <c r="H477" s="17" t="inlineStr">
        <is>
          <t>Sim</t>
        </is>
      </c>
      <c r="I477" s="23" t="n">
        <v>58901.79</v>
      </c>
      <c r="J477" s="24">
        <f>(D477*Premissas!$B$24+(2*ROUNDUP(D477/2,0))*Premissas!$B$26+INT((2*ROUNDUP(D477/2,0))/4)*Premissas!$B$27+MOD((2*ROUNDUP(D477/2,0)),4)/2*Premissas!$B$28+2*IF(D477&lt;=19,3*D477,IF(D477&lt;=50,ROUNDUP(2.5*D477,0),2*D477))*Premissas!$B$29+IF(C477="Micro",G477*(Premissas!$B$31+Premissas!$B$32+4*Premissas!$B$30),G477*(INDEX(Premissas!$B$40:$B$71,MATCH(F477,Premissas!$A$40:$A$71,0))+INDEX(Premissas!$C$40:$C$71,MATCH(F477,Premissas!$A$40:$A$71,0))*Premissas!$B$30)))</f>
        <v/>
      </c>
      <c r="K477" s="24">
        <f>IF(J477&lt;Premissas!$B$36,MAX(Premissas!$B$33,J477*Premissas!$B$34),J477*Premissas!$B$35)</f>
        <v/>
      </c>
      <c r="L477" s="24">
        <f>ROUND(J477+K477,2)</f>
        <v/>
      </c>
      <c r="M477" s="24">
        <f>D477*Premissas!$B$8+Premissas!$B$9+Premissas!$B$10+Premissas!$B$11+Premissas!$B$12+ROUND(Premissas!$B$13*E477,2)</f>
        <v/>
      </c>
      <c r="N477" s="25">
        <f>ROUNDUP((L477+M477-Premissas!$B$5*L477)/(1-Premissas!$B$6-Premissas!$B$7-Premissas!$B$5-Premissas!$B$14),2)</f>
        <v/>
      </c>
      <c r="O477" s="24">
        <f>ROUND(IF(N477&lt;=30000,N477*(1+Premissas!$B$21),N477+Premissas!$B$21*30000*SQRT(N477/30000)),2)</f>
        <v/>
      </c>
      <c r="P477" s="24">
        <f>N477-I477</f>
        <v/>
      </c>
      <c r="Q477" s="26">
        <f>P477/I477</f>
        <v/>
      </c>
      <c r="R477" s="26">
        <f>(I477-L477-Premissas!$B$5*(I477-L477)-(Premissas!$B$6+Premissas!$B$7)*I477-M477)/I477</f>
        <v/>
      </c>
      <c r="S477" s="24">
        <f>ROUND((CEILING((L477*Premissas!$B$19/Premissas!$B$20-97)/100,1)*100+97)*Premissas!$B$20,2)</f>
        <v/>
      </c>
    </row>
    <row r="478">
      <c r="A478" s="17" t="inlineStr">
        <is>
          <t>KIT 37 MOD. 620W + MICROINVERSOR HOYMILES 2,25KW</t>
        </is>
      </c>
      <c r="B478" s="17" t="inlineStr">
        <is>
          <t>HOYMILES</t>
        </is>
      </c>
      <c r="C478" s="17" t="inlineStr">
        <is>
          <t>Micro</t>
        </is>
      </c>
      <c r="D478" s="21" t="n">
        <v>37</v>
      </c>
      <c r="E478" s="30" t="n">
        <v>22.94</v>
      </c>
      <c r="F478" s="20" t="inlineStr">
        <is>
          <t>Microinversor HOYMILES 2,25kW</t>
        </is>
      </c>
      <c r="G478" s="21" t="n">
        <v>10</v>
      </c>
      <c r="H478" s="17" t="inlineStr">
        <is>
          <t>Sim</t>
        </is>
      </c>
      <c r="I478" s="23" t="n">
        <v>62007.69</v>
      </c>
      <c r="J478" s="24">
        <f>(D478*Premissas!$B$24+(2*ROUNDUP(D478/2,0))*Premissas!$B$26+INT((2*ROUNDUP(D478/2,0))/4)*Premissas!$B$27+MOD((2*ROUNDUP(D478/2,0)),4)/2*Premissas!$B$28+2*IF(D478&lt;=19,3*D478,IF(D478&lt;=50,ROUNDUP(2.5*D478,0),2*D478))*Premissas!$B$29+IF(C478="Micro",G478*(Premissas!$B$31+Premissas!$B$32+4*Premissas!$B$30),G478*(INDEX(Premissas!$B$40:$B$71,MATCH(F478,Premissas!$A$40:$A$71,0))+INDEX(Premissas!$C$40:$C$71,MATCH(F478,Premissas!$A$40:$A$71,0))*Premissas!$B$30)))</f>
        <v/>
      </c>
      <c r="K478" s="24">
        <f>IF(J478&lt;Premissas!$B$36,MAX(Premissas!$B$33,J478*Premissas!$B$34),J478*Premissas!$B$35)</f>
        <v/>
      </c>
      <c r="L478" s="24">
        <f>ROUND(J478+K478,2)</f>
        <v/>
      </c>
      <c r="M478" s="24">
        <f>D478*Premissas!$B$8+Premissas!$B$9+Premissas!$B$10+Premissas!$B$11+Premissas!$B$12+ROUND(Premissas!$B$13*E478,2)</f>
        <v/>
      </c>
      <c r="N478" s="25">
        <f>ROUNDUP((L478+M478-Premissas!$B$5*L478)/(1-Premissas!$B$6-Premissas!$B$7-Premissas!$B$5-Premissas!$B$14),2)</f>
        <v/>
      </c>
      <c r="O478" s="24">
        <f>ROUND(IF(N478&lt;=30000,N478*(1+Premissas!$B$21),N478+Premissas!$B$21*30000*SQRT(N478/30000)),2)</f>
        <v/>
      </c>
      <c r="P478" s="24">
        <f>N478-I478</f>
        <v/>
      </c>
      <c r="Q478" s="26">
        <f>P478/I478</f>
        <v/>
      </c>
      <c r="R478" s="26">
        <f>(I478-L478-Premissas!$B$5*(I478-L478)-(Premissas!$B$6+Premissas!$B$7)*I478-M478)/I478</f>
        <v/>
      </c>
      <c r="S478" s="24">
        <f>ROUND((CEILING((L478*Premissas!$B$19/Premissas!$B$20-97)/100,1)*100+97)*Premissas!$B$20,2)</f>
        <v/>
      </c>
    </row>
    <row r="479">
      <c r="A479" s="17" t="inlineStr">
        <is>
          <t>KIT 38 MOD. 620W + MICROINVERSOR HOYMILES 2,25KW</t>
        </is>
      </c>
      <c r="B479" s="17" t="inlineStr">
        <is>
          <t>HOYMILES</t>
        </is>
      </c>
      <c r="C479" s="17" t="inlineStr">
        <is>
          <t>Micro</t>
        </is>
      </c>
      <c r="D479" s="21" t="n">
        <v>38</v>
      </c>
      <c r="E479" s="30" t="n">
        <v>23.56</v>
      </c>
      <c r="F479" s="20" t="inlineStr">
        <is>
          <t>Microinversor HOYMILES 2,25kW</t>
        </is>
      </c>
      <c r="G479" s="21" t="n">
        <v>10</v>
      </c>
      <c r="H479" s="17" t="inlineStr">
        <is>
          <t>Sim</t>
        </is>
      </c>
      <c r="I479" s="23" t="n">
        <v>63078.69</v>
      </c>
      <c r="J479" s="24">
        <f>(D479*Premissas!$B$24+(2*ROUNDUP(D479/2,0))*Premissas!$B$26+INT((2*ROUNDUP(D479/2,0))/4)*Premissas!$B$27+MOD((2*ROUNDUP(D479/2,0)),4)/2*Premissas!$B$28+2*IF(D479&lt;=19,3*D479,IF(D479&lt;=50,ROUNDUP(2.5*D479,0),2*D479))*Premissas!$B$29+IF(C479="Micro",G479*(Premissas!$B$31+Premissas!$B$32+4*Premissas!$B$30),G479*(INDEX(Premissas!$B$40:$B$71,MATCH(F479,Premissas!$A$40:$A$71,0))+INDEX(Premissas!$C$40:$C$71,MATCH(F479,Premissas!$A$40:$A$71,0))*Premissas!$B$30)))</f>
        <v/>
      </c>
      <c r="K479" s="24">
        <f>IF(J479&lt;Premissas!$B$36,MAX(Premissas!$B$33,J479*Premissas!$B$34),J479*Premissas!$B$35)</f>
        <v/>
      </c>
      <c r="L479" s="24">
        <f>ROUND(J479+K479,2)</f>
        <v/>
      </c>
      <c r="M479" s="24">
        <f>D479*Premissas!$B$8+Premissas!$B$9+Premissas!$B$10+Premissas!$B$11+Premissas!$B$12+ROUND(Premissas!$B$13*E479,2)</f>
        <v/>
      </c>
      <c r="N479" s="25">
        <f>ROUNDUP((L479+M479-Premissas!$B$5*L479)/(1-Premissas!$B$6-Premissas!$B$7-Premissas!$B$5-Premissas!$B$14),2)</f>
        <v/>
      </c>
      <c r="O479" s="24">
        <f>ROUND(IF(N479&lt;=30000,N479*(1+Premissas!$B$21),N479+Premissas!$B$21*30000*SQRT(N479/30000)),2)</f>
        <v/>
      </c>
      <c r="P479" s="24">
        <f>N479-I479</f>
        <v/>
      </c>
      <c r="Q479" s="26">
        <f>P479/I479</f>
        <v/>
      </c>
      <c r="R479" s="26">
        <f>(I479-L479-Premissas!$B$5*(I479-L479)-(Premissas!$B$6+Premissas!$B$7)*I479-M479)/I479</f>
        <v/>
      </c>
      <c r="S479" s="24">
        <f>ROUND((CEILING((L479*Premissas!$B$19/Premissas!$B$20-97)/100,1)*100+97)*Premissas!$B$20,2)</f>
        <v/>
      </c>
    </row>
    <row r="480">
      <c r="A480" s="17" t="inlineStr">
        <is>
          <t>KIT 39 MOD. 620W + MICROINVERSOR HOYMILES 2,25KW</t>
        </is>
      </c>
      <c r="B480" s="17" t="inlineStr">
        <is>
          <t>HOYMILES</t>
        </is>
      </c>
      <c r="C480" s="17" t="inlineStr">
        <is>
          <t>Micro</t>
        </is>
      </c>
      <c r="D480" s="21" t="n">
        <v>39</v>
      </c>
      <c r="E480" s="30" t="n">
        <v>24.18</v>
      </c>
      <c r="F480" s="20" t="inlineStr">
        <is>
          <t>Microinversor HOYMILES 2,25kW</t>
        </is>
      </c>
      <c r="G480" s="21" t="n">
        <v>10</v>
      </c>
      <c r="H480" s="17" t="inlineStr">
        <is>
          <t>Sim</t>
        </is>
      </c>
      <c r="I480" s="23" t="n">
        <v>64363.89</v>
      </c>
      <c r="J480" s="24">
        <f>(D480*Premissas!$B$24+(2*ROUNDUP(D480/2,0))*Premissas!$B$26+INT((2*ROUNDUP(D480/2,0))/4)*Premissas!$B$27+MOD((2*ROUNDUP(D480/2,0)),4)/2*Premissas!$B$28+2*IF(D480&lt;=19,3*D480,IF(D480&lt;=50,ROUNDUP(2.5*D480,0),2*D480))*Premissas!$B$29+IF(C480="Micro",G480*(Premissas!$B$31+Premissas!$B$32+4*Premissas!$B$30),G480*(INDEX(Premissas!$B$40:$B$71,MATCH(F480,Premissas!$A$40:$A$71,0))+INDEX(Premissas!$C$40:$C$71,MATCH(F480,Premissas!$A$40:$A$71,0))*Premissas!$B$30)))</f>
        <v/>
      </c>
      <c r="K480" s="24">
        <f>IF(J480&lt;Premissas!$B$36,MAX(Premissas!$B$33,J480*Premissas!$B$34),J480*Premissas!$B$35)</f>
        <v/>
      </c>
      <c r="L480" s="24">
        <f>ROUND(J480+K480,2)</f>
        <v/>
      </c>
      <c r="M480" s="24">
        <f>D480*Premissas!$B$8+Premissas!$B$9+Premissas!$B$10+Premissas!$B$11+Premissas!$B$12+ROUND(Premissas!$B$13*E480,2)</f>
        <v/>
      </c>
      <c r="N480" s="25">
        <f>ROUNDUP((L480+M480-Premissas!$B$5*L480)/(1-Premissas!$B$6-Premissas!$B$7-Premissas!$B$5-Premissas!$B$14),2)</f>
        <v/>
      </c>
      <c r="O480" s="24">
        <f>ROUND(IF(N480&lt;=30000,N480*(1+Premissas!$B$21),N480+Premissas!$B$21*30000*SQRT(N480/30000)),2)</f>
        <v/>
      </c>
      <c r="P480" s="24">
        <f>N480-I480</f>
        <v/>
      </c>
      <c r="Q480" s="26">
        <f>P480/I480</f>
        <v/>
      </c>
      <c r="R480" s="26">
        <f>(I480-L480-Premissas!$B$5*(I480-L480)-(Premissas!$B$6+Premissas!$B$7)*I480-M480)/I480</f>
        <v/>
      </c>
      <c r="S480" s="24">
        <f>ROUND((CEILING((L480*Premissas!$B$19/Premissas!$B$20-97)/100,1)*100+97)*Premissas!$B$20,2)</f>
        <v/>
      </c>
    </row>
    <row r="481">
      <c r="A481" s="17" t="inlineStr">
        <is>
          <t>KIT 40 MOD. 620W + MICROINVERSOR HOYMILES 2,25KW</t>
        </is>
      </c>
      <c r="B481" s="17" t="inlineStr">
        <is>
          <t>HOYMILES</t>
        </is>
      </c>
      <c r="C481" s="17" t="inlineStr">
        <is>
          <t>Micro</t>
        </is>
      </c>
      <c r="D481" s="21" t="n">
        <v>40</v>
      </c>
      <c r="E481" s="30" t="n">
        <v>24.8</v>
      </c>
      <c r="F481" s="20" t="inlineStr">
        <is>
          <t>Microinversor HOYMILES 2,25kW</t>
        </is>
      </c>
      <c r="G481" s="21" t="n">
        <v>10</v>
      </c>
      <c r="H481" s="17" t="inlineStr">
        <is>
          <t>Sim</t>
        </is>
      </c>
      <c r="I481" s="23" t="n">
        <v>65434.89</v>
      </c>
      <c r="J481" s="24">
        <f>(D481*Premissas!$B$24+(2*ROUNDUP(D481/2,0))*Premissas!$B$26+INT((2*ROUNDUP(D481/2,0))/4)*Premissas!$B$27+MOD((2*ROUNDUP(D481/2,0)),4)/2*Premissas!$B$28+2*IF(D481&lt;=19,3*D481,IF(D481&lt;=50,ROUNDUP(2.5*D481,0),2*D481))*Premissas!$B$29+IF(C481="Micro",G481*(Premissas!$B$31+Premissas!$B$32+4*Premissas!$B$30),G481*(INDEX(Premissas!$B$40:$B$71,MATCH(F481,Premissas!$A$40:$A$71,0))+INDEX(Premissas!$C$40:$C$71,MATCH(F481,Premissas!$A$40:$A$71,0))*Premissas!$B$30)))</f>
        <v/>
      </c>
      <c r="K481" s="24">
        <f>IF(J481&lt;Premissas!$B$36,MAX(Premissas!$B$33,J481*Premissas!$B$34),J481*Premissas!$B$35)</f>
        <v/>
      </c>
      <c r="L481" s="24">
        <f>ROUND(J481+K481,2)</f>
        <v/>
      </c>
      <c r="M481" s="24">
        <f>D481*Premissas!$B$8+Premissas!$B$9+Premissas!$B$10+Premissas!$B$11+Premissas!$B$12+ROUND(Premissas!$B$13*E481,2)</f>
        <v/>
      </c>
      <c r="N481" s="25">
        <f>ROUNDUP((L481+M481-Premissas!$B$5*L481)/(1-Premissas!$B$6-Premissas!$B$7-Premissas!$B$5-Premissas!$B$14),2)</f>
        <v/>
      </c>
      <c r="O481" s="24">
        <f>ROUND(IF(N481&lt;=30000,N481*(1+Premissas!$B$21),N481+Premissas!$B$21*30000*SQRT(N481/30000)),2)</f>
        <v/>
      </c>
      <c r="P481" s="24">
        <f>N481-I481</f>
        <v/>
      </c>
      <c r="Q481" s="26">
        <f>P481/I481</f>
        <v/>
      </c>
      <c r="R481" s="26">
        <f>(I481-L481-Premissas!$B$5*(I481-L481)-(Premissas!$B$6+Premissas!$B$7)*I481-M481)/I481</f>
        <v/>
      </c>
      <c r="S481" s="24">
        <f>ROUND((CEILING((L481*Premissas!$B$19/Premissas!$B$20-97)/100,1)*100+97)*Premissas!$B$20,2)</f>
        <v/>
      </c>
    </row>
    <row r="482">
      <c r="A482" s="17" t="inlineStr">
        <is>
          <t>KIT 41 MOD. 620W + MICROINVERSOR HOYMILES 2,25KW</t>
        </is>
      </c>
      <c r="B482" s="17" t="inlineStr">
        <is>
          <t>HOYMILES</t>
        </is>
      </c>
      <c r="C482" s="17" t="inlineStr">
        <is>
          <t>Micro</t>
        </is>
      </c>
      <c r="D482" s="21" t="n">
        <v>41</v>
      </c>
      <c r="E482" s="30" t="n">
        <v>25.42</v>
      </c>
      <c r="F482" s="20" t="inlineStr">
        <is>
          <t>Microinversor HOYMILES 2,25kW</t>
        </is>
      </c>
      <c r="G482" s="21" t="n">
        <v>11</v>
      </c>
      <c r="H482" s="17" t="inlineStr">
        <is>
          <t>Sim</t>
        </is>
      </c>
      <c r="I482" s="23" t="n">
        <v>68540.78999999999</v>
      </c>
      <c r="J482" s="24">
        <f>(D482*Premissas!$B$24+(2*ROUNDUP(D482/2,0))*Premissas!$B$26+INT((2*ROUNDUP(D482/2,0))/4)*Premissas!$B$27+MOD((2*ROUNDUP(D482/2,0)),4)/2*Premissas!$B$28+2*IF(D482&lt;=19,3*D482,IF(D482&lt;=50,ROUNDUP(2.5*D482,0),2*D482))*Premissas!$B$29+IF(C482="Micro",G482*(Premissas!$B$31+Premissas!$B$32+4*Premissas!$B$30),G482*(INDEX(Premissas!$B$40:$B$71,MATCH(F482,Premissas!$A$40:$A$71,0))+INDEX(Premissas!$C$40:$C$71,MATCH(F482,Premissas!$A$40:$A$71,0))*Premissas!$B$30)))</f>
        <v/>
      </c>
      <c r="K482" s="24">
        <f>IF(J482&lt;Premissas!$B$36,MAX(Premissas!$B$33,J482*Premissas!$B$34),J482*Premissas!$B$35)</f>
        <v/>
      </c>
      <c r="L482" s="24">
        <f>ROUND(J482+K482,2)</f>
        <v/>
      </c>
      <c r="M482" s="24">
        <f>D482*Premissas!$B$8+Premissas!$B$9+Premissas!$B$10+Premissas!$B$11+Premissas!$B$12+ROUND(Premissas!$B$13*E482,2)</f>
        <v/>
      </c>
      <c r="N482" s="25">
        <f>ROUNDUP((L482+M482-Premissas!$B$5*L482)/(1-Premissas!$B$6-Premissas!$B$7-Premissas!$B$5-Premissas!$B$14),2)</f>
        <v/>
      </c>
      <c r="O482" s="24">
        <f>ROUND(IF(N482&lt;=30000,N482*(1+Premissas!$B$21),N482+Premissas!$B$21*30000*SQRT(N482/30000)),2)</f>
        <v/>
      </c>
      <c r="P482" s="24">
        <f>N482-I482</f>
        <v/>
      </c>
      <c r="Q482" s="26">
        <f>P482/I482</f>
        <v/>
      </c>
      <c r="R482" s="26">
        <f>(I482-L482-Premissas!$B$5*(I482-L482)-(Premissas!$B$6+Premissas!$B$7)*I482-M482)/I482</f>
        <v/>
      </c>
      <c r="S482" s="24">
        <f>ROUND((CEILING((L482*Premissas!$B$19/Premissas!$B$20-97)/100,1)*100+97)*Premissas!$B$20,2)</f>
        <v/>
      </c>
    </row>
    <row r="483">
      <c r="A483" s="17" t="inlineStr">
        <is>
          <t>KIT 42 MOD. 620W + MICROINVERSOR HOYMILES 2,25KW</t>
        </is>
      </c>
      <c r="B483" s="17" t="inlineStr">
        <is>
          <t>HOYMILES</t>
        </is>
      </c>
      <c r="C483" s="17" t="inlineStr">
        <is>
          <t>Micro</t>
        </is>
      </c>
      <c r="D483" s="21" t="n">
        <v>42</v>
      </c>
      <c r="E483" s="30" t="n">
        <v>26.04</v>
      </c>
      <c r="F483" s="20" t="inlineStr">
        <is>
          <t>Microinversor HOYMILES 2,25kW</t>
        </is>
      </c>
      <c r="G483" s="21" t="n">
        <v>11</v>
      </c>
      <c r="H483" s="17" t="inlineStr">
        <is>
          <t>Sim</t>
        </is>
      </c>
      <c r="I483" s="23" t="n">
        <v>69611.78999999999</v>
      </c>
      <c r="J483" s="24">
        <f>(D483*Premissas!$B$24+(2*ROUNDUP(D483/2,0))*Premissas!$B$26+INT((2*ROUNDUP(D483/2,0))/4)*Premissas!$B$27+MOD((2*ROUNDUP(D483/2,0)),4)/2*Premissas!$B$28+2*IF(D483&lt;=19,3*D483,IF(D483&lt;=50,ROUNDUP(2.5*D483,0),2*D483))*Premissas!$B$29+IF(C483="Micro",G483*(Premissas!$B$31+Premissas!$B$32+4*Premissas!$B$30),G483*(INDEX(Premissas!$B$40:$B$71,MATCH(F483,Premissas!$A$40:$A$71,0))+INDEX(Premissas!$C$40:$C$71,MATCH(F483,Premissas!$A$40:$A$71,0))*Premissas!$B$30)))</f>
        <v/>
      </c>
      <c r="K483" s="24">
        <f>IF(J483&lt;Premissas!$B$36,MAX(Premissas!$B$33,J483*Premissas!$B$34),J483*Premissas!$B$35)</f>
        <v/>
      </c>
      <c r="L483" s="24">
        <f>ROUND(J483+K483,2)</f>
        <v/>
      </c>
      <c r="M483" s="24">
        <f>D483*Premissas!$B$8+Premissas!$B$9+Premissas!$B$10+Premissas!$B$11+Premissas!$B$12+ROUND(Premissas!$B$13*E483,2)</f>
        <v/>
      </c>
      <c r="N483" s="25">
        <f>ROUNDUP((L483+M483-Premissas!$B$5*L483)/(1-Premissas!$B$6-Premissas!$B$7-Premissas!$B$5-Premissas!$B$14),2)</f>
        <v/>
      </c>
      <c r="O483" s="24">
        <f>ROUND(IF(N483&lt;=30000,N483*(1+Premissas!$B$21),N483+Premissas!$B$21*30000*SQRT(N483/30000)),2)</f>
        <v/>
      </c>
      <c r="P483" s="24">
        <f>N483-I483</f>
        <v/>
      </c>
      <c r="Q483" s="26">
        <f>P483/I483</f>
        <v/>
      </c>
      <c r="R483" s="26">
        <f>(I483-L483-Premissas!$B$5*(I483-L483)-(Premissas!$B$6+Premissas!$B$7)*I483-M483)/I483</f>
        <v/>
      </c>
      <c r="S483" s="24">
        <f>ROUND((CEILING((L483*Premissas!$B$19/Premissas!$B$20-97)/100,1)*100+97)*Premissas!$B$20,2)</f>
        <v/>
      </c>
    </row>
    <row r="484">
      <c r="A484" s="17" t="inlineStr">
        <is>
          <t>KIT 43 MOD. 620W + MICROINVERSOR HOYMILES 2,25KW</t>
        </is>
      </c>
      <c r="B484" s="17" t="inlineStr">
        <is>
          <t>HOYMILES</t>
        </is>
      </c>
      <c r="C484" s="17" t="inlineStr">
        <is>
          <t>Micro</t>
        </is>
      </c>
      <c r="D484" s="21" t="n">
        <v>43</v>
      </c>
      <c r="E484" s="30" t="n">
        <v>26.66</v>
      </c>
      <c r="F484" s="20" t="inlineStr">
        <is>
          <t>Microinversor HOYMILES 2,25kW</t>
        </is>
      </c>
      <c r="G484" s="21" t="n">
        <v>11</v>
      </c>
      <c r="H484" s="17" t="inlineStr">
        <is>
          <t>Sim</t>
        </is>
      </c>
      <c r="I484" s="23" t="n">
        <v>70896.99000000001</v>
      </c>
      <c r="J484" s="24">
        <f>(D484*Premissas!$B$24+(2*ROUNDUP(D484/2,0))*Premissas!$B$26+INT((2*ROUNDUP(D484/2,0))/4)*Premissas!$B$27+MOD((2*ROUNDUP(D484/2,0)),4)/2*Premissas!$B$28+2*IF(D484&lt;=19,3*D484,IF(D484&lt;=50,ROUNDUP(2.5*D484,0),2*D484))*Premissas!$B$29+IF(C484="Micro",G484*(Premissas!$B$31+Premissas!$B$32+4*Premissas!$B$30),G484*(INDEX(Premissas!$B$40:$B$71,MATCH(F484,Premissas!$A$40:$A$71,0))+INDEX(Premissas!$C$40:$C$71,MATCH(F484,Premissas!$A$40:$A$71,0))*Premissas!$B$30)))</f>
        <v/>
      </c>
      <c r="K484" s="24">
        <f>IF(J484&lt;Premissas!$B$36,MAX(Premissas!$B$33,J484*Premissas!$B$34),J484*Premissas!$B$35)</f>
        <v/>
      </c>
      <c r="L484" s="24">
        <f>ROUND(J484+K484,2)</f>
        <v/>
      </c>
      <c r="M484" s="24">
        <f>D484*Premissas!$B$8+Premissas!$B$9+Premissas!$B$10+Premissas!$B$11+Premissas!$B$12+ROUND(Premissas!$B$13*E484,2)</f>
        <v/>
      </c>
      <c r="N484" s="25">
        <f>ROUNDUP((L484+M484-Premissas!$B$5*L484)/(1-Premissas!$B$6-Premissas!$B$7-Premissas!$B$5-Premissas!$B$14),2)</f>
        <v/>
      </c>
      <c r="O484" s="24">
        <f>ROUND(IF(N484&lt;=30000,N484*(1+Premissas!$B$21),N484+Premissas!$B$21*30000*SQRT(N484/30000)),2)</f>
        <v/>
      </c>
      <c r="P484" s="24">
        <f>N484-I484</f>
        <v/>
      </c>
      <c r="Q484" s="26">
        <f>P484/I484</f>
        <v/>
      </c>
      <c r="R484" s="26">
        <f>(I484-L484-Premissas!$B$5*(I484-L484)-(Premissas!$B$6+Premissas!$B$7)*I484-M484)/I484</f>
        <v/>
      </c>
      <c r="S484" s="24">
        <f>ROUND((CEILING((L484*Premissas!$B$19/Premissas!$B$20-97)/100,1)*100+97)*Premissas!$B$20,2)</f>
        <v/>
      </c>
    </row>
    <row r="485">
      <c r="A485" s="17" t="inlineStr">
        <is>
          <t>KIT 44 MOD. 620W + MICROINVERSOR HOYMILES 2,25KW</t>
        </is>
      </c>
      <c r="B485" s="17" t="inlineStr">
        <is>
          <t>HOYMILES</t>
        </is>
      </c>
      <c r="C485" s="17" t="inlineStr">
        <is>
          <t>Micro</t>
        </is>
      </c>
      <c r="D485" s="21" t="n">
        <v>44</v>
      </c>
      <c r="E485" s="30" t="n">
        <v>27.28</v>
      </c>
      <c r="F485" s="20" t="inlineStr">
        <is>
          <t>Microinversor HOYMILES 2,25kW</t>
        </is>
      </c>
      <c r="G485" s="21" t="n">
        <v>11</v>
      </c>
      <c r="H485" s="17" t="inlineStr">
        <is>
          <t>Sim</t>
        </is>
      </c>
      <c r="I485" s="23" t="n">
        <v>71967.99000000001</v>
      </c>
      <c r="J485" s="24">
        <f>(D485*Premissas!$B$24+(2*ROUNDUP(D485/2,0))*Premissas!$B$26+INT((2*ROUNDUP(D485/2,0))/4)*Premissas!$B$27+MOD((2*ROUNDUP(D485/2,0)),4)/2*Premissas!$B$28+2*IF(D485&lt;=19,3*D485,IF(D485&lt;=50,ROUNDUP(2.5*D485,0),2*D485))*Premissas!$B$29+IF(C485="Micro",G485*(Premissas!$B$31+Premissas!$B$32+4*Premissas!$B$30),G485*(INDEX(Premissas!$B$40:$B$71,MATCH(F485,Premissas!$A$40:$A$71,0))+INDEX(Premissas!$C$40:$C$71,MATCH(F485,Premissas!$A$40:$A$71,0))*Premissas!$B$30)))</f>
        <v/>
      </c>
      <c r="K485" s="24">
        <f>IF(J485&lt;Premissas!$B$36,MAX(Premissas!$B$33,J485*Premissas!$B$34),J485*Premissas!$B$35)</f>
        <v/>
      </c>
      <c r="L485" s="24">
        <f>ROUND(J485+K485,2)</f>
        <v/>
      </c>
      <c r="M485" s="24">
        <f>D485*Premissas!$B$8+Premissas!$B$9+Premissas!$B$10+Premissas!$B$11+Premissas!$B$12+ROUND(Premissas!$B$13*E485,2)</f>
        <v/>
      </c>
      <c r="N485" s="25">
        <f>ROUNDUP((L485+M485-Premissas!$B$5*L485)/(1-Premissas!$B$6-Premissas!$B$7-Premissas!$B$5-Premissas!$B$14),2)</f>
        <v/>
      </c>
      <c r="O485" s="24">
        <f>ROUND(IF(N485&lt;=30000,N485*(1+Premissas!$B$21),N485+Premissas!$B$21*30000*SQRT(N485/30000)),2)</f>
        <v/>
      </c>
      <c r="P485" s="24">
        <f>N485-I485</f>
        <v/>
      </c>
      <c r="Q485" s="26">
        <f>P485/I485</f>
        <v/>
      </c>
      <c r="R485" s="26">
        <f>(I485-L485-Premissas!$B$5*(I485-L485)-(Premissas!$B$6+Premissas!$B$7)*I485-M485)/I485</f>
        <v/>
      </c>
      <c r="S485" s="24">
        <f>ROUND((CEILING((L485*Premissas!$B$19/Premissas!$B$20-97)/100,1)*100+97)*Premissas!$B$20,2)</f>
        <v/>
      </c>
    </row>
    <row r="486">
      <c r="A486" s="17" t="inlineStr">
        <is>
          <t>KIT 45 MOD. 620W + MICROINVERSOR HOYMILES 2,25KW</t>
        </is>
      </c>
      <c r="B486" s="17" t="inlineStr">
        <is>
          <t>HOYMILES</t>
        </is>
      </c>
      <c r="C486" s="17" t="inlineStr">
        <is>
          <t>Micro</t>
        </is>
      </c>
      <c r="D486" s="21" t="n">
        <v>45</v>
      </c>
      <c r="E486" s="30" t="n">
        <v>27.9</v>
      </c>
      <c r="F486" s="20" t="inlineStr">
        <is>
          <t>Microinversor HOYMILES 2,25kW</t>
        </is>
      </c>
      <c r="G486" s="21" t="n">
        <v>12</v>
      </c>
      <c r="H486" s="17" t="inlineStr">
        <is>
          <t>Sim</t>
        </is>
      </c>
      <c r="I486" s="23" t="n">
        <v>75180.99000000001</v>
      </c>
      <c r="J486" s="24">
        <f>(D486*Premissas!$B$24+(2*ROUNDUP(D486/2,0))*Premissas!$B$26+INT((2*ROUNDUP(D486/2,0))/4)*Premissas!$B$27+MOD((2*ROUNDUP(D486/2,0)),4)/2*Premissas!$B$28+2*IF(D486&lt;=19,3*D486,IF(D486&lt;=50,ROUNDUP(2.5*D486,0),2*D486))*Premissas!$B$29+IF(C486="Micro",G486*(Premissas!$B$31+Premissas!$B$32+4*Premissas!$B$30),G486*(INDEX(Premissas!$B$40:$B$71,MATCH(F486,Premissas!$A$40:$A$71,0))+INDEX(Premissas!$C$40:$C$71,MATCH(F486,Premissas!$A$40:$A$71,0))*Premissas!$B$30)))</f>
        <v/>
      </c>
      <c r="K486" s="24">
        <f>IF(J486&lt;Premissas!$B$36,MAX(Premissas!$B$33,J486*Premissas!$B$34),J486*Premissas!$B$35)</f>
        <v/>
      </c>
      <c r="L486" s="24">
        <f>ROUND(J486+K486,2)</f>
        <v/>
      </c>
      <c r="M486" s="24">
        <f>D486*Premissas!$B$8+Premissas!$B$9+Premissas!$B$10+Premissas!$B$11+Premissas!$B$12+ROUND(Premissas!$B$13*E486,2)</f>
        <v/>
      </c>
      <c r="N486" s="25">
        <f>ROUNDUP((L486+M486-Premissas!$B$5*L486)/(1-Premissas!$B$6-Premissas!$B$7-Premissas!$B$5-Premissas!$B$14),2)</f>
        <v/>
      </c>
      <c r="O486" s="24">
        <f>ROUND(IF(N486&lt;=30000,N486*(1+Premissas!$B$21),N486+Premissas!$B$21*30000*SQRT(N486/30000)),2)</f>
        <v/>
      </c>
      <c r="P486" s="24">
        <f>N486-I486</f>
        <v/>
      </c>
      <c r="Q486" s="26">
        <f>P486/I486</f>
        <v/>
      </c>
      <c r="R486" s="26">
        <f>(I486-L486-Premissas!$B$5*(I486-L486)-(Premissas!$B$6+Premissas!$B$7)*I486-M486)/I486</f>
        <v/>
      </c>
      <c r="S486" s="24">
        <f>ROUND((CEILING((L486*Premissas!$B$19/Premissas!$B$20-97)/100,1)*100+97)*Premissas!$B$20,2)</f>
        <v/>
      </c>
    </row>
    <row r="487">
      <c r="A487" s="17" t="inlineStr">
        <is>
          <t>KIT 46 MOD. 620W + MICROINVERSOR HOYMILES 2,25KW</t>
        </is>
      </c>
      <c r="B487" s="17" t="inlineStr">
        <is>
          <t>HOYMILES</t>
        </is>
      </c>
      <c r="C487" s="17" t="inlineStr">
        <is>
          <t>Micro</t>
        </is>
      </c>
      <c r="D487" s="21" t="n">
        <v>46</v>
      </c>
      <c r="E487" s="30" t="n">
        <v>28.52</v>
      </c>
      <c r="F487" s="20" t="inlineStr">
        <is>
          <t>Microinversor HOYMILES 2,25kW</t>
        </is>
      </c>
      <c r="G487" s="21" t="n">
        <v>12</v>
      </c>
      <c r="H487" s="17" t="inlineStr">
        <is>
          <t>Sim</t>
        </is>
      </c>
      <c r="I487" s="23" t="n">
        <v>76144.89</v>
      </c>
      <c r="J487" s="24">
        <f>(D487*Premissas!$B$24+(2*ROUNDUP(D487/2,0))*Premissas!$B$26+INT((2*ROUNDUP(D487/2,0))/4)*Premissas!$B$27+MOD((2*ROUNDUP(D487/2,0)),4)/2*Premissas!$B$28+2*IF(D487&lt;=19,3*D487,IF(D487&lt;=50,ROUNDUP(2.5*D487,0),2*D487))*Premissas!$B$29+IF(C487="Micro",G487*(Premissas!$B$31+Premissas!$B$32+4*Premissas!$B$30),G487*(INDEX(Premissas!$B$40:$B$71,MATCH(F487,Premissas!$A$40:$A$71,0))+INDEX(Premissas!$C$40:$C$71,MATCH(F487,Premissas!$A$40:$A$71,0))*Premissas!$B$30)))</f>
        <v/>
      </c>
      <c r="K487" s="24">
        <f>IF(J487&lt;Premissas!$B$36,MAX(Premissas!$B$33,J487*Premissas!$B$34),J487*Premissas!$B$35)</f>
        <v/>
      </c>
      <c r="L487" s="24">
        <f>ROUND(J487+K487,2)</f>
        <v/>
      </c>
      <c r="M487" s="24">
        <f>D487*Premissas!$B$8+Premissas!$B$9+Premissas!$B$10+Premissas!$B$11+Premissas!$B$12+ROUND(Premissas!$B$13*E487,2)</f>
        <v/>
      </c>
      <c r="N487" s="25">
        <f>ROUNDUP((L487+M487-Premissas!$B$5*L487)/(1-Premissas!$B$6-Premissas!$B$7-Premissas!$B$5-Premissas!$B$14),2)</f>
        <v/>
      </c>
      <c r="O487" s="24">
        <f>ROUND(IF(N487&lt;=30000,N487*(1+Premissas!$B$21),N487+Premissas!$B$21*30000*SQRT(N487/30000)),2)</f>
        <v/>
      </c>
      <c r="P487" s="24">
        <f>N487-I487</f>
        <v/>
      </c>
      <c r="Q487" s="26">
        <f>P487/I487</f>
        <v/>
      </c>
      <c r="R487" s="26">
        <f>(I487-L487-Premissas!$B$5*(I487-L487)-(Premissas!$B$6+Premissas!$B$7)*I487-M487)/I487</f>
        <v/>
      </c>
      <c r="S487" s="24">
        <f>ROUND((CEILING((L487*Premissas!$B$19/Premissas!$B$20-97)/100,1)*100+97)*Premissas!$B$20,2)</f>
        <v/>
      </c>
    </row>
    <row r="488">
      <c r="A488" s="17" t="inlineStr">
        <is>
          <t>KIT 47 MOD. 620W + MICROINVERSOR HOYMILES 2,25KW</t>
        </is>
      </c>
      <c r="B488" s="17" t="inlineStr">
        <is>
          <t>HOYMILES</t>
        </is>
      </c>
      <c r="C488" s="17" t="inlineStr">
        <is>
          <t>Micro</t>
        </is>
      </c>
      <c r="D488" s="21" t="n">
        <v>47</v>
      </c>
      <c r="E488" s="30" t="n">
        <v>29.14</v>
      </c>
      <c r="F488" s="20" t="inlineStr">
        <is>
          <t>Microinversor HOYMILES 2,25kW</t>
        </is>
      </c>
      <c r="G488" s="21" t="n">
        <v>12</v>
      </c>
      <c r="H488" s="17" t="inlineStr">
        <is>
          <t>Sim</t>
        </is>
      </c>
      <c r="I488" s="23" t="n">
        <v>77537.19</v>
      </c>
      <c r="J488" s="24">
        <f>(D488*Premissas!$B$24+(2*ROUNDUP(D488/2,0))*Premissas!$B$26+INT((2*ROUNDUP(D488/2,0))/4)*Premissas!$B$27+MOD((2*ROUNDUP(D488/2,0)),4)/2*Premissas!$B$28+2*IF(D488&lt;=19,3*D488,IF(D488&lt;=50,ROUNDUP(2.5*D488,0),2*D488))*Premissas!$B$29+IF(C488="Micro",G488*(Premissas!$B$31+Premissas!$B$32+4*Premissas!$B$30),G488*(INDEX(Premissas!$B$40:$B$71,MATCH(F488,Premissas!$A$40:$A$71,0))+INDEX(Premissas!$C$40:$C$71,MATCH(F488,Premissas!$A$40:$A$71,0))*Premissas!$B$30)))</f>
        <v/>
      </c>
      <c r="K488" s="24">
        <f>IF(J488&lt;Premissas!$B$36,MAX(Premissas!$B$33,J488*Premissas!$B$34),J488*Premissas!$B$35)</f>
        <v/>
      </c>
      <c r="L488" s="24">
        <f>ROUND(J488+K488,2)</f>
        <v/>
      </c>
      <c r="M488" s="24">
        <f>D488*Premissas!$B$8+Premissas!$B$9+Premissas!$B$10+Premissas!$B$11+Premissas!$B$12+ROUND(Premissas!$B$13*E488,2)</f>
        <v/>
      </c>
      <c r="N488" s="25">
        <f>ROUNDUP((L488+M488-Premissas!$B$5*L488)/(1-Premissas!$B$6-Premissas!$B$7-Premissas!$B$5-Premissas!$B$14),2)</f>
        <v/>
      </c>
      <c r="O488" s="24">
        <f>ROUND(IF(N488&lt;=30000,N488*(1+Premissas!$B$21),N488+Premissas!$B$21*30000*SQRT(N488/30000)),2)</f>
        <v/>
      </c>
      <c r="P488" s="24">
        <f>N488-I488</f>
        <v/>
      </c>
      <c r="Q488" s="26">
        <f>P488/I488</f>
        <v/>
      </c>
      <c r="R488" s="26">
        <f>(I488-L488-Premissas!$B$5*(I488-L488)-(Premissas!$B$6+Premissas!$B$7)*I488-M488)/I488</f>
        <v/>
      </c>
      <c r="S488" s="24">
        <f>ROUND((CEILING((L488*Premissas!$B$19/Premissas!$B$20-97)/100,1)*100+97)*Premissas!$B$20,2)</f>
        <v/>
      </c>
    </row>
    <row r="489">
      <c r="A489" s="17" t="inlineStr">
        <is>
          <t>KIT 48 MOD. 620W + MICROINVERSOR HOYMILES 2,25KW</t>
        </is>
      </c>
      <c r="B489" s="17" t="inlineStr">
        <is>
          <t>HOYMILES</t>
        </is>
      </c>
      <c r="C489" s="17" t="inlineStr">
        <is>
          <t>Micro</t>
        </is>
      </c>
      <c r="D489" s="21" t="n">
        <v>48</v>
      </c>
      <c r="E489" s="30" t="n">
        <v>29.76</v>
      </c>
      <c r="F489" s="20" t="inlineStr">
        <is>
          <t>Microinversor HOYMILES 2,25kW</t>
        </is>
      </c>
      <c r="G489" s="21" t="n">
        <v>12</v>
      </c>
      <c r="H489" s="17" t="inlineStr">
        <is>
          <t>Sim</t>
        </is>
      </c>
      <c r="I489" s="23" t="n">
        <v>78501.09</v>
      </c>
      <c r="J489" s="24">
        <f>(D489*Premissas!$B$24+(2*ROUNDUP(D489/2,0))*Premissas!$B$26+INT((2*ROUNDUP(D489/2,0))/4)*Premissas!$B$27+MOD((2*ROUNDUP(D489/2,0)),4)/2*Premissas!$B$28+2*IF(D489&lt;=19,3*D489,IF(D489&lt;=50,ROUNDUP(2.5*D489,0),2*D489))*Premissas!$B$29+IF(C489="Micro",G489*(Premissas!$B$31+Premissas!$B$32+4*Premissas!$B$30),G489*(INDEX(Premissas!$B$40:$B$71,MATCH(F489,Premissas!$A$40:$A$71,0))+INDEX(Premissas!$C$40:$C$71,MATCH(F489,Premissas!$A$40:$A$71,0))*Premissas!$B$30)))</f>
        <v/>
      </c>
      <c r="K489" s="24">
        <f>IF(J489&lt;Premissas!$B$36,MAX(Premissas!$B$33,J489*Premissas!$B$34),J489*Premissas!$B$35)</f>
        <v/>
      </c>
      <c r="L489" s="24">
        <f>ROUND(J489+K489,2)</f>
        <v/>
      </c>
      <c r="M489" s="24">
        <f>D489*Premissas!$B$8+Premissas!$B$9+Premissas!$B$10+Premissas!$B$11+Premissas!$B$12+ROUND(Premissas!$B$13*E489,2)</f>
        <v/>
      </c>
      <c r="N489" s="25">
        <f>ROUNDUP((L489+M489-Premissas!$B$5*L489)/(1-Premissas!$B$6-Premissas!$B$7-Premissas!$B$5-Premissas!$B$14),2)</f>
        <v/>
      </c>
      <c r="O489" s="24">
        <f>ROUND(IF(N489&lt;=30000,N489*(1+Premissas!$B$21),N489+Premissas!$B$21*30000*SQRT(N489/30000)),2)</f>
        <v/>
      </c>
      <c r="P489" s="24">
        <f>N489-I489</f>
        <v/>
      </c>
      <c r="Q489" s="26">
        <f>P489/I489</f>
        <v/>
      </c>
      <c r="R489" s="26">
        <f>(I489-L489-Premissas!$B$5*(I489-L489)-(Premissas!$B$6+Premissas!$B$7)*I489-M489)/I489</f>
        <v/>
      </c>
      <c r="S489" s="24">
        <f>ROUND((CEILING((L489*Premissas!$B$19/Premissas!$B$20-97)/100,1)*100+97)*Premissas!$B$20,2)</f>
        <v/>
      </c>
    </row>
    <row r="490">
      <c r="A490" s="17" t="inlineStr">
        <is>
          <t>KIT 49 MOD. 620W + MICROINVERSOR HOYMILES 2,25KW</t>
        </is>
      </c>
      <c r="B490" s="17" t="inlineStr">
        <is>
          <t>HOYMILES</t>
        </is>
      </c>
      <c r="C490" s="17" t="inlineStr">
        <is>
          <t>Micro</t>
        </is>
      </c>
      <c r="D490" s="21" t="n">
        <v>49</v>
      </c>
      <c r="E490" s="30" t="n">
        <v>30.38</v>
      </c>
      <c r="F490" s="20" t="inlineStr">
        <is>
          <t>Microinversor HOYMILES 2,25kW</t>
        </is>
      </c>
      <c r="G490" s="21" t="n">
        <v>13</v>
      </c>
      <c r="H490" s="17" t="inlineStr">
        <is>
          <t>Sim</t>
        </is>
      </c>
      <c r="I490" s="23" t="n">
        <v>81714.09</v>
      </c>
      <c r="J490" s="24">
        <f>(D490*Premissas!$B$24+(2*ROUNDUP(D490/2,0))*Premissas!$B$26+INT((2*ROUNDUP(D490/2,0))/4)*Premissas!$B$27+MOD((2*ROUNDUP(D490/2,0)),4)/2*Premissas!$B$28+2*IF(D490&lt;=19,3*D490,IF(D490&lt;=50,ROUNDUP(2.5*D490,0),2*D490))*Premissas!$B$29+IF(C490="Micro",G490*(Premissas!$B$31+Premissas!$B$32+4*Premissas!$B$30),G490*(INDEX(Premissas!$B$40:$B$71,MATCH(F490,Premissas!$A$40:$A$71,0))+INDEX(Premissas!$C$40:$C$71,MATCH(F490,Premissas!$A$40:$A$71,0))*Premissas!$B$30)))</f>
        <v/>
      </c>
      <c r="K490" s="24">
        <f>IF(J490&lt;Premissas!$B$36,MAX(Premissas!$B$33,J490*Premissas!$B$34),J490*Premissas!$B$35)</f>
        <v/>
      </c>
      <c r="L490" s="24">
        <f>ROUND(J490+K490,2)</f>
        <v/>
      </c>
      <c r="M490" s="24">
        <f>D490*Premissas!$B$8+Premissas!$B$9+Premissas!$B$10+Premissas!$B$11+Premissas!$B$12+ROUND(Premissas!$B$13*E490,2)</f>
        <v/>
      </c>
      <c r="N490" s="25">
        <f>ROUNDUP((L490+M490-Premissas!$B$5*L490)/(1-Premissas!$B$6-Premissas!$B$7-Premissas!$B$5-Premissas!$B$14),2)</f>
        <v/>
      </c>
      <c r="O490" s="24">
        <f>ROUND(IF(N490&lt;=30000,N490*(1+Premissas!$B$21),N490+Premissas!$B$21*30000*SQRT(N490/30000)),2)</f>
        <v/>
      </c>
      <c r="P490" s="24">
        <f>N490-I490</f>
        <v/>
      </c>
      <c r="Q490" s="26">
        <f>P490/I490</f>
        <v/>
      </c>
      <c r="R490" s="26">
        <f>(I490-L490-Premissas!$B$5*(I490-L490)-(Premissas!$B$6+Premissas!$B$7)*I490-M490)/I490</f>
        <v/>
      </c>
      <c r="S490" s="24">
        <f>ROUND((CEILING((L490*Premissas!$B$19/Premissas!$B$20-97)/100,1)*100+97)*Premissas!$B$20,2)</f>
        <v/>
      </c>
    </row>
    <row r="491">
      <c r="A491" s="17" t="inlineStr">
        <is>
          <t>KIT 50 MOD. 620W + MICROINVERSOR HOYMILES 2,25KW</t>
        </is>
      </c>
      <c r="B491" s="17" t="inlineStr">
        <is>
          <t>HOYMILES</t>
        </is>
      </c>
      <c r="C491" s="17" t="inlineStr">
        <is>
          <t>Micro</t>
        </is>
      </c>
      <c r="D491" s="21" t="n">
        <v>50</v>
      </c>
      <c r="E491" s="30" t="n">
        <v>31</v>
      </c>
      <c r="F491" s="20" t="inlineStr">
        <is>
          <t>Microinversor HOYMILES 2,25kW</t>
        </is>
      </c>
      <c r="G491" s="21" t="n">
        <v>13</v>
      </c>
      <c r="H491" s="17" t="inlineStr">
        <is>
          <t>Sim</t>
        </is>
      </c>
      <c r="I491" s="23" t="n">
        <v>82677.99000000001</v>
      </c>
      <c r="J491" s="24">
        <f>(D491*Premissas!$B$24+(2*ROUNDUP(D491/2,0))*Premissas!$B$26+INT((2*ROUNDUP(D491/2,0))/4)*Premissas!$B$27+MOD((2*ROUNDUP(D491/2,0)),4)/2*Premissas!$B$28+2*IF(D491&lt;=19,3*D491,IF(D491&lt;=50,ROUNDUP(2.5*D491,0),2*D491))*Premissas!$B$29+IF(C491="Micro",G491*(Premissas!$B$31+Premissas!$B$32+4*Premissas!$B$30),G491*(INDEX(Premissas!$B$40:$B$71,MATCH(F491,Premissas!$A$40:$A$71,0))+INDEX(Premissas!$C$40:$C$71,MATCH(F491,Premissas!$A$40:$A$71,0))*Premissas!$B$30)))</f>
        <v/>
      </c>
      <c r="K491" s="24">
        <f>IF(J491&lt;Premissas!$B$36,MAX(Premissas!$B$33,J491*Premissas!$B$34),J491*Premissas!$B$35)</f>
        <v/>
      </c>
      <c r="L491" s="24">
        <f>ROUND(J491+K491,2)</f>
        <v/>
      </c>
      <c r="M491" s="24">
        <f>D491*Premissas!$B$8+Premissas!$B$9+Premissas!$B$10+Premissas!$B$11+Premissas!$B$12+ROUND(Premissas!$B$13*E491,2)</f>
        <v/>
      </c>
      <c r="N491" s="25">
        <f>ROUNDUP((L491+M491-Premissas!$B$5*L491)/(1-Premissas!$B$6-Premissas!$B$7-Premissas!$B$5-Premissas!$B$14),2)</f>
        <v/>
      </c>
      <c r="O491" s="24">
        <f>ROUND(IF(N491&lt;=30000,N491*(1+Premissas!$B$21),N491+Premissas!$B$21*30000*SQRT(N491/30000)),2)</f>
        <v/>
      </c>
      <c r="P491" s="24">
        <f>N491-I491</f>
        <v/>
      </c>
      <c r="Q491" s="26">
        <f>P491/I491</f>
        <v/>
      </c>
      <c r="R491" s="26">
        <f>(I491-L491-Premissas!$B$5*(I491-L491)-(Premissas!$B$6+Premissas!$B$7)*I491-M491)/I491</f>
        <v/>
      </c>
      <c r="S491" s="24">
        <f>ROUND((CEILING((L491*Premissas!$B$19/Premissas!$B$20-97)/100,1)*100+97)*Premissas!$B$20,2)</f>
        <v/>
      </c>
    </row>
    <row r="492">
      <c r="A492" s="17" t="inlineStr">
        <is>
          <t>KIT 51 MOD. 620W + MICROINVERSOR HOYMILES 2,25KW</t>
        </is>
      </c>
      <c r="B492" s="17" t="inlineStr">
        <is>
          <t>HOYMILES</t>
        </is>
      </c>
      <c r="C492" s="17" t="inlineStr">
        <is>
          <t>Micro</t>
        </is>
      </c>
      <c r="D492" s="21" t="n">
        <v>51</v>
      </c>
      <c r="E492" s="30" t="n">
        <v>31.62</v>
      </c>
      <c r="F492" s="20" t="inlineStr">
        <is>
          <t>Microinversor HOYMILES 2,25kW</t>
        </is>
      </c>
      <c r="G492" s="21" t="n">
        <v>13</v>
      </c>
      <c r="H492" s="17" t="inlineStr">
        <is>
          <t>Sim</t>
        </is>
      </c>
      <c r="I492" s="23" t="n">
        <v>83427.69</v>
      </c>
      <c r="J492" s="24">
        <f>(D492*Premissas!$B$24+(2*ROUNDUP(D492/2,0))*Premissas!$B$26+INT((2*ROUNDUP(D492/2,0))/4)*Premissas!$B$27+MOD((2*ROUNDUP(D492/2,0)),4)/2*Premissas!$B$28+2*IF(D492&lt;=19,3*D492,IF(D492&lt;=50,ROUNDUP(2.5*D492,0),2*D492))*Premissas!$B$29+IF(C492="Micro",G492*(Premissas!$B$31+Premissas!$B$32+4*Premissas!$B$30),G492*(INDEX(Premissas!$B$40:$B$71,MATCH(F492,Premissas!$A$40:$A$71,0))+INDEX(Premissas!$C$40:$C$71,MATCH(F492,Premissas!$A$40:$A$71,0))*Premissas!$B$30)))</f>
        <v/>
      </c>
      <c r="K492" s="24">
        <f>IF(J492&lt;Premissas!$B$36,MAX(Premissas!$B$33,J492*Premissas!$B$34),J492*Premissas!$B$35)</f>
        <v/>
      </c>
      <c r="L492" s="24">
        <f>ROUND(J492+K492,2)</f>
        <v/>
      </c>
      <c r="M492" s="24">
        <f>D492*Premissas!$B$8+Premissas!$B$9+Premissas!$B$10+Premissas!$B$11+Premissas!$B$12+ROUND(Premissas!$B$13*E492,2)</f>
        <v/>
      </c>
      <c r="N492" s="25">
        <f>ROUNDUP((L492+M492-Premissas!$B$5*L492)/(1-Premissas!$B$6-Premissas!$B$7-Premissas!$B$5-Premissas!$B$14),2)</f>
        <v/>
      </c>
      <c r="O492" s="24">
        <f>ROUND(IF(N492&lt;=30000,N492*(1+Premissas!$B$21),N492+Premissas!$B$21*30000*SQRT(N492/30000)),2)</f>
        <v/>
      </c>
      <c r="P492" s="24">
        <f>N492-I492</f>
        <v/>
      </c>
      <c r="Q492" s="26">
        <f>P492/I492</f>
        <v/>
      </c>
      <c r="R492" s="26">
        <f>(I492-L492-Premissas!$B$5*(I492-L492)-(Premissas!$B$6+Premissas!$B$7)*I492-M492)/I492</f>
        <v/>
      </c>
      <c r="S492" s="24">
        <f>ROUND((CEILING((L492*Premissas!$B$19/Premissas!$B$20-97)/100,1)*100+97)*Premissas!$B$20,2)</f>
        <v/>
      </c>
    </row>
    <row r="493">
      <c r="A493" s="17" t="inlineStr">
        <is>
          <t>KIT 52 MOD. 620W + MICROINVERSOR HOYMILES 2,25KW</t>
        </is>
      </c>
      <c r="B493" s="17" t="inlineStr">
        <is>
          <t>HOYMILES</t>
        </is>
      </c>
      <c r="C493" s="17" t="inlineStr">
        <is>
          <t>Micro</t>
        </is>
      </c>
      <c r="D493" s="21" t="n">
        <v>52</v>
      </c>
      <c r="E493" s="30" t="n">
        <v>32.24</v>
      </c>
      <c r="F493" s="20" t="inlineStr">
        <is>
          <t>Microinversor HOYMILES 2,25kW</t>
        </is>
      </c>
      <c r="G493" s="21" t="n">
        <v>13</v>
      </c>
      <c r="H493" s="17" t="inlineStr">
        <is>
          <t>Sim</t>
        </is>
      </c>
      <c r="I493" s="23" t="n">
        <v>84498.69</v>
      </c>
      <c r="J493" s="24">
        <f>(D493*Premissas!$B$24+(2*ROUNDUP(D493/2,0))*Premissas!$B$26+INT((2*ROUNDUP(D493/2,0))/4)*Premissas!$B$27+MOD((2*ROUNDUP(D493/2,0)),4)/2*Premissas!$B$28+2*IF(D493&lt;=19,3*D493,IF(D493&lt;=50,ROUNDUP(2.5*D493,0),2*D493))*Premissas!$B$29+IF(C493="Micro",G493*(Premissas!$B$31+Premissas!$B$32+4*Premissas!$B$30),G493*(INDEX(Premissas!$B$40:$B$71,MATCH(F493,Premissas!$A$40:$A$71,0))+INDEX(Premissas!$C$40:$C$71,MATCH(F493,Premissas!$A$40:$A$71,0))*Premissas!$B$30)))</f>
        <v/>
      </c>
      <c r="K493" s="24">
        <f>IF(J493&lt;Premissas!$B$36,MAX(Premissas!$B$33,J493*Premissas!$B$34),J493*Premissas!$B$35)</f>
        <v/>
      </c>
      <c r="L493" s="24">
        <f>ROUND(J493+K493,2)</f>
        <v/>
      </c>
      <c r="M493" s="24">
        <f>D493*Premissas!$B$8+Premissas!$B$9+Premissas!$B$10+Premissas!$B$11+Premissas!$B$12+ROUND(Premissas!$B$13*E493,2)</f>
        <v/>
      </c>
      <c r="N493" s="25">
        <f>ROUNDUP((L493+M493-Premissas!$B$5*L493)/(1-Premissas!$B$6-Premissas!$B$7-Premissas!$B$5-Premissas!$B$14),2)</f>
        <v/>
      </c>
      <c r="O493" s="24">
        <f>ROUND(IF(N493&lt;=30000,N493*(1+Premissas!$B$21),N493+Premissas!$B$21*30000*SQRT(N493/30000)),2)</f>
        <v/>
      </c>
      <c r="P493" s="24">
        <f>N493-I493</f>
        <v/>
      </c>
      <c r="Q493" s="26">
        <f>P493/I493</f>
        <v/>
      </c>
      <c r="R493" s="26">
        <f>(I493-L493-Premissas!$B$5*(I493-L493)-(Premissas!$B$6+Premissas!$B$7)*I493-M493)/I493</f>
        <v/>
      </c>
      <c r="S493" s="24">
        <f>ROUND((CEILING((L493*Premissas!$B$19/Premissas!$B$20-97)/100,1)*100+97)*Premissas!$B$20,2)</f>
        <v/>
      </c>
    </row>
    <row r="494">
      <c r="A494" s="17" t="inlineStr">
        <is>
          <t>KIT 53 MOD. 620W + MICROINVERSOR HOYMILES 2,25KW</t>
        </is>
      </c>
      <c r="B494" s="17" t="inlineStr">
        <is>
          <t>HOYMILES</t>
        </is>
      </c>
      <c r="C494" s="17" t="inlineStr">
        <is>
          <t>Micro</t>
        </is>
      </c>
      <c r="D494" s="21" t="n">
        <v>53</v>
      </c>
      <c r="E494" s="30" t="n">
        <v>32.86</v>
      </c>
      <c r="F494" s="20" t="inlineStr">
        <is>
          <t>Microinversor HOYMILES 2,25kW</t>
        </is>
      </c>
      <c r="G494" s="21" t="n">
        <v>14</v>
      </c>
      <c r="H494" s="17" t="inlineStr">
        <is>
          <t>Sim</t>
        </is>
      </c>
      <c r="I494" s="23" t="n">
        <v>87604.59</v>
      </c>
      <c r="J494" s="24">
        <f>(D494*Premissas!$B$24+(2*ROUNDUP(D494/2,0))*Premissas!$B$26+INT((2*ROUNDUP(D494/2,0))/4)*Premissas!$B$27+MOD((2*ROUNDUP(D494/2,0)),4)/2*Premissas!$B$28+2*IF(D494&lt;=19,3*D494,IF(D494&lt;=50,ROUNDUP(2.5*D494,0),2*D494))*Premissas!$B$29+IF(C494="Micro",G494*(Premissas!$B$31+Premissas!$B$32+4*Premissas!$B$30),G494*(INDEX(Premissas!$B$40:$B$71,MATCH(F494,Premissas!$A$40:$A$71,0))+INDEX(Premissas!$C$40:$C$71,MATCH(F494,Premissas!$A$40:$A$71,0))*Premissas!$B$30)))</f>
        <v/>
      </c>
      <c r="K494" s="24">
        <f>IF(J494&lt;Premissas!$B$36,MAX(Premissas!$B$33,J494*Premissas!$B$34),J494*Premissas!$B$35)</f>
        <v/>
      </c>
      <c r="L494" s="24">
        <f>ROUND(J494+K494,2)</f>
        <v/>
      </c>
      <c r="M494" s="24">
        <f>D494*Premissas!$B$8+Premissas!$B$9+Premissas!$B$10+Premissas!$B$11+Premissas!$B$12+ROUND(Premissas!$B$13*E494,2)</f>
        <v/>
      </c>
      <c r="N494" s="25">
        <f>ROUNDUP((L494+M494-Premissas!$B$5*L494)/(1-Premissas!$B$6-Premissas!$B$7-Premissas!$B$5-Premissas!$B$14),2)</f>
        <v/>
      </c>
      <c r="O494" s="24">
        <f>ROUND(IF(N494&lt;=30000,N494*(1+Premissas!$B$21),N494+Premissas!$B$21*30000*SQRT(N494/30000)),2)</f>
        <v/>
      </c>
      <c r="P494" s="24">
        <f>N494-I494</f>
        <v/>
      </c>
      <c r="Q494" s="26">
        <f>P494/I494</f>
        <v/>
      </c>
      <c r="R494" s="26">
        <f>(I494-L494-Premissas!$B$5*(I494-L494)-(Premissas!$B$6+Premissas!$B$7)*I494-M494)/I494</f>
        <v/>
      </c>
      <c r="S494" s="24">
        <f>ROUND((CEILING((L494*Premissas!$B$19/Premissas!$B$20-97)/100,1)*100+97)*Premissas!$B$20,2)</f>
        <v/>
      </c>
    </row>
    <row r="495">
      <c r="A495" s="17" t="inlineStr">
        <is>
          <t>KIT 54 MOD. 620W + MICROINVERSOR HOYMILES 2,25KW</t>
        </is>
      </c>
      <c r="B495" s="17" t="inlineStr">
        <is>
          <t>HOYMILES</t>
        </is>
      </c>
      <c r="C495" s="17" t="inlineStr">
        <is>
          <t>Micro</t>
        </is>
      </c>
      <c r="D495" s="21" t="n">
        <v>54</v>
      </c>
      <c r="E495" s="30" t="n">
        <v>33.48</v>
      </c>
      <c r="F495" s="20" t="inlineStr">
        <is>
          <t>Microinversor HOYMILES 2,25kW</t>
        </is>
      </c>
      <c r="G495" s="21" t="n">
        <v>14</v>
      </c>
      <c r="H495" s="17" t="inlineStr">
        <is>
          <t>Sim</t>
        </is>
      </c>
      <c r="I495" s="23" t="n">
        <v>88675.59</v>
      </c>
      <c r="J495" s="24">
        <f>(D495*Premissas!$B$24+(2*ROUNDUP(D495/2,0))*Premissas!$B$26+INT((2*ROUNDUP(D495/2,0))/4)*Premissas!$B$27+MOD((2*ROUNDUP(D495/2,0)),4)/2*Premissas!$B$28+2*IF(D495&lt;=19,3*D495,IF(D495&lt;=50,ROUNDUP(2.5*D495,0),2*D495))*Premissas!$B$29+IF(C495="Micro",G495*(Premissas!$B$31+Premissas!$B$32+4*Premissas!$B$30),G495*(INDEX(Premissas!$B$40:$B$71,MATCH(F495,Premissas!$A$40:$A$71,0))+INDEX(Premissas!$C$40:$C$71,MATCH(F495,Premissas!$A$40:$A$71,0))*Premissas!$B$30)))</f>
        <v/>
      </c>
      <c r="K495" s="24">
        <f>IF(J495&lt;Premissas!$B$36,MAX(Premissas!$B$33,J495*Premissas!$B$34),J495*Premissas!$B$35)</f>
        <v/>
      </c>
      <c r="L495" s="24">
        <f>ROUND(J495+K495,2)</f>
        <v/>
      </c>
      <c r="M495" s="24">
        <f>D495*Premissas!$B$8+Premissas!$B$9+Premissas!$B$10+Premissas!$B$11+Premissas!$B$12+ROUND(Premissas!$B$13*E495,2)</f>
        <v/>
      </c>
      <c r="N495" s="25">
        <f>ROUNDUP((L495+M495-Premissas!$B$5*L495)/(1-Premissas!$B$6-Premissas!$B$7-Premissas!$B$5-Premissas!$B$14),2)</f>
        <v/>
      </c>
      <c r="O495" s="24">
        <f>ROUND(IF(N495&lt;=30000,N495*(1+Premissas!$B$21),N495+Premissas!$B$21*30000*SQRT(N495/30000)),2)</f>
        <v/>
      </c>
      <c r="P495" s="24">
        <f>N495-I495</f>
        <v/>
      </c>
      <c r="Q495" s="26">
        <f>P495/I495</f>
        <v/>
      </c>
      <c r="R495" s="26">
        <f>(I495-L495-Premissas!$B$5*(I495-L495)-(Premissas!$B$6+Premissas!$B$7)*I495-M495)/I495</f>
        <v/>
      </c>
      <c r="S495" s="24">
        <f>ROUND((CEILING((L495*Premissas!$B$19/Premissas!$B$20-97)/100,1)*100+97)*Premissas!$B$20,2)</f>
        <v/>
      </c>
    </row>
    <row r="496">
      <c r="A496" s="17" t="inlineStr">
        <is>
          <t>KIT 55 MOD. 620W + MICROINVERSOR HOYMILES 2,25KW</t>
        </is>
      </c>
      <c r="B496" s="17" t="inlineStr">
        <is>
          <t>HOYMILES</t>
        </is>
      </c>
      <c r="C496" s="17" t="inlineStr">
        <is>
          <t>Micro</t>
        </is>
      </c>
      <c r="D496" s="21" t="n">
        <v>55</v>
      </c>
      <c r="E496" s="30" t="n">
        <v>34.1</v>
      </c>
      <c r="F496" s="20" t="inlineStr">
        <is>
          <t>Microinversor HOYMILES 2,25kW</t>
        </is>
      </c>
      <c r="G496" s="21" t="n">
        <v>14</v>
      </c>
      <c r="H496" s="17" t="inlineStr">
        <is>
          <t>Sim</t>
        </is>
      </c>
      <c r="I496" s="23" t="n">
        <v>89960.78999999999</v>
      </c>
      <c r="J496" s="24">
        <f>(D496*Premissas!$B$24+(2*ROUNDUP(D496/2,0))*Premissas!$B$26+INT((2*ROUNDUP(D496/2,0))/4)*Premissas!$B$27+MOD((2*ROUNDUP(D496/2,0)),4)/2*Premissas!$B$28+2*IF(D496&lt;=19,3*D496,IF(D496&lt;=50,ROUNDUP(2.5*D496,0),2*D496))*Premissas!$B$29+IF(C496="Micro",G496*(Premissas!$B$31+Premissas!$B$32+4*Premissas!$B$30),G496*(INDEX(Premissas!$B$40:$B$71,MATCH(F496,Premissas!$A$40:$A$71,0))+INDEX(Premissas!$C$40:$C$71,MATCH(F496,Premissas!$A$40:$A$71,0))*Premissas!$B$30)))</f>
        <v/>
      </c>
      <c r="K496" s="24">
        <f>IF(J496&lt;Premissas!$B$36,MAX(Premissas!$B$33,J496*Premissas!$B$34),J496*Premissas!$B$35)</f>
        <v/>
      </c>
      <c r="L496" s="24">
        <f>ROUND(J496+K496,2)</f>
        <v/>
      </c>
      <c r="M496" s="24">
        <f>D496*Premissas!$B$8+Premissas!$B$9+Premissas!$B$10+Premissas!$B$11+Premissas!$B$12+ROUND(Premissas!$B$13*E496,2)</f>
        <v/>
      </c>
      <c r="N496" s="25">
        <f>ROUNDUP((L496+M496-Premissas!$B$5*L496)/(1-Premissas!$B$6-Premissas!$B$7-Premissas!$B$5-Premissas!$B$14),2)</f>
        <v/>
      </c>
      <c r="O496" s="24">
        <f>ROUND(IF(N496&lt;=30000,N496*(1+Premissas!$B$21),N496+Premissas!$B$21*30000*SQRT(N496/30000)),2)</f>
        <v/>
      </c>
      <c r="P496" s="24">
        <f>N496-I496</f>
        <v/>
      </c>
      <c r="Q496" s="26">
        <f>P496/I496</f>
        <v/>
      </c>
      <c r="R496" s="26">
        <f>(I496-L496-Premissas!$B$5*(I496-L496)-(Premissas!$B$6+Premissas!$B$7)*I496-M496)/I496</f>
        <v/>
      </c>
      <c r="S496" s="24">
        <f>ROUND((CEILING((L496*Premissas!$B$19/Premissas!$B$20-97)/100,1)*100+97)*Premissas!$B$20,2)</f>
        <v/>
      </c>
    </row>
    <row r="497">
      <c r="A497" s="17" t="inlineStr">
        <is>
          <t>KIT 56 MOD. 620W + MICROINVERSOR HOYMILES 2,25KW</t>
        </is>
      </c>
      <c r="B497" s="17" t="inlineStr">
        <is>
          <t>HOYMILES</t>
        </is>
      </c>
      <c r="C497" s="17" t="inlineStr">
        <is>
          <t>Micro</t>
        </is>
      </c>
      <c r="D497" s="21" t="n">
        <v>56</v>
      </c>
      <c r="E497" s="30" t="n">
        <v>34.72</v>
      </c>
      <c r="F497" s="20" t="inlineStr">
        <is>
          <t>Microinversor HOYMILES 2,25kW</t>
        </is>
      </c>
      <c r="G497" s="21" t="n">
        <v>14</v>
      </c>
      <c r="H497" s="17" t="inlineStr">
        <is>
          <t>Sim</t>
        </is>
      </c>
      <c r="I497" s="23" t="n">
        <v>91031.78999999999</v>
      </c>
      <c r="J497" s="24">
        <f>(D497*Premissas!$B$24+(2*ROUNDUP(D497/2,0))*Premissas!$B$26+INT((2*ROUNDUP(D497/2,0))/4)*Premissas!$B$27+MOD((2*ROUNDUP(D497/2,0)),4)/2*Premissas!$B$28+2*IF(D497&lt;=19,3*D497,IF(D497&lt;=50,ROUNDUP(2.5*D497,0),2*D497))*Premissas!$B$29+IF(C497="Micro",G497*(Premissas!$B$31+Premissas!$B$32+4*Premissas!$B$30),G497*(INDEX(Premissas!$B$40:$B$71,MATCH(F497,Premissas!$A$40:$A$71,0))+INDEX(Premissas!$C$40:$C$71,MATCH(F497,Premissas!$A$40:$A$71,0))*Premissas!$B$30)))</f>
        <v/>
      </c>
      <c r="K497" s="24">
        <f>IF(J497&lt;Premissas!$B$36,MAX(Premissas!$B$33,J497*Premissas!$B$34),J497*Premissas!$B$35)</f>
        <v/>
      </c>
      <c r="L497" s="24">
        <f>ROUND(J497+K497,2)</f>
        <v/>
      </c>
      <c r="M497" s="24">
        <f>D497*Premissas!$B$8+Premissas!$B$9+Premissas!$B$10+Premissas!$B$11+Premissas!$B$12+ROUND(Premissas!$B$13*E497,2)</f>
        <v/>
      </c>
      <c r="N497" s="25">
        <f>ROUNDUP((L497+M497-Premissas!$B$5*L497)/(1-Premissas!$B$6-Premissas!$B$7-Premissas!$B$5-Premissas!$B$14),2)</f>
        <v/>
      </c>
      <c r="O497" s="24">
        <f>ROUND(IF(N497&lt;=30000,N497*(1+Premissas!$B$21),N497+Premissas!$B$21*30000*SQRT(N497/30000)),2)</f>
        <v/>
      </c>
      <c r="P497" s="24">
        <f>N497-I497</f>
        <v/>
      </c>
      <c r="Q497" s="26">
        <f>P497/I497</f>
        <v/>
      </c>
      <c r="R497" s="26">
        <f>(I497-L497-Premissas!$B$5*(I497-L497)-(Premissas!$B$6+Premissas!$B$7)*I497-M497)/I497</f>
        <v/>
      </c>
      <c r="S497" s="24">
        <f>ROUND((CEILING((L497*Premissas!$B$19/Premissas!$B$20-97)/100,1)*100+97)*Premissas!$B$20,2)</f>
        <v/>
      </c>
    </row>
    <row r="498">
      <c r="A498" s="17" t="inlineStr">
        <is>
          <t>KIT 57 MOD. 620W + MICROINVERSOR HOYMILES 2,25KW</t>
        </is>
      </c>
      <c r="B498" s="17" t="inlineStr">
        <is>
          <t>HOYMILES</t>
        </is>
      </c>
      <c r="C498" s="17" t="inlineStr">
        <is>
          <t>Micro</t>
        </is>
      </c>
      <c r="D498" s="21" t="n">
        <v>57</v>
      </c>
      <c r="E498" s="30" t="n">
        <v>35.34</v>
      </c>
      <c r="F498" s="20" t="inlineStr">
        <is>
          <t>Microinversor HOYMILES 2,25kW</t>
        </is>
      </c>
      <c r="G498" s="21" t="n">
        <v>15</v>
      </c>
      <c r="H498" s="17" t="inlineStr">
        <is>
          <t>Sim</t>
        </is>
      </c>
      <c r="I498" s="23" t="n">
        <v>94137.69</v>
      </c>
      <c r="J498" s="24">
        <f>(D498*Premissas!$B$24+(2*ROUNDUP(D498/2,0))*Premissas!$B$26+INT((2*ROUNDUP(D498/2,0))/4)*Premissas!$B$27+MOD((2*ROUNDUP(D498/2,0)),4)/2*Premissas!$B$28+2*IF(D498&lt;=19,3*D498,IF(D498&lt;=50,ROUNDUP(2.5*D498,0),2*D498))*Premissas!$B$29+IF(C498="Micro",G498*(Premissas!$B$31+Premissas!$B$32+4*Premissas!$B$30),G498*(INDEX(Premissas!$B$40:$B$71,MATCH(F498,Premissas!$A$40:$A$71,0))+INDEX(Premissas!$C$40:$C$71,MATCH(F498,Premissas!$A$40:$A$71,0))*Premissas!$B$30)))</f>
        <v/>
      </c>
      <c r="K498" s="24">
        <f>IF(J498&lt;Premissas!$B$36,MAX(Premissas!$B$33,J498*Premissas!$B$34),J498*Premissas!$B$35)</f>
        <v/>
      </c>
      <c r="L498" s="24">
        <f>ROUND(J498+K498,2)</f>
        <v/>
      </c>
      <c r="M498" s="24">
        <f>D498*Premissas!$B$8+Premissas!$B$9+Premissas!$B$10+Premissas!$B$11+Premissas!$B$12+ROUND(Premissas!$B$13*E498,2)</f>
        <v/>
      </c>
      <c r="N498" s="25">
        <f>ROUNDUP((L498+M498-Premissas!$B$5*L498)/(1-Premissas!$B$6-Premissas!$B$7-Premissas!$B$5-Premissas!$B$14),2)</f>
        <v/>
      </c>
      <c r="O498" s="24">
        <f>ROUND(IF(N498&lt;=30000,N498*(1+Premissas!$B$21),N498+Premissas!$B$21*30000*SQRT(N498/30000)),2)</f>
        <v/>
      </c>
      <c r="P498" s="24">
        <f>N498-I498</f>
        <v/>
      </c>
      <c r="Q498" s="26">
        <f>P498/I498</f>
        <v/>
      </c>
      <c r="R498" s="26">
        <f>(I498-L498-Premissas!$B$5*(I498-L498)-(Premissas!$B$6+Premissas!$B$7)*I498-M498)/I498</f>
        <v/>
      </c>
      <c r="S498" s="24">
        <f>ROUND((CEILING((L498*Premissas!$B$19/Premissas!$B$20-97)/100,1)*100+97)*Premissas!$B$20,2)</f>
        <v/>
      </c>
    </row>
    <row r="499">
      <c r="A499" s="17" t="inlineStr">
        <is>
          <t>KIT 58 MOD. 620W + MICROINVERSOR HOYMILES 2,25KW</t>
        </is>
      </c>
      <c r="B499" s="17" t="inlineStr">
        <is>
          <t>HOYMILES</t>
        </is>
      </c>
      <c r="C499" s="17" t="inlineStr">
        <is>
          <t>Micro</t>
        </is>
      </c>
      <c r="D499" s="21" t="n">
        <v>58</v>
      </c>
      <c r="E499" s="30" t="n">
        <v>35.96</v>
      </c>
      <c r="F499" s="20" t="inlineStr">
        <is>
          <t>Microinversor HOYMILES 2,25kW</t>
        </is>
      </c>
      <c r="G499" s="21" t="n">
        <v>15</v>
      </c>
      <c r="H499" s="17" t="inlineStr">
        <is>
          <t>Sim</t>
        </is>
      </c>
      <c r="I499" s="23" t="n">
        <v>95208.69</v>
      </c>
      <c r="J499" s="24">
        <f>(D499*Premissas!$B$24+(2*ROUNDUP(D499/2,0))*Premissas!$B$26+INT((2*ROUNDUP(D499/2,0))/4)*Premissas!$B$27+MOD((2*ROUNDUP(D499/2,0)),4)/2*Premissas!$B$28+2*IF(D499&lt;=19,3*D499,IF(D499&lt;=50,ROUNDUP(2.5*D499,0),2*D499))*Premissas!$B$29+IF(C499="Micro",G499*(Premissas!$B$31+Premissas!$B$32+4*Premissas!$B$30),G499*(INDEX(Premissas!$B$40:$B$71,MATCH(F499,Premissas!$A$40:$A$71,0))+INDEX(Premissas!$C$40:$C$71,MATCH(F499,Premissas!$A$40:$A$71,0))*Premissas!$B$30)))</f>
        <v/>
      </c>
      <c r="K499" s="24">
        <f>IF(J499&lt;Premissas!$B$36,MAX(Premissas!$B$33,J499*Premissas!$B$34),J499*Premissas!$B$35)</f>
        <v/>
      </c>
      <c r="L499" s="24">
        <f>ROUND(J499+K499,2)</f>
        <v/>
      </c>
      <c r="M499" s="24">
        <f>D499*Premissas!$B$8+Premissas!$B$9+Premissas!$B$10+Premissas!$B$11+Premissas!$B$12+ROUND(Premissas!$B$13*E499,2)</f>
        <v/>
      </c>
      <c r="N499" s="25">
        <f>ROUNDUP((L499+M499-Premissas!$B$5*L499)/(1-Premissas!$B$6-Premissas!$B$7-Premissas!$B$5-Premissas!$B$14),2)</f>
        <v/>
      </c>
      <c r="O499" s="24">
        <f>ROUND(IF(N499&lt;=30000,N499*(1+Premissas!$B$21),N499+Premissas!$B$21*30000*SQRT(N499/30000)),2)</f>
        <v/>
      </c>
      <c r="P499" s="24">
        <f>N499-I499</f>
        <v/>
      </c>
      <c r="Q499" s="26">
        <f>P499/I499</f>
        <v/>
      </c>
      <c r="R499" s="26">
        <f>(I499-L499-Premissas!$B$5*(I499-L499)-(Premissas!$B$6+Premissas!$B$7)*I499-M499)/I499</f>
        <v/>
      </c>
      <c r="S499" s="24">
        <f>ROUND((CEILING((L499*Premissas!$B$19/Premissas!$B$20-97)/100,1)*100+97)*Premissas!$B$20,2)</f>
        <v/>
      </c>
    </row>
    <row r="500">
      <c r="A500" s="17" t="inlineStr">
        <is>
          <t>KIT 59 MOD. 620W + MICROINVERSOR HOYMILES 2,25KW</t>
        </is>
      </c>
      <c r="B500" s="17" t="inlineStr">
        <is>
          <t>HOYMILES</t>
        </is>
      </c>
      <c r="C500" s="17" t="inlineStr">
        <is>
          <t>Micro</t>
        </is>
      </c>
      <c r="D500" s="21" t="n">
        <v>59</v>
      </c>
      <c r="E500" s="30" t="n">
        <v>36.58</v>
      </c>
      <c r="F500" s="20" t="inlineStr">
        <is>
          <t>Microinversor HOYMILES 2,25kW</t>
        </is>
      </c>
      <c r="G500" s="21" t="n">
        <v>15</v>
      </c>
      <c r="H500" s="17" t="inlineStr">
        <is>
          <t>Sim</t>
        </is>
      </c>
      <c r="I500" s="23" t="n">
        <v>96493.89</v>
      </c>
      <c r="J500" s="24">
        <f>(D500*Premissas!$B$24+(2*ROUNDUP(D500/2,0))*Premissas!$B$26+INT((2*ROUNDUP(D500/2,0))/4)*Premissas!$B$27+MOD((2*ROUNDUP(D500/2,0)),4)/2*Premissas!$B$28+2*IF(D500&lt;=19,3*D500,IF(D500&lt;=50,ROUNDUP(2.5*D500,0),2*D500))*Premissas!$B$29+IF(C500="Micro",G500*(Premissas!$B$31+Premissas!$B$32+4*Premissas!$B$30),G500*(INDEX(Premissas!$B$40:$B$71,MATCH(F500,Premissas!$A$40:$A$71,0))+INDEX(Premissas!$C$40:$C$71,MATCH(F500,Premissas!$A$40:$A$71,0))*Premissas!$B$30)))</f>
        <v/>
      </c>
      <c r="K500" s="24">
        <f>IF(J500&lt;Premissas!$B$36,MAX(Premissas!$B$33,J500*Premissas!$B$34),J500*Premissas!$B$35)</f>
        <v/>
      </c>
      <c r="L500" s="24">
        <f>ROUND(J500+K500,2)</f>
        <v/>
      </c>
      <c r="M500" s="24">
        <f>D500*Premissas!$B$8+Premissas!$B$9+Premissas!$B$10+Premissas!$B$11+Premissas!$B$12+ROUND(Premissas!$B$13*E500,2)</f>
        <v/>
      </c>
      <c r="N500" s="25">
        <f>ROUNDUP((L500+M500-Premissas!$B$5*L500)/(1-Premissas!$B$6-Premissas!$B$7-Premissas!$B$5-Premissas!$B$14),2)</f>
        <v/>
      </c>
      <c r="O500" s="24">
        <f>ROUND(IF(N500&lt;=30000,N500*(1+Premissas!$B$21),N500+Premissas!$B$21*30000*SQRT(N500/30000)),2)</f>
        <v/>
      </c>
      <c r="P500" s="24">
        <f>N500-I500</f>
        <v/>
      </c>
      <c r="Q500" s="26">
        <f>P500/I500</f>
        <v/>
      </c>
      <c r="R500" s="26">
        <f>(I500-L500-Premissas!$B$5*(I500-L500)-(Premissas!$B$6+Premissas!$B$7)*I500-M500)/I500</f>
        <v/>
      </c>
      <c r="S500" s="24">
        <f>ROUND((CEILING((L500*Premissas!$B$19/Premissas!$B$20-97)/100,1)*100+97)*Premissas!$B$20,2)</f>
        <v/>
      </c>
    </row>
    <row r="501">
      <c r="A501" s="17" t="inlineStr">
        <is>
          <t>KIT 60 MOD. 620W + MICROINVERSOR HOYMILES 2,25KW</t>
        </is>
      </c>
      <c r="B501" s="17" t="inlineStr">
        <is>
          <t>HOYMILES</t>
        </is>
      </c>
      <c r="C501" s="17" t="inlineStr">
        <is>
          <t>Micro</t>
        </is>
      </c>
      <c r="D501" s="21" t="n">
        <v>60</v>
      </c>
      <c r="E501" s="30" t="n">
        <v>37.2</v>
      </c>
      <c r="F501" s="20" t="inlineStr">
        <is>
          <t>Microinversor HOYMILES 2,25kW</t>
        </is>
      </c>
      <c r="G501" s="21" t="n">
        <v>15</v>
      </c>
      <c r="H501" s="17" t="inlineStr">
        <is>
          <t>Sim</t>
        </is>
      </c>
      <c r="I501" s="23" t="n">
        <v>97457.78999999999</v>
      </c>
      <c r="J501" s="24">
        <f>(D501*Premissas!$B$24+(2*ROUNDUP(D501/2,0))*Premissas!$B$26+INT((2*ROUNDUP(D501/2,0))/4)*Premissas!$B$27+MOD((2*ROUNDUP(D501/2,0)),4)/2*Premissas!$B$28+2*IF(D501&lt;=19,3*D501,IF(D501&lt;=50,ROUNDUP(2.5*D501,0),2*D501))*Premissas!$B$29+IF(C501="Micro",G501*(Premissas!$B$31+Premissas!$B$32+4*Premissas!$B$30),G501*(INDEX(Premissas!$B$40:$B$71,MATCH(F501,Premissas!$A$40:$A$71,0))+INDEX(Premissas!$C$40:$C$71,MATCH(F501,Premissas!$A$40:$A$71,0))*Premissas!$B$30)))</f>
        <v/>
      </c>
      <c r="K501" s="24">
        <f>IF(J501&lt;Premissas!$B$36,MAX(Premissas!$B$33,J501*Premissas!$B$34),J501*Premissas!$B$35)</f>
        <v/>
      </c>
      <c r="L501" s="24">
        <f>ROUND(J501+K501,2)</f>
        <v/>
      </c>
      <c r="M501" s="24">
        <f>D501*Premissas!$B$8+Premissas!$B$9+Premissas!$B$10+Premissas!$B$11+Premissas!$B$12+ROUND(Premissas!$B$13*E501,2)</f>
        <v/>
      </c>
      <c r="N501" s="25">
        <f>ROUNDUP((L501+M501-Premissas!$B$5*L501)/(1-Premissas!$B$6-Premissas!$B$7-Premissas!$B$5-Premissas!$B$14),2)</f>
        <v/>
      </c>
      <c r="O501" s="24">
        <f>ROUND(IF(N501&lt;=30000,N501*(1+Premissas!$B$21),N501+Premissas!$B$21*30000*SQRT(N501/30000)),2)</f>
        <v/>
      </c>
      <c r="P501" s="24">
        <f>N501-I501</f>
        <v/>
      </c>
      <c r="Q501" s="26">
        <f>P501/I501</f>
        <v/>
      </c>
      <c r="R501" s="26">
        <f>(I501-L501-Premissas!$B$5*(I501-L501)-(Premissas!$B$6+Premissas!$B$7)*I501-M501)/I501</f>
        <v/>
      </c>
      <c r="S501" s="24">
        <f>ROUND((CEILING((L501*Premissas!$B$19/Premissas!$B$20-97)/100,1)*100+97)*Premissas!$B$20,2)</f>
        <v/>
      </c>
    </row>
    <row r="502">
      <c r="A502" s="17" t="inlineStr">
        <is>
          <t>KIT 61 MOD. 620W + MICROINVERSOR HOYMILES 2,25KW</t>
        </is>
      </c>
      <c r="B502" s="17" t="inlineStr">
        <is>
          <t>HOYMILES</t>
        </is>
      </c>
      <c r="C502" s="17" t="inlineStr">
        <is>
          <t>Micro</t>
        </is>
      </c>
      <c r="D502" s="21" t="n">
        <v>61</v>
      </c>
      <c r="E502" s="30" t="n">
        <v>37.82</v>
      </c>
      <c r="F502" s="20" t="inlineStr">
        <is>
          <t>Microinversor HOYMILES 2,25kW</t>
        </is>
      </c>
      <c r="G502" s="21" t="n">
        <v>16</v>
      </c>
      <c r="H502" s="17" t="inlineStr">
        <is>
          <t>Sim</t>
        </is>
      </c>
      <c r="I502" s="23" t="n">
        <v>100670.79</v>
      </c>
      <c r="J502" s="24">
        <f>(D502*Premissas!$B$24+(2*ROUNDUP(D502/2,0))*Premissas!$B$26+INT((2*ROUNDUP(D502/2,0))/4)*Premissas!$B$27+MOD((2*ROUNDUP(D502/2,0)),4)/2*Premissas!$B$28+2*IF(D502&lt;=19,3*D502,IF(D502&lt;=50,ROUNDUP(2.5*D502,0),2*D502))*Premissas!$B$29+IF(C502="Micro",G502*(Premissas!$B$31+Premissas!$B$32+4*Premissas!$B$30),G502*(INDEX(Premissas!$B$40:$B$71,MATCH(F502,Premissas!$A$40:$A$71,0))+INDEX(Premissas!$C$40:$C$71,MATCH(F502,Premissas!$A$40:$A$71,0))*Premissas!$B$30)))</f>
        <v/>
      </c>
      <c r="K502" s="24">
        <f>IF(J502&lt;Premissas!$B$36,MAX(Premissas!$B$33,J502*Premissas!$B$34),J502*Premissas!$B$35)</f>
        <v/>
      </c>
      <c r="L502" s="24">
        <f>ROUND(J502+K502,2)</f>
        <v/>
      </c>
      <c r="M502" s="24">
        <f>D502*Premissas!$B$8+Premissas!$B$9+Premissas!$B$10+Premissas!$B$11+Premissas!$B$12+ROUND(Premissas!$B$13*E502,2)</f>
        <v/>
      </c>
      <c r="N502" s="25">
        <f>ROUNDUP((L502+M502-Premissas!$B$5*L502)/(1-Premissas!$B$6-Premissas!$B$7-Premissas!$B$5-Premissas!$B$14),2)</f>
        <v/>
      </c>
      <c r="O502" s="24">
        <f>ROUND(IF(N502&lt;=30000,N502*(1+Premissas!$B$21),N502+Premissas!$B$21*30000*SQRT(N502/30000)),2)</f>
        <v/>
      </c>
      <c r="P502" s="24">
        <f>N502-I502</f>
        <v/>
      </c>
      <c r="Q502" s="26">
        <f>P502/I502</f>
        <v/>
      </c>
      <c r="R502" s="26">
        <f>(I502-L502-Premissas!$B$5*(I502-L502)-(Premissas!$B$6+Premissas!$B$7)*I502-M502)/I502</f>
        <v/>
      </c>
      <c r="S502" s="24">
        <f>ROUND((CEILING((L502*Premissas!$B$19/Premissas!$B$20-97)/100,1)*100+97)*Premissas!$B$20,2)</f>
        <v/>
      </c>
    </row>
    <row r="503">
      <c r="A503" s="17" t="inlineStr">
        <is>
          <t>KIT 62 MOD. 620W + MICROINVERSOR HOYMILES 2,25KW</t>
        </is>
      </c>
      <c r="B503" s="17" t="inlineStr">
        <is>
          <t>HOYMILES</t>
        </is>
      </c>
      <c r="C503" s="17" t="inlineStr">
        <is>
          <t>Micro</t>
        </is>
      </c>
      <c r="D503" s="21" t="n">
        <v>62</v>
      </c>
      <c r="E503" s="30" t="n">
        <v>38.44</v>
      </c>
      <c r="F503" s="20" t="inlineStr">
        <is>
          <t>Microinversor HOYMILES 2,25kW</t>
        </is>
      </c>
      <c r="G503" s="21" t="n">
        <v>16</v>
      </c>
      <c r="H503" s="17" t="inlineStr">
        <is>
          <t>Sim</t>
        </is>
      </c>
      <c r="I503" s="23" t="n">
        <v>101634.69</v>
      </c>
      <c r="J503" s="24">
        <f>(D503*Premissas!$B$24+(2*ROUNDUP(D503/2,0))*Premissas!$B$26+INT((2*ROUNDUP(D503/2,0))/4)*Premissas!$B$27+MOD((2*ROUNDUP(D503/2,0)),4)/2*Premissas!$B$28+2*IF(D503&lt;=19,3*D503,IF(D503&lt;=50,ROUNDUP(2.5*D503,0),2*D503))*Premissas!$B$29+IF(C503="Micro",G503*(Premissas!$B$31+Premissas!$B$32+4*Premissas!$B$30),G503*(INDEX(Premissas!$B$40:$B$71,MATCH(F503,Premissas!$A$40:$A$71,0))+INDEX(Premissas!$C$40:$C$71,MATCH(F503,Premissas!$A$40:$A$71,0))*Premissas!$B$30)))</f>
        <v/>
      </c>
      <c r="K503" s="24">
        <f>IF(J503&lt;Premissas!$B$36,MAX(Premissas!$B$33,J503*Premissas!$B$34),J503*Premissas!$B$35)</f>
        <v/>
      </c>
      <c r="L503" s="24">
        <f>ROUND(J503+K503,2)</f>
        <v/>
      </c>
      <c r="M503" s="24">
        <f>D503*Premissas!$B$8+Premissas!$B$9+Premissas!$B$10+Premissas!$B$11+Premissas!$B$12+ROUND(Premissas!$B$13*E503,2)</f>
        <v/>
      </c>
      <c r="N503" s="25">
        <f>ROUNDUP((L503+M503-Premissas!$B$5*L503)/(1-Premissas!$B$6-Premissas!$B$7-Premissas!$B$5-Premissas!$B$14),2)</f>
        <v/>
      </c>
      <c r="O503" s="24">
        <f>ROUND(IF(N503&lt;=30000,N503*(1+Premissas!$B$21),N503+Premissas!$B$21*30000*SQRT(N503/30000)),2)</f>
        <v/>
      </c>
      <c r="P503" s="24">
        <f>N503-I503</f>
        <v/>
      </c>
      <c r="Q503" s="26">
        <f>P503/I503</f>
        <v/>
      </c>
      <c r="R503" s="26">
        <f>(I503-L503-Premissas!$B$5*(I503-L503)-(Premissas!$B$6+Premissas!$B$7)*I503-M503)/I503</f>
        <v/>
      </c>
      <c r="S503" s="24">
        <f>ROUND((CEILING((L503*Premissas!$B$19/Premissas!$B$20-97)/100,1)*100+97)*Premissas!$B$20,2)</f>
        <v/>
      </c>
    </row>
    <row r="504">
      <c r="A504" s="17" t="inlineStr">
        <is>
          <t>KIT 63 MOD. 620W + MICROINVERSOR HOYMILES 2,25KW</t>
        </is>
      </c>
      <c r="B504" s="17" t="inlineStr">
        <is>
          <t>HOYMILES</t>
        </is>
      </c>
      <c r="C504" s="17" t="inlineStr">
        <is>
          <t>Micro</t>
        </is>
      </c>
      <c r="D504" s="21" t="n">
        <v>63</v>
      </c>
      <c r="E504" s="30" t="n">
        <v>39.06</v>
      </c>
      <c r="F504" s="20" t="inlineStr">
        <is>
          <t>Microinversor HOYMILES 2,25kW</t>
        </is>
      </c>
      <c r="G504" s="21" t="n">
        <v>16</v>
      </c>
      <c r="H504" s="17" t="inlineStr">
        <is>
          <t>Sim</t>
        </is>
      </c>
      <c r="I504" s="23" t="n">
        <v>102919.89</v>
      </c>
      <c r="J504" s="24">
        <f>(D504*Premissas!$B$24+(2*ROUNDUP(D504/2,0))*Premissas!$B$26+INT((2*ROUNDUP(D504/2,0))/4)*Premissas!$B$27+MOD((2*ROUNDUP(D504/2,0)),4)/2*Premissas!$B$28+2*IF(D504&lt;=19,3*D504,IF(D504&lt;=50,ROUNDUP(2.5*D504,0),2*D504))*Premissas!$B$29+IF(C504="Micro",G504*(Premissas!$B$31+Premissas!$B$32+4*Premissas!$B$30),G504*(INDEX(Premissas!$B$40:$B$71,MATCH(F504,Premissas!$A$40:$A$71,0))+INDEX(Premissas!$C$40:$C$71,MATCH(F504,Premissas!$A$40:$A$71,0))*Premissas!$B$30)))</f>
        <v/>
      </c>
      <c r="K504" s="24">
        <f>IF(J504&lt;Premissas!$B$36,MAX(Premissas!$B$33,J504*Premissas!$B$34),J504*Premissas!$B$35)</f>
        <v/>
      </c>
      <c r="L504" s="24">
        <f>ROUND(J504+K504,2)</f>
        <v/>
      </c>
      <c r="M504" s="24">
        <f>D504*Premissas!$B$8+Premissas!$B$9+Premissas!$B$10+Premissas!$B$11+Premissas!$B$12+ROUND(Premissas!$B$13*E504,2)</f>
        <v/>
      </c>
      <c r="N504" s="25">
        <f>ROUNDUP((L504+M504-Premissas!$B$5*L504)/(1-Premissas!$B$6-Premissas!$B$7-Premissas!$B$5-Premissas!$B$14),2)</f>
        <v/>
      </c>
      <c r="O504" s="24">
        <f>ROUND(IF(N504&lt;=30000,N504*(1+Premissas!$B$21),N504+Premissas!$B$21*30000*SQRT(N504/30000)),2)</f>
        <v/>
      </c>
      <c r="P504" s="24">
        <f>N504-I504</f>
        <v/>
      </c>
      <c r="Q504" s="26">
        <f>P504/I504</f>
        <v/>
      </c>
      <c r="R504" s="26">
        <f>(I504-L504-Premissas!$B$5*(I504-L504)-(Premissas!$B$6+Premissas!$B$7)*I504-M504)/I504</f>
        <v/>
      </c>
      <c r="S504" s="24">
        <f>ROUND((CEILING((L504*Premissas!$B$19/Premissas!$B$20-97)/100,1)*100+97)*Premissas!$B$20,2)</f>
        <v/>
      </c>
    </row>
    <row r="505">
      <c r="A505" s="17" t="inlineStr">
        <is>
          <t>KIT 64 MOD. 620W + MICROINVERSOR HOYMILES 2,25KW</t>
        </is>
      </c>
      <c r="B505" s="17" t="inlineStr">
        <is>
          <t>HOYMILES</t>
        </is>
      </c>
      <c r="C505" s="17" t="inlineStr">
        <is>
          <t>Micro</t>
        </is>
      </c>
      <c r="D505" s="21" t="n">
        <v>64</v>
      </c>
      <c r="E505" s="30" t="n">
        <v>39.68</v>
      </c>
      <c r="F505" s="20" t="inlineStr">
        <is>
          <t>Microinversor HOYMILES 2,25kW</t>
        </is>
      </c>
      <c r="G505" s="21" t="n">
        <v>16</v>
      </c>
      <c r="H505" s="17" t="inlineStr">
        <is>
          <t>Sim</t>
        </is>
      </c>
      <c r="I505" s="23" t="n">
        <v>103990.89</v>
      </c>
      <c r="J505" s="24">
        <f>(D505*Premissas!$B$24+(2*ROUNDUP(D505/2,0))*Premissas!$B$26+INT((2*ROUNDUP(D505/2,0))/4)*Premissas!$B$27+MOD((2*ROUNDUP(D505/2,0)),4)/2*Premissas!$B$28+2*IF(D505&lt;=19,3*D505,IF(D505&lt;=50,ROUNDUP(2.5*D505,0),2*D505))*Premissas!$B$29+IF(C505="Micro",G505*(Premissas!$B$31+Premissas!$B$32+4*Premissas!$B$30),G505*(INDEX(Premissas!$B$40:$B$71,MATCH(F505,Premissas!$A$40:$A$71,0))+INDEX(Premissas!$C$40:$C$71,MATCH(F505,Premissas!$A$40:$A$71,0))*Premissas!$B$30)))</f>
        <v/>
      </c>
      <c r="K505" s="24">
        <f>IF(J505&lt;Premissas!$B$36,MAX(Premissas!$B$33,J505*Premissas!$B$34),J505*Premissas!$B$35)</f>
        <v/>
      </c>
      <c r="L505" s="24">
        <f>ROUND(J505+K505,2)</f>
        <v/>
      </c>
      <c r="M505" s="24">
        <f>D505*Premissas!$B$8+Premissas!$B$9+Premissas!$B$10+Premissas!$B$11+Premissas!$B$12+ROUND(Premissas!$B$13*E505,2)</f>
        <v/>
      </c>
      <c r="N505" s="25">
        <f>ROUNDUP((L505+M505-Premissas!$B$5*L505)/(1-Premissas!$B$6-Premissas!$B$7-Premissas!$B$5-Premissas!$B$14),2)</f>
        <v/>
      </c>
      <c r="O505" s="24">
        <f>ROUND(IF(N505&lt;=30000,N505*(1+Premissas!$B$21),N505+Premissas!$B$21*30000*SQRT(N505/30000)),2)</f>
        <v/>
      </c>
      <c r="P505" s="24">
        <f>N505-I505</f>
        <v/>
      </c>
      <c r="Q505" s="26">
        <f>P505/I505</f>
        <v/>
      </c>
      <c r="R505" s="26">
        <f>(I505-L505-Premissas!$B$5*(I505-L505)-(Premissas!$B$6+Premissas!$B$7)*I505-M505)/I505</f>
        <v/>
      </c>
      <c r="S505" s="24">
        <f>ROUND((CEILING((L505*Premissas!$B$19/Premissas!$B$20-97)/100,1)*100+97)*Premissas!$B$20,2)</f>
        <v/>
      </c>
    </row>
    <row r="506">
      <c r="A506" s="17" t="inlineStr">
        <is>
          <t>KIT 65 MOD. 620W + MICROINVERSOR HOYMILES 2,25KW</t>
        </is>
      </c>
      <c r="B506" s="17" t="inlineStr">
        <is>
          <t>HOYMILES</t>
        </is>
      </c>
      <c r="C506" s="17" t="inlineStr">
        <is>
          <t>Micro</t>
        </is>
      </c>
      <c r="D506" s="21" t="n">
        <v>65</v>
      </c>
      <c r="E506" s="30" t="n">
        <v>40.3</v>
      </c>
      <c r="F506" s="20" t="inlineStr">
        <is>
          <t>Microinversor HOYMILES 2,25kW</t>
        </is>
      </c>
      <c r="G506" s="21" t="n">
        <v>17</v>
      </c>
      <c r="H506" s="17" t="inlineStr">
        <is>
          <t>Sim</t>
        </is>
      </c>
      <c r="I506" s="23" t="n">
        <v>107096.79</v>
      </c>
      <c r="J506" s="24">
        <f>(D506*Premissas!$B$24+(2*ROUNDUP(D506/2,0))*Premissas!$B$26+INT((2*ROUNDUP(D506/2,0))/4)*Premissas!$B$27+MOD((2*ROUNDUP(D506/2,0)),4)/2*Premissas!$B$28+2*IF(D506&lt;=19,3*D506,IF(D506&lt;=50,ROUNDUP(2.5*D506,0),2*D506))*Premissas!$B$29+IF(C506="Micro",G506*(Premissas!$B$31+Premissas!$B$32+4*Premissas!$B$30),G506*(INDEX(Premissas!$B$40:$B$71,MATCH(F506,Premissas!$A$40:$A$71,0))+INDEX(Premissas!$C$40:$C$71,MATCH(F506,Premissas!$A$40:$A$71,0))*Premissas!$B$30)))</f>
        <v/>
      </c>
      <c r="K506" s="24">
        <f>IF(J506&lt;Premissas!$B$36,MAX(Premissas!$B$33,J506*Premissas!$B$34),J506*Premissas!$B$35)</f>
        <v/>
      </c>
      <c r="L506" s="24">
        <f>ROUND(J506+K506,2)</f>
        <v/>
      </c>
      <c r="M506" s="24">
        <f>D506*Premissas!$B$8+Premissas!$B$9+Premissas!$B$10+Premissas!$B$11+Premissas!$B$12+ROUND(Premissas!$B$13*E506,2)</f>
        <v/>
      </c>
      <c r="N506" s="25">
        <f>ROUNDUP((L506+M506-Premissas!$B$5*L506)/(1-Premissas!$B$6-Premissas!$B$7-Premissas!$B$5-Premissas!$B$14),2)</f>
        <v/>
      </c>
      <c r="O506" s="24">
        <f>ROUND(IF(N506&lt;=30000,N506*(1+Premissas!$B$21),N506+Premissas!$B$21*30000*SQRT(N506/30000)),2)</f>
        <v/>
      </c>
      <c r="P506" s="24">
        <f>N506-I506</f>
        <v/>
      </c>
      <c r="Q506" s="26">
        <f>P506/I506</f>
        <v/>
      </c>
      <c r="R506" s="26">
        <f>(I506-L506-Premissas!$B$5*(I506-L506)-(Premissas!$B$6+Premissas!$B$7)*I506-M506)/I506</f>
        <v/>
      </c>
      <c r="S506" s="24">
        <f>ROUND((CEILING((L506*Premissas!$B$19/Premissas!$B$20-97)/100,1)*100+97)*Premissas!$B$20,2)</f>
        <v/>
      </c>
    </row>
    <row r="507">
      <c r="A507" s="17" t="inlineStr">
        <is>
          <t>KIT 66 MOD. 620W + MICROINVERSOR HOYMILES 2,25KW</t>
        </is>
      </c>
      <c r="B507" s="17" t="inlineStr">
        <is>
          <t>HOYMILES</t>
        </is>
      </c>
      <c r="C507" s="17" t="inlineStr">
        <is>
          <t>Micro</t>
        </is>
      </c>
      <c r="D507" s="21" t="n">
        <v>66</v>
      </c>
      <c r="E507" s="30" t="n">
        <v>40.92</v>
      </c>
      <c r="F507" s="20" t="inlineStr">
        <is>
          <t>Microinversor HOYMILES 2,25kW</t>
        </is>
      </c>
      <c r="G507" s="21" t="n">
        <v>17</v>
      </c>
      <c r="H507" s="17" t="inlineStr">
        <is>
          <t>Sim</t>
        </is>
      </c>
      <c r="I507" s="23" t="n">
        <v>108167.79</v>
      </c>
      <c r="J507" s="24">
        <f>(D507*Premissas!$B$24+(2*ROUNDUP(D507/2,0))*Premissas!$B$26+INT((2*ROUNDUP(D507/2,0))/4)*Premissas!$B$27+MOD((2*ROUNDUP(D507/2,0)),4)/2*Premissas!$B$28+2*IF(D507&lt;=19,3*D507,IF(D507&lt;=50,ROUNDUP(2.5*D507,0),2*D507))*Premissas!$B$29+IF(C507="Micro",G507*(Premissas!$B$31+Premissas!$B$32+4*Premissas!$B$30),G507*(INDEX(Premissas!$B$40:$B$71,MATCH(F507,Premissas!$A$40:$A$71,0))+INDEX(Premissas!$C$40:$C$71,MATCH(F507,Premissas!$A$40:$A$71,0))*Premissas!$B$30)))</f>
        <v/>
      </c>
      <c r="K507" s="24">
        <f>IF(J507&lt;Premissas!$B$36,MAX(Premissas!$B$33,J507*Premissas!$B$34),J507*Premissas!$B$35)</f>
        <v/>
      </c>
      <c r="L507" s="24">
        <f>ROUND(J507+K507,2)</f>
        <v/>
      </c>
      <c r="M507" s="24">
        <f>D507*Premissas!$B$8+Premissas!$B$9+Premissas!$B$10+Premissas!$B$11+Premissas!$B$12+ROUND(Premissas!$B$13*E507,2)</f>
        <v/>
      </c>
      <c r="N507" s="25">
        <f>ROUNDUP((L507+M507-Premissas!$B$5*L507)/(1-Premissas!$B$6-Premissas!$B$7-Premissas!$B$5-Premissas!$B$14),2)</f>
        <v/>
      </c>
      <c r="O507" s="24">
        <f>ROUND(IF(N507&lt;=30000,N507*(1+Premissas!$B$21),N507+Premissas!$B$21*30000*SQRT(N507/30000)),2)</f>
        <v/>
      </c>
      <c r="P507" s="24">
        <f>N507-I507</f>
        <v/>
      </c>
      <c r="Q507" s="26">
        <f>P507/I507</f>
        <v/>
      </c>
      <c r="R507" s="26">
        <f>(I507-L507-Premissas!$B$5*(I507-L507)-(Premissas!$B$6+Premissas!$B$7)*I507-M507)/I507</f>
        <v/>
      </c>
      <c r="S507" s="24">
        <f>ROUND((CEILING((L507*Premissas!$B$19/Premissas!$B$20-97)/100,1)*100+97)*Premissas!$B$20,2)</f>
        <v/>
      </c>
    </row>
    <row r="508">
      <c r="A508" s="17" t="inlineStr">
        <is>
          <t>KIT 67 MOD. 620W + MICROINVERSOR HOYMILES 2,25KW</t>
        </is>
      </c>
      <c r="B508" s="17" t="inlineStr">
        <is>
          <t>HOYMILES</t>
        </is>
      </c>
      <c r="C508" s="17" t="inlineStr">
        <is>
          <t>Micro</t>
        </is>
      </c>
      <c r="D508" s="21" t="n">
        <v>67</v>
      </c>
      <c r="E508" s="30" t="n">
        <v>41.54</v>
      </c>
      <c r="F508" s="20" t="inlineStr">
        <is>
          <t>Microinversor HOYMILES 2,25kW</t>
        </is>
      </c>
      <c r="G508" s="21" t="n">
        <v>17</v>
      </c>
      <c r="H508" s="17" t="inlineStr">
        <is>
          <t>Sim</t>
        </is>
      </c>
      <c r="I508" s="23" t="n">
        <v>109452.99</v>
      </c>
      <c r="J508" s="24">
        <f>(D508*Premissas!$B$24+(2*ROUNDUP(D508/2,0))*Premissas!$B$26+INT((2*ROUNDUP(D508/2,0))/4)*Premissas!$B$27+MOD((2*ROUNDUP(D508/2,0)),4)/2*Premissas!$B$28+2*IF(D508&lt;=19,3*D508,IF(D508&lt;=50,ROUNDUP(2.5*D508,0),2*D508))*Premissas!$B$29+IF(C508="Micro",G508*(Premissas!$B$31+Premissas!$B$32+4*Premissas!$B$30),G508*(INDEX(Premissas!$B$40:$B$71,MATCH(F508,Premissas!$A$40:$A$71,0))+INDEX(Premissas!$C$40:$C$71,MATCH(F508,Premissas!$A$40:$A$71,0))*Premissas!$B$30)))</f>
        <v/>
      </c>
      <c r="K508" s="24">
        <f>IF(J508&lt;Premissas!$B$36,MAX(Premissas!$B$33,J508*Premissas!$B$34),J508*Premissas!$B$35)</f>
        <v/>
      </c>
      <c r="L508" s="24">
        <f>ROUND(J508+K508,2)</f>
        <v/>
      </c>
      <c r="M508" s="24">
        <f>D508*Premissas!$B$8+Premissas!$B$9+Premissas!$B$10+Premissas!$B$11+Premissas!$B$12+ROUND(Premissas!$B$13*E508,2)</f>
        <v/>
      </c>
      <c r="N508" s="25">
        <f>ROUNDUP((L508+M508-Premissas!$B$5*L508)/(1-Premissas!$B$6-Premissas!$B$7-Premissas!$B$5-Premissas!$B$14),2)</f>
        <v/>
      </c>
      <c r="O508" s="24">
        <f>ROUND(IF(N508&lt;=30000,N508*(1+Premissas!$B$21),N508+Premissas!$B$21*30000*SQRT(N508/30000)),2)</f>
        <v/>
      </c>
      <c r="P508" s="24">
        <f>N508-I508</f>
        <v/>
      </c>
      <c r="Q508" s="26">
        <f>P508/I508</f>
        <v/>
      </c>
      <c r="R508" s="26">
        <f>(I508-L508-Premissas!$B$5*(I508-L508)-(Premissas!$B$6+Premissas!$B$7)*I508-M508)/I508</f>
        <v/>
      </c>
      <c r="S508" s="24">
        <f>ROUND((CEILING((L508*Premissas!$B$19/Premissas!$B$20-97)/100,1)*100+97)*Premissas!$B$20,2)</f>
        <v/>
      </c>
    </row>
    <row r="509">
      <c r="A509" s="17" t="inlineStr">
        <is>
          <t>KIT 68 MOD. 620W + MICROINVERSOR HOYMILES 2,25KW</t>
        </is>
      </c>
      <c r="B509" s="17" t="inlineStr">
        <is>
          <t>HOYMILES</t>
        </is>
      </c>
      <c r="C509" s="17" t="inlineStr">
        <is>
          <t>Micro</t>
        </is>
      </c>
      <c r="D509" s="21" t="n">
        <v>68</v>
      </c>
      <c r="E509" s="30" t="n">
        <v>42.16</v>
      </c>
      <c r="F509" s="20" t="inlineStr">
        <is>
          <t>Microinversor HOYMILES 2,25kW</t>
        </is>
      </c>
      <c r="G509" s="21" t="n">
        <v>17</v>
      </c>
      <c r="H509" s="17" t="inlineStr">
        <is>
          <t>Sim</t>
        </is>
      </c>
      <c r="I509" s="23" t="n">
        <v>110523.99</v>
      </c>
      <c r="J509" s="24">
        <f>(D509*Premissas!$B$24+(2*ROUNDUP(D509/2,0))*Premissas!$B$26+INT((2*ROUNDUP(D509/2,0))/4)*Premissas!$B$27+MOD((2*ROUNDUP(D509/2,0)),4)/2*Premissas!$B$28+2*IF(D509&lt;=19,3*D509,IF(D509&lt;=50,ROUNDUP(2.5*D509,0),2*D509))*Premissas!$B$29+IF(C509="Micro",G509*(Premissas!$B$31+Premissas!$B$32+4*Premissas!$B$30),G509*(INDEX(Premissas!$B$40:$B$71,MATCH(F509,Premissas!$A$40:$A$71,0))+INDEX(Premissas!$C$40:$C$71,MATCH(F509,Premissas!$A$40:$A$71,0))*Premissas!$B$30)))</f>
        <v/>
      </c>
      <c r="K509" s="24">
        <f>IF(J509&lt;Premissas!$B$36,MAX(Premissas!$B$33,J509*Premissas!$B$34),J509*Premissas!$B$35)</f>
        <v/>
      </c>
      <c r="L509" s="24">
        <f>ROUND(J509+K509,2)</f>
        <v/>
      </c>
      <c r="M509" s="24">
        <f>D509*Premissas!$B$8+Premissas!$B$9+Premissas!$B$10+Premissas!$B$11+Premissas!$B$12+ROUND(Premissas!$B$13*E509,2)</f>
        <v/>
      </c>
      <c r="N509" s="25">
        <f>ROUNDUP((L509+M509-Premissas!$B$5*L509)/(1-Premissas!$B$6-Premissas!$B$7-Premissas!$B$5-Premissas!$B$14),2)</f>
        <v/>
      </c>
      <c r="O509" s="24">
        <f>ROUND(IF(N509&lt;=30000,N509*(1+Premissas!$B$21),N509+Premissas!$B$21*30000*SQRT(N509/30000)),2)</f>
        <v/>
      </c>
      <c r="P509" s="24">
        <f>N509-I509</f>
        <v/>
      </c>
      <c r="Q509" s="26">
        <f>P509/I509</f>
        <v/>
      </c>
      <c r="R509" s="26">
        <f>(I509-L509-Premissas!$B$5*(I509-L509)-(Premissas!$B$6+Premissas!$B$7)*I509-M509)/I509</f>
        <v/>
      </c>
      <c r="S509" s="24">
        <f>ROUND((CEILING((L509*Premissas!$B$19/Premissas!$B$20-97)/100,1)*100+97)*Premissas!$B$20,2)</f>
        <v/>
      </c>
    </row>
    <row r="510">
      <c r="A510" s="17" t="inlineStr">
        <is>
          <t>KIT 69 MOD. 620W + MICROINVERSOR HOYMILES 2,25KW</t>
        </is>
      </c>
      <c r="B510" s="17" t="inlineStr">
        <is>
          <t>HOYMILES</t>
        </is>
      </c>
      <c r="C510" s="17" t="inlineStr">
        <is>
          <t>Micro</t>
        </is>
      </c>
      <c r="D510" s="21" t="n">
        <v>69</v>
      </c>
      <c r="E510" s="30" t="n">
        <v>42.78</v>
      </c>
      <c r="F510" s="20" t="inlineStr">
        <is>
          <t>Microinversor HOYMILES 2,25kW</t>
        </is>
      </c>
      <c r="G510" s="21" t="n">
        <v>18</v>
      </c>
      <c r="H510" s="17" t="inlineStr">
        <is>
          <t>Sim</t>
        </is>
      </c>
      <c r="I510" s="23" t="n">
        <v>113629.89</v>
      </c>
      <c r="J510" s="24">
        <f>(D510*Premissas!$B$24+(2*ROUNDUP(D510/2,0))*Premissas!$B$26+INT((2*ROUNDUP(D510/2,0))/4)*Premissas!$B$27+MOD((2*ROUNDUP(D510/2,0)),4)/2*Premissas!$B$28+2*IF(D510&lt;=19,3*D510,IF(D510&lt;=50,ROUNDUP(2.5*D510,0),2*D510))*Premissas!$B$29+IF(C510="Micro",G510*(Premissas!$B$31+Premissas!$B$32+4*Premissas!$B$30),G510*(INDEX(Premissas!$B$40:$B$71,MATCH(F510,Premissas!$A$40:$A$71,0))+INDEX(Premissas!$C$40:$C$71,MATCH(F510,Premissas!$A$40:$A$71,0))*Premissas!$B$30)))</f>
        <v/>
      </c>
      <c r="K510" s="24">
        <f>IF(J510&lt;Premissas!$B$36,MAX(Premissas!$B$33,J510*Premissas!$B$34),J510*Premissas!$B$35)</f>
        <v/>
      </c>
      <c r="L510" s="24">
        <f>ROUND(J510+K510,2)</f>
        <v/>
      </c>
      <c r="M510" s="24">
        <f>D510*Premissas!$B$8+Premissas!$B$9+Premissas!$B$10+Premissas!$B$11+Premissas!$B$12+ROUND(Premissas!$B$13*E510,2)</f>
        <v/>
      </c>
      <c r="N510" s="25">
        <f>ROUNDUP((L510+M510-Premissas!$B$5*L510)/(1-Premissas!$B$6-Premissas!$B$7-Premissas!$B$5-Premissas!$B$14),2)</f>
        <v/>
      </c>
      <c r="O510" s="24">
        <f>ROUND(IF(N510&lt;=30000,N510*(1+Premissas!$B$21),N510+Premissas!$B$21*30000*SQRT(N510/30000)),2)</f>
        <v/>
      </c>
      <c r="P510" s="24">
        <f>N510-I510</f>
        <v/>
      </c>
      <c r="Q510" s="26">
        <f>P510/I510</f>
        <v/>
      </c>
      <c r="R510" s="26">
        <f>(I510-L510-Premissas!$B$5*(I510-L510)-(Premissas!$B$6+Premissas!$B$7)*I510-M510)/I510</f>
        <v/>
      </c>
      <c r="S510" s="24">
        <f>ROUND((CEILING((L510*Premissas!$B$19/Premissas!$B$20-97)/100,1)*100+97)*Premissas!$B$20,2)</f>
        <v/>
      </c>
    </row>
    <row r="511">
      <c r="A511" s="17" t="inlineStr">
        <is>
          <t>KIT 70 MOD. 620W + MICROINVERSOR HOYMILES 2,25KW</t>
        </is>
      </c>
      <c r="B511" s="17" t="inlineStr">
        <is>
          <t>HOYMILES</t>
        </is>
      </c>
      <c r="C511" s="17" t="inlineStr">
        <is>
          <t>Micro</t>
        </is>
      </c>
      <c r="D511" s="21" t="n">
        <v>70</v>
      </c>
      <c r="E511" s="30" t="n">
        <v>43.4</v>
      </c>
      <c r="F511" s="20" t="inlineStr">
        <is>
          <t>Microinversor HOYMILES 2,25kW</t>
        </is>
      </c>
      <c r="G511" s="21" t="n">
        <v>18</v>
      </c>
      <c r="H511" s="17" t="inlineStr">
        <is>
          <t>Sim</t>
        </is>
      </c>
      <c r="I511" s="23" t="n">
        <v>114700.89</v>
      </c>
      <c r="J511" s="24">
        <f>(D511*Premissas!$B$24+(2*ROUNDUP(D511/2,0))*Premissas!$B$26+INT((2*ROUNDUP(D511/2,0))/4)*Premissas!$B$27+MOD((2*ROUNDUP(D511/2,0)),4)/2*Premissas!$B$28+2*IF(D511&lt;=19,3*D511,IF(D511&lt;=50,ROUNDUP(2.5*D511,0),2*D511))*Premissas!$B$29+IF(C511="Micro",G511*(Premissas!$B$31+Premissas!$B$32+4*Premissas!$B$30),G511*(INDEX(Premissas!$B$40:$B$71,MATCH(F511,Premissas!$A$40:$A$71,0))+INDEX(Premissas!$C$40:$C$71,MATCH(F511,Premissas!$A$40:$A$71,0))*Premissas!$B$30)))</f>
        <v/>
      </c>
      <c r="K511" s="24">
        <f>IF(J511&lt;Premissas!$B$36,MAX(Premissas!$B$33,J511*Premissas!$B$34),J511*Premissas!$B$35)</f>
        <v/>
      </c>
      <c r="L511" s="24">
        <f>ROUND(J511+K511,2)</f>
        <v/>
      </c>
      <c r="M511" s="24">
        <f>D511*Premissas!$B$8+Premissas!$B$9+Premissas!$B$10+Premissas!$B$11+Premissas!$B$12+ROUND(Premissas!$B$13*E511,2)</f>
        <v/>
      </c>
      <c r="N511" s="25">
        <f>ROUNDUP((L511+M511-Premissas!$B$5*L511)/(1-Premissas!$B$6-Premissas!$B$7-Premissas!$B$5-Premissas!$B$14),2)</f>
        <v/>
      </c>
      <c r="O511" s="24">
        <f>ROUND(IF(N511&lt;=30000,N511*(1+Premissas!$B$21),N511+Premissas!$B$21*30000*SQRT(N511/30000)),2)</f>
        <v/>
      </c>
      <c r="P511" s="24">
        <f>N511-I511</f>
        <v/>
      </c>
      <c r="Q511" s="26">
        <f>P511/I511</f>
        <v/>
      </c>
      <c r="R511" s="26">
        <f>(I511-L511-Premissas!$B$5*(I511-L511)-(Premissas!$B$6+Premissas!$B$7)*I511-M511)/I511</f>
        <v/>
      </c>
      <c r="S511" s="24">
        <f>ROUND((CEILING((L511*Premissas!$B$19/Premissas!$B$20-97)/100,1)*100+97)*Premissas!$B$20,2)</f>
        <v/>
      </c>
    </row>
    <row r="512">
      <c r="A512" s="17" t="inlineStr">
        <is>
          <t>KIT 71 MOD. 620W + MICROINVERSOR HOYMILES 2,25KW</t>
        </is>
      </c>
      <c r="B512" s="17" t="inlineStr">
        <is>
          <t>HOYMILES</t>
        </is>
      </c>
      <c r="C512" s="17" t="inlineStr">
        <is>
          <t>Micro</t>
        </is>
      </c>
      <c r="D512" s="21" t="n">
        <v>71</v>
      </c>
      <c r="E512" s="30" t="n">
        <v>44.02</v>
      </c>
      <c r="F512" s="20" t="inlineStr">
        <is>
          <t>Microinversor HOYMILES 2,25kW</t>
        </is>
      </c>
      <c r="G512" s="21" t="n">
        <v>18</v>
      </c>
      <c r="H512" s="17" t="inlineStr">
        <is>
          <t>Sim</t>
        </is>
      </c>
      <c r="I512" s="23" t="n">
        <v>115986.09</v>
      </c>
      <c r="J512" s="24">
        <f>(D512*Premissas!$B$24+(2*ROUNDUP(D512/2,0))*Premissas!$B$26+INT((2*ROUNDUP(D512/2,0))/4)*Premissas!$B$27+MOD((2*ROUNDUP(D512/2,0)),4)/2*Premissas!$B$28+2*IF(D512&lt;=19,3*D512,IF(D512&lt;=50,ROUNDUP(2.5*D512,0),2*D512))*Premissas!$B$29+IF(C512="Micro",G512*(Premissas!$B$31+Premissas!$B$32+4*Premissas!$B$30),G512*(INDEX(Premissas!$B$40:$B$71,MATCH(F512,Premissas!$A$40:$A$71,0))+INDEX(Premissas!$C$40:$C$71,MATCH(F512,Premissas!$A$40:$A$71,0))*Premissas!$B$30)))</f>
        <v/>
      </c>
      <c r="K512" s="24">
        <f>IF(J512&lt;Premissas!$B$36,MAX(Premissas!$B$33,J512*Premissas!$B$34),J512*Premissas!$B$35)</f>
        <v/>
      </c>
      <c r="L512" s="24">
        <f>ROUND(J512+K512,2)</f>
        <v/>
      </c>
      <c r="M512" s="24">
        <f>D512*Premissas!$B$8+Premissas!$B$9+Premissas!$B$10+Premissas!$B$11+Premissas!$B$12+ROUND(Premissas!$B$13*E512,2)</f>
        <v/>
      </c>
      <c r="N512" s="25">
        <f>ROUNDUP((L512+M512-Premissas!$B$5*L512)/(1-Premissas!$B$6-Premissas!$B$7-Premissas!$B$5-Premissas!$B$14),2)</f>
        <v/>
      </c>
      <c r="O512" s="24">
        <f>ROUND(IF(N512&lt;=30000,N512*(1+Premissas!$B$21),N512+Premissas!$B$21*30000*SQRT(N512/30000)),2)</f>
        <v/>
      </c>
      <c r="P512" s="24">
        <f>N512-I512</f>
        <v/>
      </c>
      <c r="Q512" s="26">
        <f>P512/I512</f>
        <v/>
      </c>
      <c r="R512" s="26">
        <f>(I512-L512-Premissas!$B$5*(I512-L512)-(Premissas!$B$6+Premissas!$B$7)*I512-M512)/I512</f>
        <v/>
      </c>
      <c r="S512" s="24">
        <f>ROUND((CEILING((L512*Premissas!$B$19/Premissas!$B$20-97)/100,1)*100+97)*Premissas!$B$20,2)</f>
        <v/>
      </c>
    </row>
    <row r="513">
      <c r="A513" s="17" t="inlineStr">
        <is>
          <t>KIT 72 MOD. 620W + MICROINVERSOR HOYMILES 2,25KW</t>
        </is>
      </c>
      <c r="B513" s="17" t="inlineStr">
        <is>
          <t>HOYMILES</t>
        </is>
      </c>
      <c r="C513" s="17" t="inlineStr">
        <is>
          <t>Micro</t>
        </is>
      </c>
      <c r="D513" s="21" t="n">
        <v>72</v>
      </c>
      <c r="E513" s="30" t="n">
        <v>44.64</v>
      </c>
      <c r="F513" s="20" t="inlineStr">
        <is>
          <t>Microinversor HOYMILES 2,25kW</t>
        </is>
      </c>
      <c r="G513" s="21" t="n">
        <v>18</v>
      </c>
      <c r="H513" s="17" t="inlineStr">
        <is>
          <t>Sim</t>
        </is>
      </c>
      <c r="I513" s="23" t="n">
        <v>116949.99</v>
      </c>
      <c r="J513" s="24">
        <f>(D513*Premissas!$B$24+(2*ROUNDUP(D513/2,0))*Premissas!$B$26+INT((2*ROUNDUP(D513/2,0))/4)*Premissas!$B$27+MOD((2*ROUNDUP(D513/2,0)),4)/2*Premissas!$B$28+2*IF(D513&lt;=19,3*D513,IF(D513&lt;=50,ROUNDUP(2.5*D513,0),2*D513))*Premissas!$B$29+IF(C513="Micro",G513*(Premissas!$B$31+Premissas!$B$32+4*Premissas!$B$30),G513*(INDEX(Premissas!$B$40:$B$71,MATCH(F513,Premissas!$A$40:$A$71,0))+INDEX(Premissas!$C$40:$C$71,MATCH(F513,Premissas!$A$40:$A$71,0))*Premissas!$B$30)))</f>
        <v/>
      </c>
      <c r="K513" s="24">
        <f>IF(J513&lt;Premissas!$B$36,MAX(Premissas!$B$33,J513*Premissas!$B$34),J513*Premissas!$B$35)</f>
        <v/>
      </c>
      <c r="L513" s="24">
        <f>ROUND(J513+K513,2)</f>
        <v/>
      </c>
      <c r="M513" s="24">
        <f>D513*Premissas!$B$8+Premissas!$B$9+Premissas!$B$10+Premissas!$B$11+Premissas!$B$12+ROUND(Premissas!$B$13*E513,2)</f>
        <v/>
      </c>
      <c r="N513" s="25">
        <f>ROUNDUP((L513+M513-Premissas!$B$5*L513)/(1-Premissas!$B$6-Premissas!$B$7-Premissas!$B$5-Premissas!$B$14),2)</f>
        <v/>
      </c>
      <c r="O513" s="24">
        <f>ROUND(IF(N513&lt;=30000,N513*(1+Premissas!$B$21),N513+Premissas!$B$21*30000*SQRT(N513/30000)),2)</f>
        <v/>
      </c>
      <c r="P513" s="24">
        <f>N513-I513</f>
        <v/>
      </c>
      <c r="Q513" s="26">
        <f>P513/I513</f>
        <v/>
      </c>
      <c r="R513" s="26">
        <f>(I513-L513-Premissas!$B$5*(I513-L513)-(Premissas!$B$6+Premissas!$B$7)*I513-M513)/I513</f>
        <v/>
      </c>
      <c r="S513" s="24">
        <f>ROUND((CEILING((L513*Premissas!$B$19/Premissas!$B$20-97)/100,1)*100+97)*Premissas!$B$20,2)</f>
        <v/>
      </c>
    </row>
    <row r="514">
      <c r="A514" s="17" t="inlineStr">
        <is>
          <t>KIT 73 MOD. 620W + MICROINVERSOR HOYMILES 2,25KW</t>
        </is>
      </c>
      <c r="B514" s="17" t="inlineStr">
        <is>
          <t>HOYMILES</t>
        </is>
      </c>
      <c r="C514" s="17" t="inlineStr">
        <is>
          <t>Micro</t>
        </is>
      </c>
      <c r="D514" s="21" t="n">
        <v>73</v>
      </c>
      <c r="E514" s="30" t="n">
        <v>45.26</v>
      </c>
      <c r="F514" s="20" t="inlineStr">
        <is>
          <t>Microinversor HOYMILES 2,25kW</t>
        </is>
      </c>
      <c r="G514" s="21" t="n">
        <v>19</v>
      </c>
      <c r="H514" s="17" t="inlineStr">
        <is>
          <t>Sim</t>
        </is>
      </c>
      <c r="I514" s="23" t="n">
        <v>120162.99</v>
      </c>
      <c r="J514" s="24">
        <f>(D514*Premissas!$B$24+(2*ROUNDUP(D514/2,0))*Premissas!$B$26+INT((2*ROUNDUP(D514/2,0))/4)*Premissas!$B$27+MOD((2*ROUNDUP(D514/2,0)),4)/2*Premissas!$B$28+2*IF(D514&lt;=19,3*D514,IF(D514&lt;=50,ROUNDUP(2.5*D514,0),2*D514))*Premissas!$B$29+IF(C514="Micro",G514*(Premissas!$B$31+Premissas!$B$32+4*Premissas!$B$30),G514*(INDEX(Premissas!$B$40:$B$71,MATCH(F514,Premissas!$A$40:$A$71,0))+INDEX(Premissas!$C$40:$C$71,MATCH(F514,Premissas!$A$40:$A$71,0))*Premissas!$B$30)))</f>
        <v/>
      </c>
      <c r="K514" s="24">
        <f>IF(J514&lt;Premissas!$B$36,MAX(Premissas!$B$33,J514*Premissas!$B$34),J514*Premissas!$B$35)</f>
        <v/>
      </c>
      <c r="L514" s="24">
        <f>ROUND(J514+K514,2)</f>
        <v/>
      </c>
      <c r="M514" s="24">
        <f>D514*Premissas!$B$8+Premissas!$B$9+Premissas!$B$10+Premissas!$B$11+Premissas!$B$12+ROUND(Premissas!$B$13*E514,2)</f>
        <v/>
      </c>
      <c r="N514" s="25">
        <f>ROUNDUP((L514+M514-Premissas!$B$5*L514)/(1-Premissas!$B$6-Premissas!$B$7-Premissas!$B$5-Premissas!$B$14),2)</f>
        <v/>
      </c>
      <c r="O514" s="24">
        <f>ROUND(IF(N514&lt;=30000,N514*(1+Premissas!$B$21),N514+Premissas!$B$21*30000*SQRT(N514/30000)),2)</f>
        <v/>
      </c>
      <c r="P514" s="24">
        <f>N514-I514</f>
        <v/>
      </c>
      <c r="Q514" s="26">
        <f>P514/I514</f>
        <v/>
      </c>
      <c r="R514" s="26">
        <f>(I514-L514-Premissas!$B$5*(I514-L514)-(Premissas!$B$6+Premissas!$B$7)*I514-M514)/I514</f>
        <v/>
      </c>
      <c r="S514" s="24">
        <f>ROUND((CEILING((L514*Premissas!$B$19/Premissas!$B$20-97)/100,1)*100+97)*Premissas!$B$20,2)</f>
        <v/>
      </c>
    </row>
    <row r="515">
      <c r="A515" s="17" t="inlineStr">
        <is>
          <t>KIT 74 MOD. 620W + MICROINVERSOR HOYMILES 2,25KW</t>
        </is>
      </c>
      <c r="B515" s="17" t="inlineStr">
        <is>
          <t>HOYMILES</t>
        </is>
      </c>
      <c r="C515" s="17" t="inlineStr">
        <is>
          <t>Micro</t>
        </is>
      </c>
      <c r="D515" s="21" t="n">
        <v>74</v>
      </c>
      <c r="E515" s="30" t="n">
        <v>45.88</v>
      </c>
      <c r="F515" s="20" t="inlineStr">
        <is>
          <t>Microinversor HOYMILES 2,25kW</t>
        </is>
      </c>
      <c r="G515" s="21" t="n">
        <v>19</v>
      </c>
      <c r="H515" s="17" t="inlineStr">
        <is>
          <t>Sim</t>
        </is>
      </c>
      <c r="I515" s="23" t="n">
        <v>121126.89</v>
      </c>
      <c r="J515" s="24">
        <f>(D515*Premissas!$B$24+(2*ROUNDUP(D515/2,0))*Premissas!$B$26+INT((2*ROUNDUP(D515/2,0))/4)*Premissas!$B$27+MOD((2*ROUNDUP(D515/2,0)),4)/2*Premissas!$B$28+2*IF(D515&lt;=19,3*D515,IF(D515&lt;=50,ROUNDUP(2.5*D515,0),2*D515))*Premissas!$B$29+IF(C515="Micro",G515*(Premissas!$B$31+Premissas!$B$32+4*Premissas!$B$30),G515*(INDEX(Premissas!$B$40:$B$71,MATCH(F515,Premissas!$A$40:$A$71,0))+INDEX(Premissas!$C$40:$C$71,MATCH(F515,Premissas!$A$40:$A$71,0))*Premissas!$B$30)))</f>
        <v/>
      </c>
      <c r="K515" s="24">
        <f>IF(J515&lt;Premissas!$B$36,MAX(Premissas!$B$33,J515*Premissas!$B$34),J515*Premissas!$B$35)</f>
        <v/>
      </c>
      <c r="L515" s="24">
        <f>ROUND(J515+K515,2)</f>
        <v/>
      </c>
      <c r="M515" s="24">
        <f>D515*Premissas!$B$8+Premissas!$B$9+Premissas!$B$10+Premissas!$B$11+Premissas!$B$12+ROUND(Premissas!$B$13*E515,2)</f>
        <v/>
      </c>
      <c r="N515" s="25">
        <f>ROUNDUP((L515+M515-Premissas!$B$5*L515)/(1-Premissas!$B$6-Premissas!$B$7-Premissas!$B$5-Premissas!$B$14),2)</f>
        <v/>
      </c>
      <c r="O515" s="24">
        <f>ROUND(IF(N515&lt;=30000,N515*(1+Premissas!$B$21),N515+Premissas!$B$21*30000*SQRT(N515/30000)),2)</f>
        <v/>
      </c>
      <c r="P515" s="24">
        <f>N515-I515</f>
        <v/>
      </c>
      <c r="Q515" s="26">
        <f>P515/I515</f>
        <v/>
      </c>
      <c r="R515" s="26">
        <f>(I515-L515-Premissas!$B$5*(I515-L515)-(Premissas!$B$6+Premissas!$B$7)*I515-M515)/I515</f>
        <v/>
      </c>
      <c r="S515" s="24">
        <f>ROUND((CEILING((L515*Premissas!$B$19/Premissas!$B$20-97)/100,1)*100+97)*Premissas!$B$20,2)</f>
        <v/>
      </c>
    </row>
    <row r="516">
      <c r="A516" s="17" t="inlineStr">
        <is>
          <t>KIT 75 MOD. 620W + MICROINVERSOR HOYMILES 2,25KW</t>
        </is>
      </c>
      <c r="B516" s="17" t="inlineStr">
        <is>
          <t>HOYMILES</t>
        </is>
      </c>
      <c r="C516" s="17" t="inlineStr">
        <is>
          <t>Micro</t>
        </is>
      </c>
      <c r="D516" s="21" t="n">
        <v>75</v>
      </c>
      <c r="E516" s="30" t="n">
        <v>46.5</v>
      </c>
      <c r="F516" s="20" t="inlineStr">
        <is>
          <t>Microinversor HOYMILES 2,25kW</t>
        </is>
      </c>
      <c r="G516" s="21" t="n">
        <v>19</v>
      </c>
      <c r="H516" s="17" t="inlineStr">
        <is>
          <t>Sim</t>
        </is>
      </c>
      <c r="I516" s="23" t="n">
        <v>122412.09</v>
      </c>
      <c r="J516" s="24">
        <f>(D516*Premissas!$B$24+(2*ROUNDUP(D516/2,0))*Premissas!$B$26+INT((2*ROUNDUP(D516/2,0))/4)*Premissas!$B$27+MOD((2*ROUNDUP(D516/2,0)),4)/2*Premissas!$B$28+2*IF(D516&lt;=19,3*D516,IF(D516&lt;=50,ROUNDUP(2.5*D516,0),2*D516))*Premissas!$B$29+IF(C516="Micro",G516*(Premissas!$B$31+Premissas!$B$32+4*Premissas!$B$30),G516*(INDEX(Premissas!$B$40:$B$71,MATCH(F516,Premissas!$A$40:$A$71,0))+INDEX(Premissas!$C$40:$C$71,MATCH(F516,Premissas!$A$40:$A$71,0))*Premissas!$B$30)))</f>
        <v/>
      </c>
      <c r="K516" s="24">
        <f>IF(J516&lt;Premissas!$B$36,MAX(Premissas!$B$33,J516*Premissas!$B$34),J516*Premissas!$B$35)</f>
        <v/>
      </c>
      <c r="L516" s="24">
        <f>ROUND(J516+K516,2)</f>
        <v/>
      </c>
      <c r="M516" s="24">
        <f>D516*Premissas!$B$8+Premissas!$B$9+Premissas!$B$10+Premissas!$B$11+Premissas!$B$12+ROUND(Premissas!$B$13*E516,2)</f>
        <v/>
      </c>
      <c r="N516" s="25">
        <f>ROUNDUP((L516+M516-Premissas!$B$5*L516)/(1-Premissas!$B$6-Premissas!$B$7-Premissas!$B$5-Premissas!$B$14),2)</f>
        <v/>
      </c>
      <c r="O516" s="24">
        <f>ROUND(IF(N516&lt;=30000,N516*(1+Premissas!$B$21),N516+Premissas!$B$21*30000*SQRT(N516/30000)),2)</f>
        <v/>
      </c>
      <c r="P516" s="24">
        <f>N516-I516</f>
        <v/>
      </c>
      <c r="Q516" s="26">
        <f>P516/I516</f>
        <v/>
      </c>
      <c r="R516" s="26">
        <f>(I516-L516-Premissas!$B$5*(I516-L516)-(Premissas!$B$6+Premissas!$B$7)*I516-M516)/I516</f>
        <v/>
      </c>
      <c r="S516" s="24">
        <f>ROUND((CEILING((L516*Premissas!$B$19/Premissas!$B$20-97)/100,1)*100+97)*Premissas!$B$20,2)</f>
        <v/>
      </c>
    </row>
    <row r="517">
      <c r="A517" s="17" t="inlineStr">
        <is>
          <t>KIT 76 MOD. 620W + MICROINVERSOR HOYMILES 2,25KW</t>
        </is>
      </c>
      <c r="B517" s="17" t="inlineStr">
        <is>
          <t>HOYMILES</t>
        </is>
      </c>
      <c r="C517" s="17" t="inlineStr">
        <is>
          <t>Micro</t>
        </is>
      </c>
      <c r="D517" s="21" t="n">
        <v>76</v>
      </c>
      <c r="E517" s="30" t="n">
        <v>47.12</v>
      </c>
      <c r="F517" s="20" t="inlineStr">
        <is>
          <t>Microinversor HOYMILES 2,25kW</t>
        </is>
      </c>
      <c r="G517" s="21" t="n">
        <v>19</v>
      </c>
      <c r="H517" s="17" t="inlineStr">
        <is>
          <t>Sim</t>
        </is>
      </c>
      <c r="I517" s="23" t="n">
        <v>123483.09</v>
      </c>
      <c r="J517" s="24">
        <f>(D517*Premissas!$B$24+(2*ROUNDUP(D517/2,0))*Premissas!$B$26+INT((2*ROUNDUP(D517/2,0))/4)*Premissas!$B$27+MOD((2*ROUNDUP(D517/2,0)),4)/2*Premissas!$B$28+2*IF(D517&lt;=19,3*D517,IF(D517&lt;=50,ROUNDUP(2.5*D517,0),2*D517))*Premissas!$B$29+IF(C517="Micro",G517*(Premissas!$B$31+Premissas!$B$32+4*Premissas!$B$30),G517*(INDEX(Premissas!$B$40:$B$71,MATCH(F517,Premissas!$A$40:$A$71,0))+INDEX(Premissas!$C$40:$C$71,MATCH(F517,Premissas!$A$40:$A$71,0))*Premissas!$B$30)))</f>
        <v/>
      </c>
      <c r="K517" s="24">
        <f>IF(J517&lt;Premissas!$B$36,MAX(Premissas!$B$33,J517*Premissas!$B$34),J517*Premissas!$B$35)</f>
        <v/>
      </c>
      <c r="L517" s="24">
        <f>ROUND(J517+K517,2)</f>
        <v/>
      </c>
      <c r="M517" s="24">
        <f>D517*Premissas!$B$8+Premissas!$B$9+Premissas!$B$10+Premissas!$B$11+Premissas!$B$12+ROUND(Premissas!$B$13*E517,2)</f>
        <v/>
      </c>
      <c r="N517" s="25">
        <f>ROUNDUP((L517+M517-Premissas!$B$5*L517)/(1-Premissas!$B$6-Premissas!$B$7-Premissas!$B$5-Premissas!$B$14),2)</f>
        <v/>
      </c>
      <c r="O517" s="24">
        <f>ROUND(IF(N517&lt;=30000,N517*(1+Premissas!$B$21),N517+Premissas!$B$21*30000*SQRT(N517/30000)),2)</f>
        <v/>
      </c>
      <c r="P517" s="24">
        <f>N517-I517</f>
        <v/>
      </c>
      <c r="Q517" s="26">
        <f>P517/I517</f>
        <v/>
      </c>
      <c r="R517" s="26">
        <f>(I517-L517-Premissas!$B$5*(I517-L517)-(Premissas!$B$6+Premissas!$B$7)*I517-M517)/I517</f>
        <v/>
      </c>
      <c r="S517" s="24">
        <f>ROUND((CEILING((L517*Premissas!$B$19/Premissas!$B$20-97)/100,1)*100+97)*Premissas!$B$20,2)</f>
        <v/>
      </c>
    </row>
    <row r="518">
      <c r="A518" s="17" t="inlineStr">
        <is>
          <t>KIT 77 MOD. 620W + MICROINVERSOR HOYMILES 2,25KW</t>
        </is>
      </c>
      <c r="B518" s="17" t="inlineStr">
        <is>
          <t>HOYMILES</t>
        </is>
      </c>
      <c r="C518" s="17" t="inlineStr">
        <is>
          <t>Micro</t>
        </is>
      </c>
      <c r="D518" s="21" t="n">
        <v>77</v>
      </c>
      <c r="E518" s="30" t="n">
        <v>47.74</v>
      </c>
      <c r="F518" s="20" t="inlineStr">
        <is>
          <t>Microinversor HOYMILES 2,25kW</t>
        </is>
      </c>
      <c r="G518" s="21" t="n">
        <v>20</v>
      </c>
      <c r="H518" s="17" t="inlineStr">
        <is>
          <t>Sim</t>
        </is>
      </c>
      <c r="I518" s="23" t="n">
        <v>126588.99</v>
      </c>
      <c r="J518" s="24">
        <f>(D518*Premissas!$B$24+(2*ROUNDUP(D518/2,0))*Premissas!$B$26+INT((2*ROUNDUP(D518/2,0))/4)*Premissas!$B$27+MOD((2*ROUNDUP(D518/2,0)),4)/2*Premissas!$B$28+2*IF(D518&lt;=19,3*D518,IF(D518&lt;=50,ROUNDUP(2.5*D518,0),2*D518))*Premissas!$B$29+IF(C518="Micro",G518*(Premissas!$B$31+Premissas!$B$32+4*Premissas!$B$30),G518*(INDEX(Premissas!$B$40:$B$71,MATCH(F518,Premissas!$A$40:$A$71,0))+INDEX(Premissas!$C$40:$C$71,MATCH(F518,Premissas!$A$40:$A$71,0))*Premissas!$B$30)))</f>
        <v/>
      </c>
      <c r="K518" s="24">
        <f>IF(J518&lt;Premissas!$B$36,MAX(Premissas!$B$33,J518*Premissas!$B$34),J518*Premissas!$B$35)</f>
        <v/>
      </c>
      <c r="L518" s="24">
        <f>ROUND(J518+K518,2)</f>
        <v/>
      </c>
      <c r="M518" s="24">
        <f>D518*Premissas!$B$8+Premissas!$B$9+Premissas!$B$10+Premissas!$B$11+Premissas!$B$12+ROUND(Premissas!$B$13*E518,2)</f>
        <v/>
      </c>
      <c r="N518" s="25">
        <f>ROUNDUP((L518+M518-Premissas!$B$5*L518)/(1-Premissas!$B$6-Premissas!$B$7-Premissas!$B$5-Premissas!$B$14),2)</f>
        <v/>
      </c>
      <c r="O518" s="24">
        <f>ROUND(IF(N518&lt;=30000,N518*(1+Premissas!$B$21),N518+Premissas!$B$21*30000*SQRT(N518/30000)),2)</f>
        <v/>
      </c>
      <c r="P518" s="24">
        <f>N518-I518</f>
        <v/>
      </c>
      <c r="Q518" s="26">
        <f>P518/I518</f>
        <v/>
      </c>
      <c r="R518" s="26">
        <f>(I518-L518-Premissas!$B$5*(I518-L518)-(Premissas!$B$6+Premissas!$B$7)*I518-M518)/I518</f>
        <v/>
      </c>
      <c r="S518" s="24">
        <f>ROUND((CEILING((L518*Premissas!$B$19/Premissas!$B$20-97)/100,1)*100+97)*Premissas!$B$20,2)</f>
        <v/>
      </c>
    </row>
    <row r="519">
      <c r="A519" s="17" t="inlineStr">
        <is>
          <t>KIT 78 MOD. 620W + MICROINVERSOR HOYMILES 2,25KW</t>
        </is>
      </c>
      <c r="B519" s="17" t="inlineStr">
        <is>
          <t>HOYMILES</t>
        </is>
      </c>
      <c r="C519" s="17" t="inlineStr">
        <is>
          <t>Micro</t>
        </is>
      </c>
      <c r="D519" s="21" t="n">
        <v>78</v>
      </c>
      <c r="E519" s="30" t="n">
        <v>48.36</v>
      </c>
      <c r="F519" s="20" t="inlineStr">
        <is>
          <t>Microinversor HOYMILES 2,25kW</t>
        </is>
      </c>
      <c r="G519" s="21" t="n">
        <v>20</v>
      </c>
      <c r="H519" s="17" t="inlineStr">
        <is>
          <t>Sim</t>
        </is>
      </c>
      <c r="I519" s="23" t="n">
        <v>127659.99</v>
      </c>
      <c r="J519" s="24">
        <f>(D519*Premissas!$B$24+(2*ROUNDUP(D519/2,0))*Premissas!$B$26+INT((2*ROUNDUP(D519/2,0))/4)*Premissas!$B$27+MOD((2*ROUNDUP(D519/2,0)),4)/2*Premissas!$B$28+2*IF(D519&lt;=19,3*D519,IF(D519&lt;=50,ROUNDUP(2.5*D519,0),2*D519))*Premissas!$B$29+IF(C519="Micro",G519*(Premissas!$B$31+Premissas!$B$32+4*Premissas!$B$30),G519*(INDEX(Premissas!$B$40:$B$71,MATCH(F519,Premissas!$A$40:$A$71,0))+INDEX(Premissas!$C$40:$C$71,MATCH(F519,Premissas!$A$40:$A$71,0))*Premissas!$B$30)))</f>
        <v/>
      </c>
      <c r="K519" s="24">
        <f>IF(J519&lt;Premissas!$B$36,MAX(Premissas!$B$33,J519*Premissas!$B$34),J519*Premissas!$B$35)</f>
        <v/>
      </c>
      <c r="L519" s="24">
        <f>ROUND(J519+K519,2)</f>
        <v/>
      </c>
      <c r="M519" s="24">
        <f>D519*Premissas!$B$8+Premissas!$B$9+Premissas!$B$10+Premissas!$B$11+Premissas!$B$12+ROUND(Premissas!$B$13*E519,2)</f>
        <v/>
      </c>
      <c r="N519" s="25">
        <f>ROUNDUP((L519+M519-Premissas!$B$5*L519)/(1-Premissas!$B$6-Premissas!$B$7-Premissas!$B$5-Premissas!$B$14),2)</f>
        <v/>
      </c>
      <c r="O519" s="24">
        <f>ROUND(IF(N519&lt;=30000,N519*(1+Premissas!$B$21),N519+Premissas!$B$21*30000*SQRT(N519/30000)),2)</f>
        <v/>
      </c>
      <c r="P519" s="24">
        <f>N519-I519</f>
        <v/>
      </c>
      <c r="Q519" s="26">
        <f>P519/I519</f>
        <v/>
      </c>
      <c r="R519" s="26">
        <f>(I519-L519-Premissas!$B$5*(I519-L519)-(Premissas!$B$6+Premissas!$B$7)*I519-M519)/I519</f>
        <v/>
      </c>
      <c r="S519" s="24">
        <f>ROUND((CEILING((L519*Premissas!$B$19/Premissas!$B$20-97)/100,1)*100+97)*Premissas!$B$20,2)</f>
        <v/>
      </c>
    </row>
    <row r="520">
      <c r="A520" s="17" t="inlineStr">
        <is>
          <t>KIT 79 MOD. 620W + MICROINVERSOR HOYMILES 2,25KW</t>
        </is>
      </c>
      <c r="B520" s="17" t="inlineStr">
        <is>
          <t>HOYMILES</t>
        </is>
      </c>
      <c r="C520" s="17" t="inlineStr">
        <is>
          <t>Micro</t>
        </is>
      </c>
      <c r="D520" s="21" t="n">
        <v>79</v>
      </c>
      <c r="E520" s="30" t="n">
        <v>48.98</v>
      </c>
      <c r="F520" s="20" t="inlineStr">
        <is>
          <t>Microinversor HOYMILES 2,25kW</t>
        </is>
      </c>
      <c r="G520" s="21" t="n">
        <v>20</v>
      </c>
      <c r="H520" s="17" t="inlineStr">
        <is>
          <t>Sim</t>
        </is>
      </c>
      <c r="I520" s="23" t="n">
        <v>128945.19</v>
      </c>
      <c r="J520" s="24">
        <f>(D520*Premissas!$B$24+(2*ROUNDUP(D520/2,0))*Premissas!$B$26+INT((2*ROUNDUP(D520/2,0))/4)*Premissas!$B$27+MOD((2*ROUNDUP(D520/2,0)),4)/2*Premissas!$B$28+2*IF(D520&lt;=19,3*D520,IF(D520&lt;=50,ROUNDUP(2.5*D520,0),2*D520))*Premissas!$B$29+IF(C520="Micro",G520*(Premissas!$B$31+Premissas!$B$32+4*Premissas!$B$30),G520*(INDEX(Premissas!$B$40:$B$71,MATCH(F520,Premissas!$A$40:$A$71,0))+INDEX(Premissas!$C$40:$C$71,MATCH(F520,Premissas!$A$40:$A$71,0))*Premissas!$B$30)))</f>
        <v/>
      </c>
      <c r="K520" s="24">
        <f>IF(J520&lt;Premissas!$B$36,MAX(Premissas!$B$33,J520*Premissas!$B$34),J520*Premissas!$B$35)</f>
        <v/>
      </c>
      <c r="L520" s="24">
        <f>ROUND(J520+K520,2)</f>
        <v/>
      </c>
      <c r="M520" s="24">
        <f>D520*Premissas!$B$8+Premissas!$B$9+Premissas!$B$10+Premissas!$B$11+Premissas!$B$12+ROUND(Premissas!$B$13*E520,2)</f>
        <v/>
      </c>
      <c r="N520" s="25">
        <f>ROUNDUP((L520+M520-Premissas!$B$5*L520)/(1-Premissas!$B$6-Premissas!$B$7-Premissas!$B$5-Premissas!$B$14),2)</f>
        <v/>
      </c>
      <c r="O520" s="24">
        <f>ROUND(IF(N520&lt;=30000,N520*(1+Premissas!$B$21),N520+Premissas!$B$21*30000*SQRT(N520/30000)),2)</f>
        <v/>
      </c>
      <c r="P520" s="24">
        <f>N520-I520</f>
        <v/>
      </c>
      <c r="Q520" s="26">
        <f>P520/I520</f>
        <v/>
      </c>
      <c r="R520" s="26">
        <f>(I520-L520-Premissas!$B$5*(I520-L520)-(Premissas!$B$6+Premissas!$B$7)*I520-M520)/I520</f>
        <v/>
      </c>
      <c r="S520" s="24">
        <f>ROUND((CEILING((L520*Premissas!$B$19/Premissas!$B$20-97)/100,1)*100+97)*Premissas!$B$20,2)</f>
        <v/>
      </c>
    </row>
    <row r="521">
      <c r="A521" s="17" t="inlineStr">
        <is>
          <t>KIT 80 MOD. 620W + MICROINVERSOR HOYMILES 2,25KW</t>
        </is>
      </c>
      <c r="B521" s="17" t="inlineStr">
        <is>
          <t>HOYMILES</t>
        </is>
      </c>
      <c r="C521" s="17" t="inlineStr">
        <is>
          <t>Micro</t>
        </is>
      </c>
      <c r="D521" s="21" t="n">
        <v>80</v>
      </c>
      <c r="E521" s="30" t="n">
        <v>49.6</v>
      </c>
      <c r="F521" s="20" t="inlineStr">
        <is>
          <t>Microinversor HOYMILES 2,25kW</t>
        </is>
      </c>
      <c r="G521" s="21" t="n">
        <v>20</v>
      </c>
      <c r="H521" s="17" t="inlineStr">
        <is>
          <t>Sim</t>
        </is>
      </c>
      <c r="I521" s="23" t="n">
        <v>130016.19</v>
      </c>
      <c r="J521" s="24">
        <f>(D521*Premissas!$B$24+(2*ROUNDUP(D521/2,0))*Premissas!$B$26+INT((2*ROUNDUP(D521/2,0))/4)*Premissas!$B$27+MOD((2*ROUNDUP(D521/2,0)),4)/2*Premissas!$B$28+2*IF(D521&lt;=19,3*D521,IF(D521&lt;=50,ROUNDUP(2.5*D521,0),2*D521))*Premissas!$B$29+IF(C521="Micro",G521*(Premissas!$B$31+Premissas!$B$32+4*Premissas!$B$30),G521*(INDEX(Premissas!$B$40:$B$71,MATCH(F521,Premissas!$A$40:$A$71,0))+INDEX(Premissas!$C$40:$C$71,MATCH(F521,Premissas!$A$40:$A$71,0))*Premissas!$B$30)))</f>
        <v/>
      </c>
      <c r="K521" s="24">
        <f>IF(J521&lt;Premissas!$B$36,MAX(Premissas!$B$33,J521*Premissas!$B$34),J521*Premissas!$B$35)</f>
        <v/>
      </c>
      <c r="L521" s="24">
        <f>ROUND(J521+K521,2)</f>
        <v/>
      </c>
      <c r="M521" s="24">
        <f>D521*Premissas!$B$8+Premissas!$B$9+Premissas!$B$10+Premissas!$B$11+Premissas!$B$12+ROUND(Premissas!$B$13*E521,2)</f>
        <v/>
      </c>
      <c r="N521" s="25">
        <f>ROUNDUP((L521+M521-Premissas!$B$5*L521)/(1-Premissas!$B$6-Premissas!$B$7-Premissas!$B$5-Premissas!$B$14),2)</f>
        <v/>
      </c>
      <c r="O521" s="24">
        <f>ROUND(IF(N521&lt;=30000,N521*(1+Premissas!$B$21),N521+Premissas!$B$21*30000*SQRT(N521/30000)),2)</f>
        <v/>
      </c>
      <c r="P521" s="24">
        <f>N521-I521</f>
        <v/>
      </c>
      <c r="Q521" s="26">
        <f>P521/I521</f>
        <v/>
      </c>
      <c r="R521" s="26">
        <f>(I521-L521-Premissas!$B$5*(I521-L521)-(Premissas!$B$6+Premissas!$B$7)*I521-M521)/I521</f>
        <v/>
      </c>
      <c r="S521" s="24">
        <f>ROUND((CEILING((L521*Premissas!$B$19/Premissas!$B$20-97)/100,1)*100+97)*Premissas!$B$20,2)</f>
        <v/>
      </c>
    </row>
    <row r="522">
      <c r="A522" s="17" t="inlineStr">
        <is>
          <t>KIT 81 MOD. 620W + MICROINVERSOR HOYMILES 2,25KW</t>
        </is>
      </c>
      <c r="B522" s="17" t="inlineStr">
        <is>
          <t>HOYMILES</t>
        </is>
      </c>
      <c r="C522" s="17" t="inlineStr">
        <is>
          <t>Micro</t>
        </is>
      </c>
      <c r="D522" s="21" t="n">
        <v>81</v>
      </c>
      <c r="E522" s="30" t="n">
        <v>50.22</v>
      </c>
      <c r="F522" s="20" t="inlineStr">
        <is>
          <t>Microinversor HOYMILES 2,25kW</t>
        </is>
      </c>
      <c r="G522" s="21" t="n">
        <v>21</v>
      </c>
      <c r="H522" s="17" t="inlineStr">
        <is>
          <t>Sim</t>
        </is>
      </c>
      <c r="I522" s="23" t="n">
        <v>133122.09</v>
      </c>
      <c r="J522" s="24">
        <f>(D522*Premissas!$B$24+(2*ROUNDUP(D522/2,0))*Premissas!$B$26+INT((2*ROUNDUP(D522/2,0))/4)*Premissas!$B$27+MOD((2*ROUNDUP(D522/2,0)),4)/2*Premissas!$B$28+2*IF(D522&lt;=19,3*D522,IF(D522&lt;=50,ROUNDUP(2.5*D522,0),2*D522))*Premissas!$B$29+IF(C522="Micro",G522*(Premissas!$B$31+Premissas!$B$32+4*Premissas!$B$30),G522*(INDEX(Premissas!$B$40:$B$71,MATCH(F522,Premissas!$A$40:$A$71,0))+INDEX(Premissas!$C$40:$C$71,MATCH(F522,Premissas!$A$40:$A$71,0))*Premissas!$B$30)))</f>
        <v/>
      </c>
      <c r="K522" s="24">
        <f>IF(J522&lt;Premissas!$B$36,MAX(Premissas!$B$33,J522*Premissas!$B$34),J522*Premissas!$B$35)</f>
        <v/>
      </c>
      <c r="L522" s="24">
        <f>ROUND(J522+K522,2)</f>
        <v/>
      </c>
      <c r="M522" s="24">
        <f>D522*Premissas!$B$8+Premissas!$B$9+Premissas!$B$10+Premissas!$B$11+Premissas!$B$12+ROUND(Premissas!$B$13*E522,2)</f>
        <v/>
      </c>
      <c r="N522" s="25">
        <f>ROUNDUP((L522+M522-Premissas!$B$5*L522)/(1-Premissas!$B$6-Premissas!$B$7-Premissas!$B$5-Premissas!$B$14),2)</f>
        <v/>
      </c>
      <c r="O522" s="24">
        <f>ROUND(IF(N522&lt;=30000,N522*(1+Premissas!$B$21),N522+Premissas!$B$21*30000*SQRT(N522/30000)),2)</f>
        <v/>
      </c>
      <c r="P522" s="24">
        <f>N522-I522</f>
        <v/>
      </c>
      <c r="Q522" s="26">
        <f>P522/I522</f>
        <v/>
      </c>
      <c r="R522" s="26">
        <f>(I522-L522-Premissas!$B$5*(I522-L522)-(Premissas!$B$6+Premissas!$B$7)*I522-M522)/I522</f>
        <v/>
      </c>
      <c r="S522" s="24">
        <f>ROUND((CEILING((L522*Premissas!$B$19/Premissas!$B$20-97)/100,1)*100+97)*Premissas!$B$20,2)</f>
        <v/>
      </c>
    </row>
    <row r="523">
      <c r="A523" s="17" t="inlineStr">
        <is>
          <t>KIT 82 MOD. 620W + MICROINVERSOR HOYMILES 2,25KW</t>
        </is>
      </c>
      <c r="B523" s="17" t="inlineStr">
        <is>
          <t>HOYMILES</t>
        </is>
      </c>
      <c r="C523" s="17" t="inlineStr">
        <is>
          <t>Micro</t>
        </is>
      </c>
      <c r="D523" s="21" t="n">
        <v>82</v>
      </c>
      <c r="E523" s="30" t="n">
        <v>50.84</v>
      </c>
      <c r="F523" s="20" t="inlineStr">
        <is>
          <t>Microinversor HOYMILES 2,25kW</t>
        </is>
      </c>
      <c r="G523" s="21" t="n">
        <v>21</v>
      </c>
      <c r="H523" s="17" t="inlineStr">
        <is>
          <t>Sim</t>
        </is>
      </c>
      <c r="I523" s="23" t="n">
        <v>134193.09</v>
      </c>
      <c r="J523" s="24">
        <f>(D523*Premissas!$B$24+(2*ROUNDUP(D523/2,0))*Premissas!$B$26+INT((2*ROUNDUP(D523/2,0))/4)*Premissas!$B$27+MOD((2*ROUNDUP(D523/2,0)),4)/2*Premissas!$B$28+2*IF(D523&lt;=19,3*D523,IF(D523&lt;=50,ROUNDUP(2.5*D523,0),2*D523))*Premissas!$B$29+IF(C523="Micro",G523*(Premissas!$B$31+Premissas!$B$32+4*Premissas!$B$30),G523*(INDEX(Premissas!$B$40:$B$71,MATCH(F523,Premissas!$A$40:$A$71,0))+INDEX(Premissas!$C$40:$C$71,MATCH(F523,Premissas!$A$40:$A$71,0))*Premissas!$B$30)))</f>
        <v/>
      </c>
      <c r="K523" s="24">
        <f>IF(J523&lt;Premissas!$B$36,MAX(Premissas!$B$33,J523*Premissas!$B$34),J523*Premissas!$B$35)</f>
        <v/>
      </c>
      <c r="L523" s="24">
        <f>ROUND(J523+K523,2)</f>
        <v/>
      </c>
      <c r="M523" s="24">
        <f>D523*Premissas!$B$8+Premissas!$B$9+Premissas!$B$10+Premissas!$B$11+Premissas!$B$12+ROUND(Premissas!$B$13*E523,2)</f>
        <v/>
      </c>
      <c r="N523" s="25">
        <f>ROUNDUP((L523+M523-Premissas!$B$5*L523)/(1-Premissas!$B$6-Premissas!$B$7-Premissas!$B$5-Premissas!$B$14),2)</f>
        <v/>
      </c>
      <c r="O523" s="24">
        <f>ROUND(IF(N523&lt;=30000,N523*(1+Premissas!$B$21),N523+Premissas!$B$21*30000*SQRT(N523/30000)),2)</f>
        <v/>
      </c>
      <c r="P523" s="24">
        <f>N523-I523</f>
        <v/>
      </c>
      <c r="Q523" s="26">
        <f>P523/I523</f>
        <v/>
      </c>
      <c r="R523" s="26">
        <f>(I523-L523-Premissas!$B$5*(I523-L523)-(Premissas!$B$6+Premissas!$B$7)*I523-M523)/I523</f>
        <v/>
      </c>
      <c r="S523" s="24">
        <f>ROUND((CEILING((L523*Premissas!$B$19/Premissas!$B$20-97)/100,1)*100+97)*Premissas!$B$20,2)</f>
        <v/>
      </c>
    </row>
    <row r="524">
      <c r="A524" s="17" t="inlineStr">
        <is>
          <t>KIT 83 MOD. 620W + MICROINVERSOR HOYMILES 2,25KW</t>
        </is>
      </c>
      <c r="B524" s="17" t="inlineStr">
        <is>
          <t>HOYMILES</t>
        </is>
      </c>
      <c r="C524" s="17" t="inlineStr">
        <is>
          <t>Micro</t>
        </is>
      </c>
      <c r="D524" s="21" t="n">
        <v>83</v>
      </c>
      <c r="E524" s="30" t="n">
        <v>51.46</v>
      </c>
      <c r="F524" s="20" t="inlineStr">
        <is>
          <t>Microinversor HOYMILES 2,25kW</t>
        </is>
      </c>
      <c r="G524" s="21" t="n">
        <v>21</v>
      </c>
      <c r="H524" s="17" t="inlineStr">
        <is>
          <t>Sim</t>
        </is>
      </c>
      <c r="I524" s="23" t="n">
        <v>135478.29</v>
      </c>
      <c r="J524" s="24">
        <f>(D524*Premissas!$B$24+(2*ROUNDUP(D524/2,0))*Premissas!$B$26+INT((2*ROUNDUP(D524/2,0))/4)*Premissas!$B$27+MOD((2*ROUNDUP(D524/2,0)),4)/2*Premissas!$B$28+2*IF(D524&lt;=19,3*D524,IF(D524&lt;=50,ROUNDUP(2.5*D524,0),2*D524))*Premissas!$B$29+IF(C524="Micro",G524*(Premissas!$B$31+Premissas!$B$32+4*Premissas!$B$30),G524*(INDEX(Premissas!$B$40:$B$71,MATCH(F524,Premissas!$A$40:$A$71,0))+INDEX(Premissas!$C$40:$C$71,MATCH(F524,Premissas!$A$40:$A$71,0))*Premissas!$B$30)))</f>
        <v/>
      </c>
      <c r="K524" s="24">
        <f>IF(J524&lt;Premissas!$B$36,MAX(Premissas!$B$33,J524*Premissas!$B$34),J524*Premissas!$B$35)</f>
        <v/>
      </c>
      <c r="L524" s="24">
        <f>ROUND(J524+K524,2)</f>
        <v/>
      </c>
      <c r="M524" s="24">
        <f>D524*Premissas!$B$8+Premissas!$B$9+Premissas!$B$10+Premissas!$B$11+Premissas!$B$12+ROUND(Premissas!$B$13*E524,2)</f>
        <v/>
      </c>
      <c r="N524" s="25">
        <f>ROUNDUP((L524+M524-Premissas!$B$5*L524)/(1-Premissas!$B$6-Premissas!$B$7-Premissas!$B$5-Premissas!$B$14),2)</f>
        <v/>
      </c>
      <c r="O524" s="24">
        <f>ROUND(IF(N524&lt;=30000,N524*(1+Premissas!$B$21),N524+Premissas!$B$21*30000*SQRT(N524/30000)),2)</f>
        <v/>
      </c>
      <c r="P524" s="24">
        <f>N524-I524</f>
        <v/>
      </c>
      <c r="Q524" s="26">
        <f>P524/I524</f>
        <v/>
      </c>
      <c r="R524" s="26">
        <f>(I524-L524-Premissas!$B$5*(I524-L524)-(Premissas!$B$6+Premissas!$B$7)*I524-M524)/I524</f>
        <v/>
      </c>
      <c r="S524" s="24">
        <f>ROUND((CEILING((L524*Premissas!$B$19/Premissas!$B$20-97)/100,1)*100+97)*Premissas!$B$20,2)</f>
        <v/>
      </c>
    </row>
    <row r="525">
      <c r="A525" s="17" t="inlineStr">
        <is>
          <t>KIT 84 MOD. 620W + MICROINVERSOR HOYMILES 2,25KW</t>
        </is>
      </c>
      <c r="B525" s="17" t="inlineStr">
        <is>
          <t>HOYMILES</t>
        </is>
      </c>
      <c r="C525" s="17" t="inlineStr">
        <is>
          <t>Micro</t>
        </is>
      </c>
      <c r="D525" s="21" t="n">
        <v>84</v>
      </c>
      <c r="E525" s="30" t="n">
        <v>52.08</v>
      </c>
      <c r="F525" s="20" t="inlineStr">
        <is>
          <t>Microinversor HOYMILES 2,25kW</t>
        </is>
      </c>
      <c r="G525" s="21" t="n">
        <v>21</v>
      </c>
      <c r="H525" s="17" t="inlineStr">
        <is>
          <t>Sim</t>
        </is>
      </c>
      <c r="I525" s="23" t="n">
        <v>136442.19</v>
      </c>
      <c r="J525" s="24">
        <f>(D525*Premissas!$B$24+(2*ROUNDUP(D525/2,0))*Premissas!$B$26+INT((2*ROUNDUP(D525/2,0))/4)*Premissas!$B$27+MOD((2*ROUNDUP(D525/2,0)),4)/2*Premissas!$B$28+2*IF(D525&lt;=19,3*D525,IF(D525&lt;=50,ROUNDUP(2.5*D525,0),2*D525))*Premissas!$B$29+IF(C525="Micro",G525*(Premissas!$B$31+Premissas!$B$32+4*Premissas!$B$30),G525*(INDEX(Premissas!$B$40:$B$71,MATCH(F525,Premissas!$A$40:$A$71,0))+INDEX(Premissas!$C$40:$C$71,MATCH(F525,Premissas!$A$40:$A$71,0))*Premissas!$B$30)))</f>
        <v/>
      </c>
      <c r="K525" s="24">
        <f>IF(J525&lt;Premissas!$B$36,MAX(Premissas!$B$33,J525*Premissas!$B$34),J525*Premissas!$B$35)</f>
        <v/>
      </c>
      <c r="L525" s="24">
        <f>ROUND(J525+K525,2)</f>
        <v/>
      </c>
      <c r="M525" s="24">
        <f>D525*Premissas!$B$8+Premissas!$B$9+Premissas!$B$10+Premissas!$B$11+Premissas!$B$12+ROUND(Premissas!$B$13*E525,2)</f>
        <v/>
      </c>
      <c r="N525" s="25">
        <f>ROUNDUP((L525+M525-Premissas!$B$5*L525)/(1-Premissas!$B$6-Premissas!$B$7-Premissas!$B$5-Premissas!$B$14),2)</f>
        <v/>
      </c>
      <c r="O525" s="24">
        <f>ROUND(IF(N525&lt;=30000,N525*(1+Premissas!$B$21),N525+Premissas!$B$21*30000*SQRT(N525/30000)),2)</f>
        <v/>
      </c>
      <c r="P525" s="24">
        <f>N525-I525</f>
        <v/>
      </c>
      <c r="Q525" s="26">
        <f>P525/I525</f>
        <v/>
      </c>
      <c r="R525" s="26">
        <f>(I525-L525-Premissas!$B$5*(I525-L525)-(Premissas!$B$6+Premissas!$B$7)*I525-M525)/I525</f>
        <v/>
      </c>
      <c r="S525" s="24">
        <f>ROUND((CEILING((L525*Premissas!$B$19/Premissas!$B$20-97)/100,1)*100+97)*Premissas!$B$20,2)</f>
        <v/>
      </c>
    </row>
    <row r="526">
      <c r="A526" s="17" t="inlineStr">
        <is>
          <t>KIT 85 MOD. 620W + MICROINVERSOR HOYMILES 2,25KW</t>
        </is>
      </c>
      <c r="B526" s="17" t="inlineStr">
        <is>
          <t>HOYMILES</t>
        </is>
      </c>
      <c r="C526" s="17" t="inlineStr">
        <is>
          <t>Micro</t>
        </is>
      </c>
      <c r="D526" s="21" t="n">
        <v>85</v>
      </c>
      <c r="E526" s="30" t="n">
        <v>52.7</v>
      </c>
      <c r="F526" s="20" t="inlineStr">
        <is>
          <t>Microinversor HOYMILES 2,25kW</t>
        </is>
      </c>
      <c r="G526" s="21" t="n">
        <v>22</v>
      </c>
      <c r="H526" s="17" t="inlineStr">
        <is>
          <t>Sim</t>
        </is>
      </c>
      <c r="I526" s="23" t="n">
        <v>139655.19</v>
      </c>
      <c r="J526" s="24">
        <f>(D526*Premissas!$B$24+(2*ROUNDUP(D526/2,0))*Premissas!$B$26+INT((2*ROUNDUP(D526/2,0))/4)*Premissas!$B$27+MOD((2*ROUNDUP(D526/2,0)),4)/2*Premissas!$B$28+2*IF(D526&lt;=19,3*D526,IF(D526&lt;=50,ROUNDUP(2.5*D526,0),2*D526))*Premissas!$B$29+IF(C526="Micro",G526*(Premissas!$B$31+Premissas!$B$32+4*Premissas!$B$30),G526*(INDEX(Premissas!$B$40:$B$71,MATCH(F526,Premissas!$A$40:$A$71,0))+INDEX(Premissas!$C$40:$C$71,MATCH(F526,Premissas!$A$40:$A$71,0))*Premissas!$B$30)))</f>
        <v/>
      </c>
      <c r="K526" s="24">
        <f>IF(J526&lt;Premissas!$B$36,MAX(Premissas!$B$33,J526*Premissas!$B$34),J526*Premissas!$B$35)</f>
        <v/>
      </c>
      <c r="L526" s="24">
        <f>ROUND(J526+K526,2)</f>
        <v/>
      </c>
      <c r="M526" s="24">
        <f>D526*Premissas!$B$8+Premissas!$B$9+Premissas!$B$10+Premissas!$B$11+Premissas!$B$12+ROUND(Premissas!$B$13*E526,2)</f>
        <v/>
      </c>
      <c r="N526" s="25">
        <f>ROUNDUP((L526+M526-Premissas!$B$5*L526)/(1-Premissas!$B$6-Premissas!$B$7-Premissas!$B$5-Premissas!$B$14),2)</f>
        <v/>
      </c>
      <c r="O526" s="24">
        <f>ROUND(IF(N526&lt;=30000,N526*(1+Premissas!$B$21),N526+Premissas!$B$21*30000*SQRT(N526/30000)),2)</f>
        <v/>
      </c>
      <c r="P526" s="24">
        <f>N526-I526</f>
        <v/>
      </c>
      <c r="Q526" s="26">
        <f>P526/I526</f>
        <v/>
      </c>
      <c r="R526" s="26">
        <f>(I526-L526-Premissas!$B$5*(I526-L526)-(Premissas!$B$6+Premissas!$B$7)*I526-M526)/I526</f>
        <v/>
      </c>
      <c r="S526" s="24">
        <f>ROUND((CEILING((L526*Premissas!$B$19/Premissas!$B$20-97)/100,1)*100+97)*Premissas!$B$20,2)</f>
        <v/>
      </c>
    </row>
    <row r="527">
      <c r="A527" s="17" t="inlineStr">
        <is>
          <t>KIT 86 MOD. 620W + MICROINVERSOR HOYMILES 2,25KW</t>
        </is>
      </c>
      <c r="B527" s="17" t="inlineStr">
        <is>
          <t>HOYMILES</t>
        </is>
      </c>
      <c r="C527" s="17" t="inlineStr">
        <is>
          <t>Micro</t>
        </is>
      </c>
      <c r="D527" s="21" t="n">
        <v>86</v>
      </c>
      <c r="E527" s="30" t="n">
        <v>53.32</v>
      </c>
      <c r="F527" s="20" t="inlineStr">
        <is>
          <t>Microinversor HOYMILES 2,25kW</t>
        </is>
      </c>
      <c r="G527" s="21" t="n">
        <v>22</v>
      </c>
      <c r="H527" s="17" t="inlineStr">
        <is>
          <t>Sim</t>
        </is>
      </c>
      <c r="I527" s="23" t="n">
        <v>140619.09</v>
      </c>
      <c r="J527" s="24">
        <f>(D527*Premissas!$B$24+(2*ROUNDUP(D527/2,0))*Premissas!$B$26+INT((2*ROUNDUP(D527/2,0))/4)*Premissas!$B$27+MOD((2*ROUNDUP(D527/2,0)),4)/2*Premissas!$B$28+2*IF(D527&lt;=19,3*D527,IF(D527&lt;=50,ROUNDUP(2.5*D527,0),2*D527))*Premissas!$B$29+IF(C527="Micro",G527*(Premissas!$B$31+Premissas!$B$32+4*Premissas!$B$30),G527*(INDEX(Premissas!$B$40:$B$71,MATCH(F527,Premissas!$A$40:$A$71,0))+INDEX(Premissas!$C$40:$C$71,MATCH(F527,Premissas!$A$40:$A$71,0))*Premissas!$B$30)))</f>
        <v/>
      </c>
      <c r="K527" s="24">
        <f>IF(J527&lt;Premissas!$B$36,MAX(Premissas!$B$33,J527*Premissas!$B$34),J527*Premissas!$B$35)</f>
        <v/>
      </c>
      <c r="L527" s="24">
        <f>ROUND(J527+K527,2)</f>
        <v/>
      </c>
      <c r="M527" s="24">
        <f>D527*Premissas!$B$8+Premissas!$B$9+Premissas!$B$10+Premissas!$B$11+Premissas!$B$12+ROUND(Premissas!$B$13*E527,2)</f>
        <v/>
      </c>
      <c r="N527" s="25">
        <f>ROUNDUP((L527+M527-Premissas!$B$5*L527)/(1-Premissas!$B$6-Premissas!$B$7-Premissas!$B$5-Premissas!$B$14),2)</f>
        <v/>
      </c>
      <c r="O527" s="24">
        <f>ROUND(IF(N527&lt;=30000,N527*(1+Premissas!$B$21),N527+Premissas!$B$21*30000*SQRT(N527/30000)),2)</f>
        <v/>
      </c>
      <c r="P527" s="24">
        <f>N527-I527</f>
        <v/>
      </c>
      <c r="Q527" s="26">
        <f>P527/I527</f>
        <v/>
      </c>
      <c r="R527" s="26">
        <f>(I527-L527-Premissas!$B$5*(I527-L527)-(Premissas!$B$6+Premissas!$B$7)*I527-M527)/I527</f>
        <v/>
      </c>
      <c r="S527" s="24">
        <f>ROUND((CEILING((L527*Premissas!$B$19/Premissas!$B$20-97)/100,1)*100+97)*Premissas!$B$20,2)</f>
        <v/>
      </c>
    </row>
    <row r="528">
      <c r="A528" s="17" t="inlineStr">
        <is>
          <t>KIT 87 MOD. 620W + MICROINVERSOR HOYMILES 2,25KW</t>
        </is>
      </c>
      <c r="B528" s="17" t="inlineStr">
        <is>
          <t>HOYMILES</t>
        </is>
      </c>
      <c r="C528" s="17" t="inlineStr">
        <is>
          <t>Micro</t>
        </is>
      </c>
      <c r="D528" s="21" t="n">
        <v>87</v>
      </c>
      <c r="E528" s="30" t="n">
        <v>53.94</v>
      </c>
      <c r="F528" s="20" t="inlineStr">
        <is>
          <t>Microinversor HOYMILES 2,25kW</t>
        </is>
      </c>
      <c r="G528" s="21" t="n">
        <v>22</v>
      </c>
      <c r="H528" s="17" t="inlineStr">
        <is>
          <t>Sim</t>
        </is>
      </c>
      <c r="I528" s="23" t="n">
        <v>141904.29</v>
      </c>
      <c r="J528" s="24">
        <f>(D528*Premissas!$B$24+(2*ROUNDUP(D528/2,0))*Premissas!$B$26+INT((2*ROUNDUP(D528/2,0))/4)*Premissas!$B$27+MOD((2*ROUNDUP(D528/2,0)),4)/2*Premissas!$B$28+2*IF(D528&lt;=19,3*D528,IF(D528&lt;=50,ROUNDUP(2.5*D528,0),2*D528))*Premissas!$B$29+IF(C528="Micro",G528*(Premissas!$B$31+Premissas!$B$32+4*Premissas!$B$30),G528*(INDEX(Premissas!$B$40:$B$71,MATCH(F528,Premissas!$A$40:$A$71,0))+INDEX(Premissas!$C$40:$C$71,MATCH(F528,Premissas!$A$40:$A$71,0))*Premissas!$B$30)))</f>
        <v/>
      </c>
      <c r="K528" s="24">
        <f>IF(J528&lt;Premissas!$B$36,MAX(Premissas!$B$33,J528*Premissas!$B$34),J528*Premissas!$B$35)</f>
        <v/>
      </c>
      <c r="L528" s="24">
        <f>ROUND(J528+K528,2)</f>
        <v/>
      </c>
      <c r="M528" s="24">
        <f>D528*Premissas!$B$8+Premissas!$B$9+Premissas!$B$10+Premissas!$B$11+Premissas!$B$12+ROUND(Premissas!$B$13*E528,2)</f>
        <v/>
      </c>
      <c r="N528" s="25">
        <f>ROUNDUP((L528+M528-Premissas!$B$5*L528)/(1-Premissas!$B$6-Premissas!$B$7-Premissas!$B$5-Premissas!$B$14),2)</f>
        <v/>
      </c>
      <c r="O528" s="24">
        <f>ROUND(IF(N528&lt;=30000,N528*(1+Premissas!$B$21),N528+Premissas!$B$21*30000*SQRT(N528/30000)),2)</f>
        <v/>
      </c>
      <c r="P528" s="24">
        <f>N528-I528</f>
        <v/>
      </c>
      <c r="Q528" s="26">
        <f>P528/I528</f>
        <v/>
      </c>
      <c r="R528" s="26">
        <f>(I528-L528-Premissas!$B$5*(I528-L528)-(Premissas!$B$6+Premissas!$B$7)*I528-M528)/I528</f>
        <v/>
      </c>
      <c r="S528" s="24">
        <f>ROUND((CEILING((L528*Premissas!$B$19/Premissas!$B$20-97)/100,1)*100+97)*Premissas!$B$20,2)</f>
        <v/>
      </c>
    </row>
    <row r="529">
      <c r="A529" s="17" t="inlineStr">
        <is>
          <t>KIT 88 MOD. 620W + MICROINVERSOR HOYMILES 2,25KW</t>
        </is>
      </c>
      <c r="B529" s="17" t="inlineStr">
        <is>
          <t>HOYMILES</t>
        </is>
      </c>
      <c r="C529" s="17" t="inlineStr">
        <is>
          <t>Micro</t>
        </is>
      </c>
      <c r="D529" s="21" t="n">
        <v>88</v>
      </c>
      <c r="E529" s="30" t="n">
        <v>54.56</v>
      </c>
      <c r="F529" s="20" t="inlineStr">
        <is>
          <t>Microinversor HOYMILES 2,25kW</t>
        </is>
      </c>
      <c r="G529" s="21" t="n">
        <v>22</v>
      </c>
      <c r="H529" s="17" t="inlineStr">
        <is>
          <t>Sim</t>
        </is>
      </c>
      <c r="I529" s="23" t="n">
        <v>142975.29</v>
      </c>
      <c r="J529" s="24">
        <f>(D529*Premissas!$B$24+(2*ROUNDUP(D529/2,0))*Premissas!$B$26+INT((2*ROUNDUP(D529/2,0))/4)*Premissas!$B$27+MOD((2*ROUNDUP(D529/2,0)),4)/2*Premissas!$B$28+2*IF(D529&lt;=19,3*D529,IF(D529&lt;=50,ROUNDUP(2.5*D529,0),2*D529))*Premissas!$B$29+IF(C529="Micro",G529*(Premissas!$B$31+Premissas!$B$32+4*Premissas!$B$30),G529*(INDEX(Premissas!$B$40:$B$71,MATCH(F529,Premissas!$A$40:$A$71,0))+INDEX(Premissas!$C$40:$C$71,MATCH(F529,Premissas!$A$40:$A$71,0))*Premissas!$B$30)))</f>
        <v/>
      </c>
      <c r="K529" s="24">
        <f>IF(J529&lt;Premissas!$B$36,MAX(Premissas!$B$33,J529*Premissas!$B$34),J529*Premissas!$B$35)</f>
        <v/>
      </c>
      <c r="L529" s="24">
        <f>ROUND(J529+K529,2)</f>
        <v/>
      </c>
      <c r="M529" s="24">
        <f>D529*Premissas!$B$8+Premissas!$B$9+Premissas!$B$10+Premissas!$B$11+Premissas!$B$12+ROUND(Premissas!$B$13*E529,2)</f>
        <v/>
      </c>
      <c r="N529" s="25">
        <f>ROUNDUP((L529+M529-Premissas!$B$5*L529)/(1-Premissas!$B$6-Premissas!$B$7-Premissas!$B$5-Premissas!$B$14),2)</f>
        <v/>
      </c>
      <c r="O529" s="24">
        <f>ROUND(IF(N529&lt;=30000,N529*(1+Premissas!$B$21),N529+Premissas!$B$21*30000*SQRT(N529/30000)),2)</f>
        <v/>
      </c>
      <c r="P529" s="24">
        <f>N529-I529</f>
        <v/>
      </c>
      <c r="Q529" s="26">
        <f>P529/I529</f>
        <v/>
      </c>
      <c r="R529" s="26">
        <f>(I529-L529-Premissas!$B$5*(I529-L529)-(Premissas!$B$6+Premissas!$B$7)*I529-M529)/I529</f>
        <v/>
      </c>
      <c r="S529" s="24">
        <f>ROUND((CEILING((L529*Premissas!$B$19/Premissas!$B$20-97)/100,1)*100+97)*Premissas!$B$20,2)</f>
        <v/>
      </c>
    </row>
    <row r="530">
      <c r="A530" s="17" t="inlineStr">
        <is>
          <t>KIT 89 MOD. 620W + MICROINVERSOR HOYMILES 2,25KW</t>
        </is>
      </c>
      <c r="B530" s="17" t="inlineStr">
        <is>
          <t>HOYMILES</t>
        </is>
      </c>
      <c r="C530" s="17" t="inlineStr">
        <is>
          <t>Micro</t>
        </is>
      </c>
      <c r="D530" s="21" t="n">
        <v>89</v>
      </c>
      <c r="E530" s="30" t="n">
        <v>55.18</v>
      </c>
      <c r="F530" s="20" t="inlineStr">
        <is>
          <t>Microinversor HOYMILES 2,25kW</t>
        </is>
      </c>
      <c r="G530" s="21" t="n">
        <v>23</v>
      </c>
      <c r="H530" s="17" t="inlineStr">
        <is>
          <t>Sim</t>
        </is>
      </c>
      <c r="I530" s="23" t="n">
        <v>146081.19</v>
      </c>
      <c r="J530" s="24">
        <f>(D530*Premissas!$B$24+(2*ROUNDUP(D530/2,0))*Premissas!$B$26+INT((2*ROUNDUP(D530/2,0))/4)*Premissas!$B$27+MOD((2*ROUNDUP(D530/2,0)),4)/2*Premissas!$B$28+2*IF(D530&lt;=19,3*D530,IF(D530&lt;=50,ROUNDUP(2.5*D530,0),2*D530))*Premissas!$B$29+IF(C530="Micro",G530*(Premissas!$B$31+Premissas!$B$32+4*Premissas!$B$30),G530*(INDEX(Premissas!$B$40:$B$71,MATCH(F530,Premissas!$A$40:$A$71,0))+INDEX(Premissas!$C$40:$C$71,MATCH(F530,Premissas!$A$40:$A$71,0))*Premissas!$B$30)))</f>
        <v/>
      </c>
      <c r="K530" s="24">
        <f>IF(J530&lt;Premissas!$B$36,MAX(Premissas!$B$33,J530*Premissas!$B$34),J530*Premissas!$B$35)</f>
        <v/>
      </c>
      <c r="L530" s="24">
        <f>ROUND(J530+K530,2)</f>
        <v/>
      </c>
      <c r="M530" s="24">
        <f>D530*Premissas!$B$8+Premissas!$B$9+Premissas!$B$10+Premissas!$B$11+Premissas!$B$12+ROUND(Premissas!$B$13*E530,2)</f>
        <v/>
      </c>
      <c r="N530" s="25">
        <f>ROUNDUP((L530+M530-Premissas!$B$5*L530)/(1-Premissas!$B$6-Premissas!$B$7-Premissas!$B$5-Premissas!$B$14),2)</f>
        <v/>
      </c>
      <c r="O530" s="24">
        <f>ROUND(IF(N530&lt;=30000,N530*(1+Premissas!$B$21),N530+Premissas!$B$21*30000*SQRT(N530/30000)),2)</f>
        <v/>
      </c>
      <c r="P530" s="24">
        <f>N530-I530</f>
        <v/>
      </c>
      <c r="Q530" s="26">
        <f>P530/I530</f>
        <v/>
      </c>
      <c r="R530" s="26">
        <f>(I530-L530-Premissas!$B$5*(I530-L530)-(Premissas!$B$6+Premissas!$B$7)*I530-M530)/I530</f>
        <v/>
      </c>
      <c r="S530" s="24">
        <f>ROUND((CEILING((L530*Premissas!$B$19/Premissas!$B$20-97)/100,1)*100+97)*Premissas!$B$20,2)</f>
        <v/>
      </c>
    </row>
    <row r="531">
      <c r="A531" s="17" t="inlineStr">
        <is>
          <t>KIT 90 MOD. 620W + MICROINVERSOR HOYMILES 2,25KW</t>
        </is>
      </c>
      <c r="B531" s="17" t="inlineStr">
        <is>
          <t>HOYMILES</t>
        </is>
      </c>
      <c r="C531" s="17" t="inlineStr">
        <is>
          <t>Micro</t>
        </is>
      </c>
      <c r="D531" s="21" t="n">
        <v>90</v>
      </c>
      <c r="E531" s="30" t="n">
        <v>55.8</v>
      </c>
      <c r="F531" s="20" t="inlineStr">
        <is>
          <t>Microinversor HOYMILES 2,25kW</t>
        </is>
      </c>
      <c r="G531" s="21" t="n">
        <v>23</v>
      </c>
      <c r="H531" s="17" t="inlineStr">
        <is>
          <t>Sim</t>
        </is>
      </c>
      <c r="I531" s="23" t="n">
        <v>147152.19</v>
      </c>
      <c r="J531" s="24">
        <f>(D531*Premissas!$B$24+(2*ROUNDUP(D531/2,0))*Premissas!$B$26+INT((2*ROUNDUP(D531/2,0))/4)*Premissas!$B$27+MOD((2*ROUNDUP(D531/2,0)),4)/2*Premissas!$B$28+2*IF(D531&lt;=19,3*D531,IF(D531&lt;=50,ROUNDUP(2.5*D531,0),2*D531))*Premissas!$B$29+IF(C531="Micro",G531*(Premissas!$B$31+Premissas!$B$32+4*Premissas!$B$30),G531*(INDEX(Premissas!$B$40:$B$71,MATCH(F531,Premissas!$A$40:$A$71,0))+INDEX(Premissas!$C$40:$C$71,MATCH(F531,Premissas!$A$40:$A$71,0))*Premissas!$B$30)))</f>
        <v/>
      </c>
      <c r="K531" s="24">
        <f>IF(J531&lt;Premissas!$B$36,MAX(Premissas!$B$33,J531*Premissas!$B$34),J531*Premissas!$B$35)</f>
        <v/>
      </c>
      <c r="L531" s="24">
        <f>ROUND(J531+K531,2)</f>
        <v/>
      </c>
      <c r="M531" s="24">
        <f>D531*Premissas!$B$8+Premissas!$B$9+Premissas!$B$10+Premissas!$B$11+Premissas!$B$12+ROUND(Premissas!$B$13*E531,2)</f>
        <v/>
      </c>
      <c r="N531" s="25">
        <f>ROUNDUP((L531+M531-Premissas!$B$5*L531)/(1-Premissas!$B$6-Premissas!$B$7-Premissas!$B$5-Premissas!$B$14),2)</f>
        <v/>
      </c>
      <c r="O531" s="24">
        <f>ROUND(IF(N531&lt;=30000,N531*(1+Premissas!$B$21),N531+Premissas!$B$21*30000*SQRT(N531/30000)),2)</f>
        <v/>
      </c>
      <c r="P531" s="24">
        <f>N531-I531</f>
        <v/>
      </c>
      <c r="Q531" s="26">
        <f>P531/I531</f>
        <v/>
      </c>
      <c r="R531" s="26">
        <f>(I531-L531-Premissas!$B$5*(I531-L531)-(Premissas!$B$6+Premissas!$B$7)*I531-M531)/I531</f>
        <v/>
      </c>
      <c r="S531" s="24">
        <f>ROUND((CEILING((L531*Premissas!$B$19/Premissas!$B$20-97)/100,1)*100+97)*Premissas!$B$20,2)</f>
        <v/>
      </c>
    </row>
    <row r="532">
      <c r="A532" s="17" t="inlineStr">
        <is>
          <t>KIT 91 MOD. 620W + MICROINVERSOR HOYMILES 2,25KW</t>
        </is>
      </c>
      <c r="B532" s="17" t="inlineStr">
        <is>
          <t>HOYMILES</t>
        </is>
      </c>
      <c r="C532" s="17" t="inlineStr">
        <is>
          <t>Micro</t>
        </is>
      </c>
      <c r="D532" s="21" t="n">
        <v>91</v>
      </c>
      <c r="E532" s="30" t="n">
        <v>56.42</v>
      </c>
      <c r="F532" s="20" t="inlineStr">
        <is>
          <t>Microinversor HOYMILES 2,25kW</t>
        </is>
      </c>
      <c r="G532" s="21" t="n">
        <v>23</v>
      </c>
      <c r="H532" s="17" t="inlineStr">
        <is>
          <t>Sim</t>
        </is>
      </c>
      <c r="I532" s="23" t="n">
        <v>148437.39</v>
      </c>
      <c r="J532" s="24">
        <f>(D532*Premissas!$B$24+(2*ROUNDUP(D532/2,0))*Premissas!$B$26+INT((2*ROUNDUP(D532/2,0))/4)*Premissas!$B$27+MOD((2*ROUNDUP(D532/2,0)),4)/2*Premissas!$B$28+2*IF(D532&lt;=19,3*D532,IF(D532&lt;=50,ROUNDUP(2.5*D532,0),2*D532))*Premissas!$B$29+IF(C532="Micro",G532*(Premissas!$B$31+Premissas!$B$32+4*Premissas!$B$30),G532*(INDEX(Premissas!$B$40:$B$71,MATCH(F532,Premissas!$A$40:$A$71,0))+INDEX(Premissas!$C$40:$C$71,MATCH(F532,Premissas!$A$40:$A$71,0))*Premissas!$B$30)))</f>
        <v/>
      </c>
      <c r="K532" s="24">
        <f>IF(J532&lt;Premissas!$B$36,MAX(Premissas!$B$33,J532*Premissas!$B$34),J532*Premissas!$B$35)</f>
        <v/>
      </c>
      <c r="L532" s="24">
        <f>ROUND(J532+K532,2)</f>
        <v/>
      </c>
      <c r="M532" s="24">
        <f>D532*Premissas!$B$8+Premissas!$B$9+Premissas!$B$10+Premissas!$B$11+Premissas!$B$12+ROUND(Premissas!$B$13*E532,2)</f>
        <v/>
      </c>
      <c r="N532" s="25">
        <f>ROUNDUP((L532+M532-Premissas!$B$5*L532)/(1-Premissas!$B$6-Premissas!$B$7-Premissas!$B$5-Premissas!$B$14),2)</f>
        <v/>
      </c>
      <c r="O532" s="24">
        <f>ROUND(IF(N532&lt;=30000,N532*(1+Premissas!$B$21),N532+Premissas!$B$21*30000*SQRT(N532/30000)),2)</f>
        <v/>
      </c>
      <c r="P532" s="24">
        <f>N532-I532</f>
        <v/>
      </c>
      <c r="Q532" s="26">
        <f>P532/I532</f>
        <v/>
      </c>
      <c r="R532" s="26">
        <f>(I532-L532-Premissas!$B$5*(I532-L532)-(Premissas!$B$6+Premissas!$B$7)*I532-M532)/I532</f>
        <v/>
      </c>
      <c r="S532" s="24">
        <f>ROUND((CEILING((L532*Premissas!$B$19/Premissas!$B$20-97)/100,1)*100+97)*Premissas!$B$20,2)</f>
        <v/>
      </c>
    </row>
    <row r="533">
      <c r="A533" s="17" t="inlineStr">
        <is>
          <t>KIT 92 MOD. 620W + MICROINVERSOR HOYMILES 2,25KW</t>
        </is>
      </c>
      <c r="B533" s="17" t="inlineStr">
        <is>
          <t>HOYMILES</t>
        </is>
      </c>
      <c r="C533" s="17" t="inlineStr">
        <is>
          <t>Micro</t>
        </is>
      </c>
      <c r="D533" s="21" t="n">
        <v>92</v>
      </c>
      <c r="E533" s="30" t="n">
        <v>57.04</v>
      </c>
      <c r="F533" s="20" t="inlineStr">
        <is>
          <t>Microinversor HOYMILES 2,25kW</t>
        </is>
      </c>
      <c r="G533" s="21" t="n">
        <v>23</v>
      </c>
      <c r="H533" s="17" t="inlineStr">
        <is>
          <t>Sim</t>
        </is>
      </c>
      <c r="I533" s="23" t="n">
        <v>149508.39</v>
      </c>
      <c r="J533" s="24">
        <f>(D533*Premissas!$B$24+(2*ROUNDUP(D533/2,0))*Premissas!$B$26+INT((2*ROUNDUP(D533/2,0))/4)*Premissas!$B$27+MOD((2*ROUNDUP(D533/2,0)),4)/2*Premissas!$B$28+2*IF(D533&lt;=19,3*D533,IF(D533&lt;=50,ROUNDUP(2.5*D533,0),2*D533))*Premissas!$B$29+IF(C533="Micro",G533*(Premissas!$B$31+Premissas!$B$32+4*Premissas!$B$30),G533*(INDEX(Premissas!$B$40:$B$71,MATCH(F533,Premissas!$A$40:$A$71,0))+INDEX(Premissas!$C$40:$C$71,MATCH(F533,Premissas!$A$40:$A$71,0))*Premissas!$B$30)))</f>
        <v/>
      </c>
      <c r="K533" s="24">
        <f>IF(J533&lt;Premissas!$B$36,MAX(Premissas!$B$33,J533*Premissas!$B$34),J533*Premissas!$B$35)</f>
        <v/>
      </c>
      <c r="L533" s="24">
        <f>ROUND(J533+K533,2)</f>
        <v/>
      </c>
      <c r="M533" s="24">
        <f>D533*Premissas!$B$8+Premissas!$B$9+Premissas!$B$10+Premissas!$B$11+Premissas!$B$12+ROUND(Premissas!$B$13*E533,2)</f>
        <v/>
      </c>
      <c r="N533" s="25">
        <f>ROUNDUP((L533+M533-Premissas!$B$5*L533)/(1-Premissas!$B$6-Premissas!$B$7-Premissas!$B$5-Premissas!$B$14),2)</f>
        <v/>
      </c>
      <c r="O533" s="24">
        <f>ROUND(IF(N533&lt;=30000,N533*(1+Premissas!$B$21),N533+Premissas!$B$21*30000*SQRT(N533/30000)),2)</f>
        <v/>
      </c>
      <c r="P533" s="24">
        <f>N533-I533</f>
        <v/>
      </c>
      <c r="Q533" s="26">
        <f>P533/I533</f>
        <v/>
      </c>
      <c r="R533" s="26">
        <f>(I533-L533-Premissas!$B$5*(I533-L533)-(Premissas!$B$6+Premissas!$B$7)*I533-M533)/I533</f>
        <v/>
      </c>
      <c r="S533" s="24">
        <f>ROUND((CEILING((L533*Premissas!$B$19/Premissas!$B$20-97)/100,1)*100+97)*Premissas!$B$20,2)</f>
        <v/>
      </c>
    </row>
    <row r="534">
      <c r="A534" s="17" t="inlineStr">
        <is>
          <t>KIT 93 MOD. 620W + MICROINVERSOR HOYMILES 2,25KW</t>
        </is>
      </c>
      <c r="B534" s="17" t="inlineStr">
        <is>
          <t>HOYMILES</t>
        </is>
      </c>
      <c r="C534" s="17" t="inlineStr">
        <is>
          <t>Micro</t>
        </is>
      </c>
      <c r="D534" s="21" t="n">
        <v>93</v>
      </c>
      <c r="E534" s="30" t="n">
        <v>57.66</v>
      </c>
      <c r="F534" s="20" t="inlineStr">
        <is>
          <t>Microinversor HOYMILES 2,25kW</t>
        </is>
      </c>
      <c r="G534" s="21" t="n">
        <v>24</v>
      </c>
      <c r="H534" s="17" t="inlineStr">
        <is>
          <t>Sim</t>
        </is>
      </c>
      <c r="I534" s="23" t="n">
        <v>152614.29</v>
      </c>
      <c r="J534" s="24">
        <f>(D534*Premissas!$B$24+(2*ROUNDUP(D534/2,0))*Premissas!$B$26+INT((2*ROUNDUP(D534/2,0))/4)*Premissas!$B$27+MOD((2*ROUNDUP(D534/2,0)),4)/2*Premissas!$B$28+2*IF(D534&lt;=19,3*D534,IF(D534&lt;=50,ROUNDUP(2.5*D534,0),2*D534))*Premissas!$B$29+IF(C534="Micro",G534*(Premissas!$B$31+Premissas!$B$32+4*Premissas!$B$30),G534*(INDEX(Premissas!$B$40:$B$71,MATCH(F534,Premissas!$A$40:$A$71,0))+INDEX(Premissas!$C$40:$C$71,MATCH(F534,Premissas!$A$40:$A$71,0))*Premissas!$B$30)))</f>
        <v/>
      </c>
      <c r="K534" s="24">
        <f>IF(J534&lt;Premissas!$B$36,MAX(Premissas!$B$33,J534*Premissas!$B$34),J534*Premissas!$B$35)</f>
        <v/>
      </c>
      <c r="L534" s="24">
        <f>ROUND(J534+K534,2)</f>
        <v/>
      </c>
      <c r="M534" s="24">
        <f>D534*Premissas!$B$8+Premissas!$B$9+Premissas!$B$10+Premissas!$B$11+Premissas!$B$12+ROUND(Premissas!$B$13*E534,2)</f>
        <v/>
      </c>
      <c r="N534" s="25">
        <f>ROUNDUP((L534+M534-Premissas!$B$5*L534)/(1-Premissas!$B$6-Premissas!$B$7-Premissas!$B$5-Premissas!$B$14),2)</f>
        <v/>
      </c>
      <c r="O534" s="24">
        <f>ROUND(IF(N534&lt;=30000,N534*(1+Premissas!$B$21),N534+Premissas!$B$21*30000*SQRT(N534/30000)),2)</f>
        <v/>
      </c>
      <c r="P534" s="24">
        <f>N534-I534</f>
        <v/>
      </c>
      <c r="Q534" s="26">
        <f>P534/I534</f>
        <v/>
      </c>
      <c r="R534" s="26">
        <f>(I534-L534-Premissas!$B$5*(I534-L534)-(Premissas!$B$6+Premissas!$B$7)*I534-M534)/I534</f>
        <v/>
      </c>
      <c r="S534" s="24">
        <f>ROUND((CEILING((L534*Premissas!$B$19/Premissas!$B$20-97)/100,1)*100+97)*Premissas!$B$20,2)</f>
        <v/>
      </c>
    </row>
    <row r="535">
      <c r="A535" s="17" t="inlineStr">
        <is>
          <t>KIT 94 MOD. 620W + MICROINVERSOR HOYMILES 2,25KW</t>
        </is>
      </c>
      <c r="B535" s="17" t="inlineStr">
        <is>
          <t>HOYMILES</t>
        </is>
      </c>
      <c r="C535" s="17" t="inlineStr">
        <is>
          <t>Micro</t>
        </is>
      </c>
      <c r="D535" s="21" t="n">
        <v>94</v>
      </c>
      <c r="E535" s="30" t="n">
        <v>58.28</v>
      </c>
      <c r="F535" s="20" t="inlineStr">
        <is>
          <t>Microinversor HOYMILES 2,25kW</t>
        </is>
      </c>
      <c r="G535" s="21" t="n">
        <v>24</v>
      </c>
      <c r="H535" s="17" t="inlineStr">
        <is>
          <t>Sim</t>
        </is>
      </c>
      <c r="I535" s="23" t="n">
        <v>153578.19</v>
      </c>
      <c r="J535" s="24">
        <f>(D535*Premissas!$B$24+(2*ROUNDUP(D535/2,0))*Premissas!$B$26+INT((2*ROUNDUP(D535/2,0))/4)*Premissas!$B$27+MOD((2*ROUNDUP(D535/2,0)),4)/2*Premissas!$B$28+2*IF(D535&lt;=19,3*D535,IF(D535&lt;=50,ROUNDUP(2.5*D535,0),2*D535))*Premissas!$B$29+IF(C535="Micro",G535*(Premissas!$B$31+Premissas!$B$32+4*Premissas!$B$30),G535*(INDEX(Premissas!$B$40:$B$71,MATCH(F535,Premissas!$A$40:$A$71,0))+INDEX(Premissas!$C$40:$C$71,MATCH(F535,Premissas!$A$40:$A$71,0))*Premissas!$B$30)))</f>
        <v/>
      </c>
      <c r="K535" s="24">
        <f>IF(J535&lt;Premissas!$B$36,MAX(Premissas!$B$33,J535*Premissas!$B$34),J535*Premissas!$B$35)</f>
        <v/>
      </c>
      <c r="L535" s="24">
        <f>ROUND(J535+K535,2)</f>
        <v/>
      </c>
      <c r="M535" s="24">
        <f>D535*Premissas!$B$8+Premissas!$B$9+Premissas!$B$10+Premissas!$B$11+Premissas!$B$12+ROUND(Premissas!$B$13*E535,2)</f>
        <v/>
      </c>
      <c r="N535" s="25">
        <f>ROUNDUP((L535+M535-Premissas!$B$5*L535)/(1-Premissas!$B$6-Premissas!$B$7-Premissas!$B$5-Premissas!$B$14),2)</f>
        <v/>
      </c>
      <c r="O535" s="24">
        <f>ROUND(IF(N535&lt;=30000,N535*(1+Premissas!$B$21),N535+Premissas!$B$21*30000*SQRT(N535/30000)),2)</f>
        <v/>
      </c>
      <c r="P535" s="24">
        <f>N535-I535</f>
        <v/>
      </c>
      <c r="Q535" s="26">
        <f>P535/I535</f>
        <v/>
      </c>
      <c r="R535" s="26">
        <f>(I535-L535-Premissas!$B$5*(I535-L535)-(Premissas!$B$6+Premissas!$B$7)*I535-M535)/I535</f>
        <v/>
      </c>
      <c r="S535" s="24">
        <f>ROUND((CEILING((L535*Premissas!$B$19/Premissas!$B$20-97)/100,1)*100+97)*Premissas!$B$20,2)</f>
        <v/>
      </c>
    </row>
    <row r="536">
      <c r="A536" s="17" t="inlineStr">
        <is>
          <t>KIT 95 MOD. 620W + MICROINVERSOR HOYMILES 2,25KW</t>
        </is>
      </c>
      <c r="B536" s="17" t="inlineStr">
        <is>
          <t>HOYMILES</t>
        </is>
      </c>
      <c r="C536" s="17" t="inlineStr">
        <is>
          <t>Micro</t>
        </is>
      </c>
      <c r="D536" s="21" t="n">
        <v>95</v>
      </c>
      <c r="E536" s="30" t="n">
        <v>58.9</v>
      </c>
      <c r="F536" s="20" t="inlineStr">
        <is>
          <t>Microinversor HOYMILES 2,25kW</t>
        </is>
      </c>
      <c r="G536" s="21" t="n">
        <v>24</v>
      </c>
      <c r="H536" s="17" t="inlineStr">
        <is>
          <t>Sim</t>
        </is>
      </c>
      <c r="I536" s="23" t="n">
        <v>154970.49</v>
      </c>
      <c r="J536" s="24">
        <f>(D536*Premissas!$B$24+(2*ROUNDUP(D536/2,0))*Premissas!$B$26+INT((2*ROUNDUP(D536/2,0))/4)*Premissas!$B$27+MOD((2*ROUNDUP(D536/2,0)),4)/2*Premissas!$B$28+2*IF(D536&lt;=19,3*D536,IF(D536&lt;=50,ROUNDUP(2.5*D536,0),2*D536))*Premissas!$B$29+IF(C536="Micro",G536*(Premissas!$B$31+Premissas!$B$32+4*Premissas!$B$30),G536*(INDEX(Premissas!$B$40:$B$71,MATCH(F536,Premissas!$A$40:$A$71,0))+INDEX(Premissas!$C$40:$C$71,MATCH(F536,Premissas!$A$40:$A$71,0))*Premissas!$B$30)))</f>
        <v/>
      </c>
      <c r="K536" s="24">
        <f>IF(J536&lt;Premissas!$B$36,MAX(Premissas!$B$33,J536*Premissas!$B$34),J536*Premissas!$B$35)</f>
        <v/>
      </c>
      <c r="L536" s="24">
        <f>ROUND(J536+K536,2)</f>
        <v/>
      </c>
      <c r="M536" s="24">
        <f>D536*Premissas!$B$8+Premissas!$B$9+Premissas!$B$10+Premissas!$B$11+Premissas!$B$12+ROUND(Premissas!$B$13*E536,2)</f>
        <v/>
      </c>
      <c r="N536" s="25">
        <f>ROUNDUP((L536+M536-Premissas!$B$5*L536)/(1-Premissas!$B$6-Premissas!$B$7-Premissas!$B$5-Premissas!$B$14),2)</f>
        <v/>
      </c>
      <c r="O536" s="24">
        <f>ROUND(IF(N536&lt;=30000,N536*(1+Premissas!$B$21),N536+Premissas!$B$21*30000*SQRT(N536/30000)),2)</f>
        <v/>
      </c>
      <c r="P536" s="24">
        <f>N536-I536</f>
        <v/>
      </c>
      <c r="Q536" s="26">
        <f>P536/I536</f>
        <v/>
      </c>
      <c r="R536" s="26">
        <f>(I536-L536-Premissas!$B$5*(I536-L536)-(Premissas!$B$6+Premissas!$B$7)*I536-M536)/I536</f>
        <v/>
      </c>
      <c r="S536" s="24">
        <f>ROUND((CEILING((L536*Premissas!$B$19/Premissas!$B$20-97)/100,1)*100+97)*Premissas!$B$20,2)</f>
        <v/>
      </c>
    </row>
    <row r="537">
      <c r="A537" s="17" t="inlineStr">
        <is>
          <t>KIT 96 MOD. 620W + MICROINVERSOR HOYMILES 2,25KW</t>
        </is>
      </c>
      <c r="B537" s="17" t="inlineStr">
        <is>
          <t>HOYMILES</t>
        </is>
      </c>
      <c r="C537" s="17" t="inlineStr">
        <is>
          <t>Micro</t>
        </is>
      </c>
      <c r="D537" s="21" t="n">
        <v>96</v>
      </c>
      <c r="E537" s="30" t="n">
        <v>59.52</v>
      </c>
      <c r="F537" s="20" t="inlineStr">
        <is>
          <t>Microinversor HOYMILES 2,25kW</t>
        </is>
      </c>
      <c r="G537" s="21" t="n">
        <v>24</v>
      </c>
      <c r="H537" s="17" t="inlineStr">
        <is>
          <t>Sim</t>
        </is>
      </c>
      <c r="I537" s="23" t="n">
        <v>155934.39</v>
      </c>
      <c r="J537" s="24">
        <f>(D537*Premissas!$B$24+(2*ROUNDUP(D537/2,0))*Premissas!$B$26+INT((2*ROUNDUP(D537/2,0))/4)*Premissas!$B$27+MOD((2*ROUNDUP(D537/2,0)),4)/2*Premissas!$B$28+2*IF(D537&lt;=19,3*D537,IF(D537&lt;=50,ROUNDUP(2.5*D537,0),2*D537))*Premissas!$B$29+IF(C537="Micro",G537*(Premissas!$B$31+Premissas!$B$32+4*Premissas!$B$30),G537*(INDEX(Premissas!$B$40:$B$71,MATCH(F537,Premissas!$A$40:$A$71,0))+INDEX(Premissas!$C$40:$C$71,MATCH(F537,Premissas!$A$40:$A$71,0))*Premissas!$B$30)))</f>
        <v/>
      </c>
      <c r="K537" s="24">
        <f>IF(J537&lt;Premissas!$B$36,MAX(Premissas!$B$33,J537*Premissas!$B$34),J537*Premissas!$B$35)</f>
        <v/>
      </c>
      <c r="L537" s="24">
        <f>ROUND(J537+K537,2)</f>
        <v/>
      </c>
      <c r="M537" s="24">
        <f>D537*Premissas!$B$8+Premissas!$B$9+Premissas!$B$10+Premissas!$B$11+Premissas!$B$12+ROUND(Premissas!$B$13*E537,2)</f>
        <v/>
      </c>
      <c r="N537" s="25">
        <f>ROUNDUP((L537+M537-Premissas!$B$5*L537)/(1-Premissas!$B$6-Premissas!$B$7-Premissas!$B$5-Premissas!$B$14),2)</f>
        <v/>
      </c>
      <c r="O537" s="24">
        <f>ROUND(IF(N537&lt;=30000,N537*(1+Premissas!$B$21),N537+Premissas!$B$21*30000*SQRT(N537/30000)),2)</f>
        <v/>
      </c>
      <c r="P537" s="24">
        <f>N537-I537</f>
        <v/>
      </c>
      <c r="Q537" s="26">
        <f>P537/I537</f>
        <v/>
      </c>
      <c r="R537" s="26">
        <f>(I537-L537-Premissas!$B$5*(I537-L537)-(Premissas!$B$6+Premissas!$B$7)*I537-M537)/I537</f>
        <v/>
      </c>
      <c r="S537" s="24">
        <f>ROUND((CEILING((L537*Premissas!$B$19/Premissas!$B$20-97)/100,1)*100+97)*Premissas!$B$20,2)</f>
        <v/>
      </c>
    </row>
    <row r="538">
      <c r="A538" s="17" t="inlineStr">
        <is>
          <t>KIT 97 MOD. 620W + MICROINVERSOR HOYMILES 2,25KW</t>
        </is>
      </c>
      <c r="B538" s="17" t="inlineStr">
        <is>
          <t>HOYMILES</t>
        </is>
      </c>
      <c r="C538" s="17" t="inlineStr">
        <is>
          <t>Micro</t>
        </is>
      </c>
      <c r="D538" s="21" t="n">
        <v>97</v>
      </c>
      <c r="E538" s="30" t="n">
        <v>60.14</v>
      </c>
      <c r="F538" s="20" t="inlineStr">
        <is>
          <t>Microinversor HOYMILES 2,25kW</t>
        </is>
      </c>
      <c r="G538" s="21" t="n">
        <v>25</v>
      </c>
      <c r="H538" s="17" t="inlineStr">
        <is>
          <t>Sim</t>
        </is>
      </c>
      <c r="I538" s="23" t="n">
        <v>159147.39</v>
      </c>
      <c r="J538" s="24">
        <f>(D538*Premissas!$B$24+(2*ROUNDUP(D538/2,0))*Premissas!$B$26+INT((2*ROUNDUP(D538/2,0))/4)*Premissas!$B$27+MOD((2*ROUNDUP(D538/2,0)),4)/2*Premissas!$B$28+2*IF(D538&lt;=19,3*D538,IF(D538&lt;=50,ROUNDUP(2.5*D538,0),2*D538))*Premissas!$B$29+IF(C538="Micro",G538*(Premissas!$B$31+Premissas!$B$32+4*Premissas!$B$30),G538*(INDEX(Premissas!$B$40:$B$71,MATCH(F538,Premissas!$A$40:$A$71,0))+INDEX(Premissas!$C$40:$C$71,MATCH(F538,Premissas!$A$40:$A$71,0))*Premissas!$B$30)))</f>
        <v/>
      </c>
      <c r="K538" s="24">
        <f>IF(J538&lt;Premissas!$B$36,MAX(Premissas!$B$33,J538*Premissas!$B$34),J538*Premissas!$B$35)</f>
        <v/>
      </c>
      <c r="L538" s="24">
        <f>ROUND(J538+K538,2)</f>
        <v/>
      </c>
      <c r="M538" s="24">
        <f>D538*Premissas!$B$8+Premissas!$B$9+Premissas!$B$10+Premissas!$B$11+Premissas!$B$12+ROUND(Premissas!$B$13*E538,2)</f>
        <v/>
      </c>
      <c r="N538" s="25">
        <f>ROUNDUP((L538+M538-Premissas!$B$5*L538)/(1-Premissas!$B$6-Premissas!$B$7-Premissas!$B$5-Premissas!$B$14),2)</f>
        <v/>
      </c>
      <c r="O538" s="24">
        <f>ROUND(IF(N538&lt;=30000,N538*(1+Premissas!$B$21),N538+Premissas!$B$21*30000*SQRT(N538/30000)),2)</f>
        <v/>
      </c>
      <c r="P538" s="24">
        <f>N538-I538</f>
        <v/>
      </c>
      <c r="Q538" s="26">
        <f>P538/I538</f>
        <v/>
      </c>
      <c r="R538" s="26">
        <f>(I538-L538-Premissas!$B$5*(I538-L538)-(Premissas!$B$6+Premissas!$B$7)*I538-M538)/I538</f>
        <v/>
      </c>
      <c r="S538" s="24">
        <f>ROUND((CEILING((L538*Premissas!$B$19/Premissas!$B$20-97)/100,1)*100+97)*Premissas!$B$20,2)</f>
        <v/>
      </c>
    </row>
    <row r="539">
      <c r="A539" s="17" t="inlineStr">
        <is>
          <t>KIT 98 MOD. 620W + MICROINVERSOR HOYMILES 2,25KW</t>
        </is>
      </c>
      <c r="B539" s="17" t="inlineStr">
        <is>
          <t>HOYMILES</t>
        </is>
      </c>
      <c r="C539" s="17" t="inlineStr">
        <is>
          <t>Micro</t>
        </is>
      </c>
      <c r="D539" s="21" t="n">
        <v>98</v>
      </c>
      <c r="E539" s="30" t="n">
        <v>60.76</v>
      </c>
      <c r="F539" s="20" t="inlineStr">
        <is>
          <t>Microinversor HOYMILES 2,25kW</t>
        </is>
      </c>
      <c r="G539" s="21" t="n">
        <v>25</v>
      </c>
      <c r="H539" s="17" t="inlineStr">
        <is>
          <t>Sim</t>
        </is>
      </c>
      <c r="I539" s="23" t="n">
        <v>160111.29</v>
      </c>
      <c r="J539" s="24">
        <f>(D539*Premissas!$B$24+(2*ROUNDUP(D539/2,0))*Premissas!$B$26+INT((2*ROUNDUP(D539/2,0))/4)*Premissas!$B$27+MOD((2*ROUNDUP(D539/2,0)),4)/2*Premissas!$B$28+2*IF(D539&lt;=19,3*D539,IF(D539&lt;=50,ROUNDUP(2.5*D539,0),2*D539))*Premissas!$B$29+IF(C539="Micro",G539*(Premissas!$B$31+Premissas!$B$32+4*Premissas!$B$30),G539*(INDEX(Premissas!$B$40:$B$71,MATCH(F539,Premissas!$A$40:$A$71,0))+INDEX(Premissas!$C$40:$C$71,MATCH(F539,Premissas!$A$40:$A$71,0))*Premissas!$B$30)))</f>
        <v/>
      </c>
      <c r="K539" s="24">
        <f>IF(J539&lt;Premissas!$B$36,MAX(Premissas!$B$33,J539*Premissas!$B$34),J539*Premissas!$B$35)</f>
        <v/>
      </c>
      <c r="L539" s="24">
        <f>ROUND(J539+K539,2)</f>
        <v/>
      </c>
      <c r="M539" s="24">
        <f>D539*Premissas!$B$8+Premissas!$B$9+Premissas!$B$10+Premissas!$B$11+Premissas!$B$12+ROUND(Premissas!$B$13*E539,2)</f>
        <v/>
      </c>
      <c r="N539" s="25">
        <f>ROUNDUP((L539+M539-Premissas!$B$5*L539)/(1-Premissas!$B$6-Premissas!$B$7-Premissas!$B$5-Premissas!$B$14),2)</f>
        <v/>
      </c>
      <c r="O539" s="24">
        <f>ROUND(IF(N539&lt;=30000,N539*(1+Premissas!$B$21),N539+Premissas!$B$21*30000*SQRT(N539/30000)),2)</f>
        <v/>
      </c>
      <c r="P539" s="24">
        <f>N539-I539</f>
        <v/>
      </c>
      <c r="Q539" s="26">
        <f>P539/I539</f>
        <v/>
      </c>
      <c r="R539" s="26">
        <f>(I539-L539-Premissas!$B$5*(I539-L539)-(Premissas!$B$6+Premissas!$B$7)*I539-M539)/I539</f>
        <v/>
      </c>
      <c r="S539" s="24">
        <f>ROUND((CEILING((L539*Premissas!$B$19/Premissas!$B$20-97)/100,1)*100+97)*Premissas!$B$20,2)</f>
        <v/>
      </c>
    </row>
    <row r="540">
      <c r="A540" s="17" t="inlineStr">
        <is>
          <t>KIT 99 MOD. 620W + MICROINVERSOR HOYMILES 2,25KW</t>
        </is>
      </c>
      <c r="B540" s="17" t="inlineStr">
        <is>
          <t>HOYMILES</t>
        </is>
      </c>
      <c r="C540" s="17" t="inlineStr">
        <is>
          <t>Micro</t>
        </is>
      </c>
      <c r="D540" s="21" t="n">
        <v>99</v>
      </c>
      <c r="E540" s="30" t="n">
        <v>61.38</v>
      </c>
      <c r="F540" s="20" t="inlineStr">
        <is>
          <t>Microinversor HOYMILES 2,25kW</t>
        </is>
      </c>
      <c r="G540" s="21" t="n">
        <v>25</v>
      </c>
      <c r="H540" s="17" t="inlineStr">
        <is>
          <t>Sim</t>
        </is>
      </c>
      <c r="I540" s="23" t="n">
        <v>161396.49</v>
      </c>
      <c r="J540" s="24">
        <f>(D540*Premissas!$B$24+(2*ROUNDUP(D540/2,0))*Premissas!$B$26+INT((2*ROUNDUP(D540/2,0))/4)*Premissas!$B$27+MOD((2*ROUNDUP(D540/2,0)),4)/2*Premissas!$B$28+2*IF(D540&lt;=19,3*D540,IF(D540&lt;=50,ROUNDUP(2.5*D540,0),2*D540))*Premissas!$B$29+IF(C540="Micro",G540*(Premissas!$B$31+Premissas!$B$32+4*Premissas!$B$30),G540*(INDEX(Premissas!$B$40:$B$71,MATCH(F540,Premissas!$A$40:$A$71,0))+INDEX(Premissas!$C$40:$C$71,MATCH(F540,Premissas!$A$40:$A$71,0))*Premissas!$B$30)))</f>
        <v/>
      </c>
      <c r="K540" s="24">
        <f>IF(J540&lt;Premissas!$B$36,MAX(Premissas!$B$33,J540*Premissas!$B$34),J540*Premissas!$B$35)</f>
        <v/>
      </c>
      <c r="L540" s="24">
        <f>ROUND(J540+K540,2)</f>
        <v/>
      </c>
      <c r="M540" s="24">
        <f>D540*Premissas!$B$8+Premissas!$B$9+Premissas!$B$10+Premissas!$B$11+Premissas!$B$12+ROUND(Premissas!$B$13*E540,2)</f>
        <v/>
      </c>
      <c r="N540" s="25">
        <f>ROUNDUP((L540+M540-Premissas!$B$5*L540)/(1-Premissas!$B$6-Premissas!$B$7-Premissas!$B$5-Premissas!$B$14),2)</f>
        <v/>
      </c>
      <c r="O540" s="24">
        <f>ROUND(IF(N540&lt;=30000,N540*(1+Premissas!$B$21),N540+Premissas!$B$21*30000*SQRT(N540/30000)),2)</f>
        <v/>
      </c>
      <c r="P540" s="24">
        <f>N540-I540</f>
        <v/>
      </c>
      <c r="Q540" s="26">
        <f>P540/I540</f>
        <v/>
      </c>
      <c r="R540" s="26">
        <f>(I540-L540-Premissas!$B$5*(I540-L540)-(Premissas!$B$6+Premissas!$B$7)*I540-M540)/I540</f>
        <v/>
      </c>
      <c r="S540" s="24">
        <f>ROUND((CEILING((L540*Premissas!$B$19/Premissas!$B$20-97)/100,1)*100+97)*Premissas!$B$20,2)</f>
        <v/>
      </c>
    </row>
    <row r="541">
      <c r="A541" s="17" t="inlineStr">
        <is>
          <t>KIT 100 MOD. 620W + MICROINVERSOR HOYMILES 2,25KW</t>
        </is>
      </c>
      <c r="B541" s="17" t="inlineStr">
        <is>
          <t>HOYMILES</t>
        </is>
      </c>
      <c r="C541" s="17" t="inlineStr">
        <is>
          <t>Micro</t>
        </is>
      </c>
      <c r="D541" s="21" t="n">
        <v>100</v>
      </c>
      <c r="E541" s="30" t="n">
        <v>62</v>
      </c>
      <c r="F541" s="20" t="inlineStr">
        <is>
          <t>Microinversor HOYMILES 2,25kW</t>
        </is>
      </c>
      <c r="G541" s="21" t="n">
        <v>25</v>
      </c>
      <c r="H541" s="17" t="inlineStr">
        <is>
          <t>Sim</t>
        </is>
      </c>
      <c r="I541" s="23" t="n">
        <v>162467.49</v>
      </c>
      <c r="J541" s="24">
        <f>(D541*Premissas!$B$24+(2*ROUNDUP(D541/2,0))*Premissas!$B$26+INT((2*ROUNDUP(D541/2,0))/4)*Premissas!$B$27+MOD((2*ROUNDUP(D541/2,0)),4)/2*Premissas!$B$28+2*IF(D541&lt;=19,3*D541,IF(D541&lt;=50,ROUNDUP(2.5*D541,0),2*D541))*Premissas!$B$29+IF(C541="Micro",G541*(Premissas!$B$31+Premissas!$B$32+4*Premissas!$B$30),G541*(INDEX(Premissas!$B$40:$B$71,MATCH(F541,Premissas!$A$40:$A$71,0))+INDEX(Premissas!$C$40:$C$71,MATCH(F541,Premissas!$A$40:$A$71,0))*Premissas!$B$30)))</f>
        <v/>
      </c>
      <c r="K541" s="24">
        <f>IF(J541&lt;Premissas!$B$36,MAX(Premissas!$B$33,J541*Premissas!$B$34),J541*Premissas!$B$35)</f>
        <v/>
      </c>
      <c r="L541" s="24">
        <f>ROUND(J541+K541,2)</f>
        <v/>
      </c>
      <c r="M541" s="24">
        <f>D541*Premissas!$B$8+Premissas!$B$9+Premissas!$B$10+Premissas!$B$11+Premissas!$B$12+ROUND(Premissas!$B$13*E541,2)</f>
        <v/>
      </c>
      <c r="N541" s="25">
        <f>ROUNDUP((L541+M541-Premissas!$B$5*L541)/(1-Premissas!$B$6-Premissas!$B$7-Premissas!$B$5-Premissas!$B$14),2)</f>
        <v/>
      </c>
      <c r="O541" s="24">
        <f>ROUND(IF(N541&lt;=30000,N541*(1+Premissas!$B$21),N541+Premissas!$B$21*30000*SQRT(N541/30000)),2)</f>
        <v/>
      </c>
      <c r="P541" s="24">
        <f>N541-I541</f>
        <v/>
      </c>
      <c r="Q541" s="26">
        <f>P541/I541</f>
        <v/>
      </c>
      <c r="R541" s="26">
        <f>(I541-L541-Premissas!$B$5*(I541-L541)-(Premissas!$B$6+Premissas!$B$7)*I541-M541)/I541</f>
        <v/>
      </c>
      <c r="S541" s="24">
        <f>ROUND((CEILING((L541*Premissas!$B$19/Premissas!$B$20-97)/100,1)*100+97)*Premissas!$B$20,2)</f>
        <v/>
      </c>
    </row>
    <row r="542">
      <c r="A542" s="17" t="inlineStr">
        <is>
          <t>KIT 101 MOD. 620W + MICROINVERSOR HOYMILES 2,25KW</t>
        </is>
      </c>
      <c r="B542" s="17" t="inlineStr">
        <is>
          <t>HOYMILES</t>
        </is>
      </c>
      <c r="C542" s="17" t="inlineStr">
        <is>
          <t>Micro</t>
        </is>
      </c>
      <c r="D542" s="21" t="n">
        <v>101</v>
      </c>
      <c r="E542" s="30" t="n">
        <v>62.62</v>
      </c>
      <c r="F542" s="20" t="inlineStr">
        <is>
          <t>Microinversor HOYMILES 2,25kW</t>
        </is>
      </c>
      <c r="G542" s="21" t="n">
        <v>26</v>
      </c>
      <c r="H542" s="17" t="inlineStr">
        <is>
          <t>Sim</t>
        </is>
      </c>
      <c r="I542" s="23" t="n">
        <v>165573.39</v>
      </c>
      <c r="J542" s="24">
        <f>(D542*Premissas!$B$24+(2*ROUNDUP(D542/2,0))*Premissas!$B$26+INT((2*ROUNDUP(D542/2,0))/4)*Premissas!$B$27+MOD((2*ROUNDUP(D542/2,0)),4)/2*Premissas!$B$28+2*IF(D542&lt;=19,3*D542,IF(D542&lt;=50,ROUNDUP(2.5*D542,0),2*D542))*Premissas!$B$29+IF(C542="Micro",G542*(Premissas!$B$31+Premissas!$B$32+4*Premissas!$B$30),G542*(INDEX(Premissas!$B$40:$B$71,MATCH(F542,Premissas!$A$40:$A$71,0))+INDEX(Premissas!$C$40:$C$71,MATCH(F542,Premissas!$A$40:$A$71,0))*Premissas!$B$30)))</f>
        <v/>
      </c>
      <c r="K542" s="24">
        <f>IF(J542&lt;Premissas!$B$36,MAX(Premissas!$B$33,J542*Premissas!$B$34),J542*Premissas!$B$35)</f>
        <v/>
      </c>
      <c r="L542" s="24">
        <f>ROUND(J542+K542,2)</f>
        <v/>
      </c>
      <c r="M542" s="24">
        <f>D542*Premissas!$B$8+Premissas!$B$9+Premissas!$B$10+Premissas!$B$11+Premissas!$B$12+ROUND(Premissas!$B$13*E542,2)</f>
        <v/>
      </c>
      <c r="N542" s="25">
        <f>ROUNDUP((L542+M542-Premissas!$B$5*L542)/(1-Premissas!$B$6-Premissas!$B$7-Premissas!$B$5-Premissas!$B$14),2)</f>
        <v/>
      </c>
      <c r="O542" s="24">
        <f>ROUND(IF(N542&lt;=30000,N542*(1+Premissas!$B$21),N542+Premissas!$B$21*30000*SQRT(N542/30000)),2)</f>
        <v/>
      </c>
      <c r="P542" s="24">
        <f>N542-I542</f>
        <v/>
      </c>
      <c r="Q542" s="26">
        <f>P542/I542</f>
        <v/>
      </c>
      <c r="R542" s="26">
        <f>(I542-L542-Premissas!$B$5*(I542-L542)-(Premissas!$B$6+Premissas!$B$7)*I542-M542)/I542</f>
        <v/>
      </c>
      <c r="S542" s="24">
        <f>ROUND((CEILING((L542*Premissas!$B$19/Premissas!$B$20-97)/100,1)*100+97)*Premissas!$B$20,2)</f>
        <v/>
      </c>
    </row>
    <row r="543">
      <c r="A543" s="17" t="inlineStr">
        <is>
          <t>KIT 102 MOD. 620W + MICROINVERSOR HOYMILES 2,25KW</t>
        </is>
      </c>
      <c r="B543" s="17" t="inlineStr">
        <is>
          <t>HOYMILES</t>
        </is>
      </c>
      <c r="C543" s="17" t="inlineStr">
        <is>
          <t>Micro</t>
        </is>
      </c>
      <c r="D543" s="21" t="n">
        <v>102</v>
      </c>
      <c r="E543" s="30" t="n">
        <v>63.24</v>
      </c>
      <c r="F543" s="20" t="inlineStr">
        <is>
          <t>Microinversor HOYMILES 2,25kW</t>
        </is>
      </c>
      <c r="G543" s="21" t="n">
        <v>26</v>
      </c>
      <c r="H543" s="17" t="inlineStr">
        <is>
          <t>Sim</t>
        </is>
      </c>
      <c r="I543" s="23" t="n">
        <v>166644.39</v>
      </c>
      <c r="J543" s="24">
        <f>(D543*Premissas!$B$24+(2*ROUNDUP(D543/2,0))*Premissas!$B$26+INT((2*ROUNDUP(D543/2,0))/4)*Premissas!$B$27+MOD((2*ROUNDUP(D543/2,0)),4)/2*Premissas!$B$28+2*IF(D543&lt;=19,3*D543,IF(D543&lt;=50,ROUNDUP(2.5*D543,0),2*D543))*Premissas!$B$29+IF(C543="Micro",G543*(Premissas!$B$31+Premissas!$B$32+4*Premissas!$B$30),G543*(INDEX(Premissas!$B$40:$B$71,MATCH(F543,Premissas!$A$40:$A$71,0))+INDEX(Premissas!$C$40:$C$71,MATCH(F543,Premissas!$A$40:$A$71,0))*Premissas!$B$30)))</f>
        <v/>
      </c>
      <c r="K543" s="24">
        <f>IF(J543&lt;Premissas!$B$36,MAX(Premissas!$B$33,J543*Premissas!$B$34),J543*Premissas!$B$35)</f>
        <v/>
      </c>
      <c r="L543" s="24">
        <f>ROUND(J543+K543,2)</f>
        <v/>
      </c>
      <c r="M543" s="24">
        <f>D543*Premissas!$B$8+Premissas!$B$9+Premissas!$B$10+Premissas!$B$11+Premissas!$B$12+ROUND(Premissas!$B$13*E543,2)</f>
        <v/>
      </c>
      <c r="N543" s="25">
        <f>ROUNDUP((L543+M543-Premissas!$B$5*L543)/(1-Premissas!$B$6-Premissas!$B$7-Premissas!$B$5-Premissas!$B$14),2)</f>
        <v/>
      </c>
      <c r="O543" s="24">
        <f>ROUND(IF(N543&lt;=30000,N543*(1+Premissas!$B$21),N543+Premissas!$B$21*30000*SQRT(N543/30000)),2)</f>
        <v/>
      </c>
      <c r="P543" s="24">
        <f>N543-I543</f>
        <v/>
      </c>
      <c r="Q543" s="26">
        <f>P543/I543</f>
        <v/>
      </c>
      <c r="R543" s="26">
        <f>(I543-L543-Premissas!$B$5*(I543-L543)-(Premissas!$B$6+Premissas!$B$7)*I543-M543)/I543</f>
        <v/>
      </c>
      <c r="S543" s="24">
        <f>ROUND((CEILING((L543*Premissas!$B$19/Premissas!$B$20-97)/100,1)*100+97)*Premissas!$B$20,2)</f>
        <v/>
      </c>
    </row>
    <row r="544">
      <c r="A544" s="17" t="inlineStr">
        <is>
          <t>KIT 103 MOD. 620W + MICROINVERSOR HOYMILES 2,25KW</t>
        </is>
      </c>
      <c r="B544" s="17" t="inlineStr">
        <is>
          <t>HOYMILES</t>
        </is>
      </c>
      <c r="C544" s="17" t="inlineStr">
        <is>
          <t>Micro</t>
        </is>
      </c>
      <c r="D544" s="21" t="n">
        <v>103</v>
      </c>
      <c r="E544" s="30" t="n">
        <v>63.86</v>
      </c>
      <c r="F544" s="20" t="inlineStr">
        <is>
          <t>Microinversor HOYMILES 2,25kW</t>
        </is>
      </c>
      <c r="G544" s="21" t="n">
        <v>26</v>
      </c>
      <c r="H544" s="17" t="inlineStr">
        <is>
          <t>Sim</t>
        </is>
      </c>
      <c r="I544" s="23" t="n">
        <v>167929.59</v>
      </c>
      <c r="J544" s="24">
        <f>(D544*Premissas!$B$24+(2*ROUNDUP(D544/2,0))*Premissas!$B$26+INT((2*ROUNDUP(D544/2,0))/4)*Premissas!$B$27+MOD((2*ROUNDUP(D544/2,0)),4)/2*Premissas!$B$28+2*IF(D544&lt;=19,3*D544,IF(D544&lt;=50,ROUNDUP(2.5*D544,0),2*D544))*Premissas!$B$29+IF(C544="Micro",G544*(Premissas!$B$31+Premissas!$B$32+4*Premissas!$B$30),G544*(INDEX(Premissas!$B$40:$B$71,MATCH(F544,Premissas!$A$40:$A$71,0))+INDEX(Premissas!$C$40:$C$71,MATCH(F544,Premissas!$A$40:$A$71,0))*Premissas!$B$30)))</f>
        <v/>
      </c>
      <c r="K544" s="24">
        <f>IF(J544&lt;Premissas!$B$36,MAX(Premissas!$B$33,J544*Premissas!$B$34),J544*Premissas!$B$35)</f>
        <v/>
      </c>
      <c r="L544" s="24">
        <f>ROUND(J544+K544,2)</f>
        <v/>
      </c>
      <c r="M544" s="24">
        <f>D544*Premissas!$B$8+Premissas!$B$9+Premissas!$B$10+Premissas!$B$11+Premissas!$B$12+ROUND(Premissas!$B$13*E544,2)</f>
        <v/>
      </c>
      <c r="N544" s="25">
        <f>ROUNDUP((L544+M544-Premissas!$B$5*L544)/(1-Premissas!$B$6-Premissas!$B$7-Premissas!$B$5-Premissas!$B$14),2)</f>
        <v/>
      </c>
      <c r="O544" s="24">
        <f>ROUND(IF(N544&lt;=30000,N544*(1+Premissas!$B$21),N544+Premissas!$B$21*30000*SQRT(N544/30000)),2)</f>
        <v/>
      </c>
      <c r="P544" s="24">
        <f>N544-I544</f>
        <v/>
      </c>
      <c r="Q544" s="26">
        <f>P544/I544</f>
        <v/>
      </c>
      <c r="R544" s="26">
        <f>(I544-L544-Premissas!$B$5*(I544-L544)-(Premissas!$B$6+Premissas!$B$7)*I544-M544)/I544</f>
        <v/>
      </c>
      <c r="S544" s="24">
        <f>ROUND((CEILING((L544*Premissas!$B$19/Premissas!$B$20-97)/100,1)*100+97)*Premissas!$B$20,2)</f>
        <v/>
      </c>
    </row>
    <row r="545">
      <c r="A545" s="17" t="inlineStr">
        <is>
          <t>KIT 104 MOD. 620W + MICROINVERSOR HOYMILES 2,25KW</t>
        </is>
      </c>
      <c r="B545" s="17" t="inlineStr">
        <is>
          <t>HOYMILES</t>
        </is>
      </c>
      <c r="C545" s="17" t="inlineStr">
        <is>
          <t>Micro</t>
        </is>
      </c>
      <c r="D545" s="21" t="n">
        <v>104</v>
      </c>
      <c r="E545" s="30" t="n">
        <v>64.48</v>
      </c>
      <c r="F545" s="20" t="inlineStr">
        <is>
          <t>Microinversor HOYMILES 2,25kW</t>
        </is>
      </c>
      <c r="G545" s="21" t="n">
        <v>26</v>
      </c>
      <c r="H545" s="17" t="inlineStr">
        <is>
          <t>Sim</t>
        </is>
      </c>
      <c r="I545" s="23" t="n">
        <v>169000.59</v>
      </c>
      <c r="J545" s="24">
        <f>(D545*Premissas!$B$24+(2*ROUNDUP(D545/2,0))*Premissas!$B$26+INT((2*ROUNDUP(D545/2,0))/4)*Premissas!$B$27+MOD((2*ROUNDUP(D545/2,0)),4)/2*Premissas!$B$28+2*IF(D545&lt;=19,3*D545,IF(D545&lt;=50,ROUNDUP(2.5*D545,0),2*D545))*Premissas!$B$29+IF(C545="Micro",G545*(Premissas!$B$31+Premissas!$B$32+4*Premissas!$B$30),G545*(INDEX(Premissas!$B$40:$B$71,MATCH(F545,Premissas!$A$40:$A$71,0))+INDEX(Premissas!$C$40:$C$71,MATCH(F545,Premissas!$A$40:$A$71,0))*Premissas!$B$30)))</f>
        <v/>
      </c>
      <c r="K545" s="24">
        <f>IF(J545&lt;Premissas!$B$36,MAX(Premissas!$B$33,J545*Premissas!$B$34),J545*Premissas!$B$35)</f>
        <v/>
      </c>
      <c r="L545" s="24">
        <f>ROUND(J545+K545,2)</f>
        <v/>
      </c>
      <c r="M545" s="24">
        <f>D545*Premissas!$B$8+Premissas!$B$9+Premissas!$B$10+Premissas!$B$11+Premissas!$B$12+ROUND(Premissas!$B$13*E545,2)</f>
        <v/>
      </c>
      <c r="N545" s="25">
        <f>ROUNDUP((L545+M545-Premissas!$B$5*L545)/(1-Premissas!$B$6-Premissas!$B$7-Premissas!$B$5-Premissas!$B$14),2)</f>
        <v/>
      </c>
      <c r="O545" s="24">
        <f>ROUND(IF(N545&lt;=30000,N545*(1+Premissas!$B$21),N545+Premissas!$B$21*30000*SQRT(N545/30000)),2)</f>
        <v/>
      </c>
      <c r="P545" s="24">
        <f>N545-I545</f>
        <v/>
      </c>
      <c r="Q545" s="26">
        <f>P545/I545</f>
        <v/>
      </c>
      <c r="R545" s="26">
        <f>(I545-L545-Premissas!$B$5*(I545-L545)-(Premissas!$B$6+Premissas!$B$7)*I545-M545)/I545</f>
        <v/>
      </c>
      <c r="S545" s="24">
        <f>ROUND((CEILING((L545*Premissas!$B$19/Premissas!$B$20-97)/100,1)*100+97)*Premissas!$B$20,2)</f>
        <v/>
      </c>
    </row>
    <row r="546">
      <c r="A546" s="17" t="inlineStr">
        <is>
          <t>KIT 105 MOD. 620W + MICROINVERSOR HOYMILES 2,25KW</t>
        </is>
      </c>
      <c r="B546" s="17" t="inlineStr">
        <is>
          <t>HOYMILES</t>
        </is>
      </c>
      <c r="C546" s="17" t="inlineStr">
        <is>
          <t>Micro</t>
        </is>
      </c>
      <c r="D546" s="21" t="n">
        <v>105</v>
      </c>
      <c r="E546" s="30" t="n">
        <v>65.09999999999999</v>
      </c>
      <c r="F546" s="20" t="inlineStr">
        <is>
          <t>Microinversor HOYMILES 2,25kW</t>
        </is>
      </c>
      <c r="G546" s="21" t="n">
        <v>27</v>
      </c>
      <c r="H546" s="17" t="inlineStr">
        <is>
          <t>Sim</t>
        </is>
      </c>
      <c r="I546" s="23" t="n">
        <v>172106.49</v>
      </c>
      <c r="J546" s="24">
        <f>(D546*Premissas!$B$24+(2*ROUNDUP(D546/2,0))*Premissas!$B$26+INT((2*ROUNDUP(D546/2,0))/4)*Premissas!$B$27+MOD((2*ROUNDUP(D546/2,0)),4)/2*Premissas!$B$28+2*IF(D546&lt;=19,3*D546,IF(D546&lt;=50,ROUNDUP(2.5*D546,0),2*D546))*Premissas!$B$29+IF(C546="Micro",G546*(Premissas!$B$31+Premissas!$B$32+4*Premissas!$B$30),G546*(INDEX(Premissas!$B$40:$B$71,MATCH(F546,Premissas!$A$40:$A$71,0))+INDEX(Premissas!$C$40:$C$71,MATCH(F546,Premissas!$A$40:$A$71,0))*Premissas!$B$30)))</f>
        <v/>
      </c>
      <c r="K546" s="24">
        <f>IF(J546&lt;Premissas!$B$36,MAX(Premissas!$B$33,J546*Premissas!$B$34),J546*Premissas!$B$35)</f>
        <v/>
      </c>
      <c r="L546" s="24">
        <f>ROUND(J546+K546,2)</f>
        <v/>
      </c>
      <c r="M546" s="24">
        <f>D546*Premissas!$B$8+Premissas!$B$9+Premissas!$B$10+Premissas!$B$11+Premissas!$B$12+ROUND(Premissas!$B$13*E546,2)</f>
        <v/>
      </c>
      <c r="N546" s="25">
        <f>ROUNDUP((L546+M546-Premissas!$B$5*L546)/(1-Premissas!$B$6-Premissas!$B$7-Premissas!$B$5-Premissas!$B$14),2)</f>
        <v/>
      </c>
      <c r="O546" s="24">
        <f>ROUND(IF(N546&lt;=30000,N546*(1+Premissas!$B$21),N546+Premissas!$B$21*30000*SQRT(N546/30000)),2)</f>
        <v/>
      </c>
      <c r="P546" s="24">
        <f>N546-I546</f>
        <v/>
      </c>
      <c r="Q546" s="26">
        <f>P546/I546</f>
        <v/>
      </c>
      <c r="R546" s="26">
        <f>(I546-L546-Premissas!$B$5*(I546-L546)-(Premissas!$B$6+Premissas!$B$7)*I546-M546)/I546</f>
        <v/>
      </c>
      <c r="S546" s="24">
        <f>ROUND((CEILING((L546*Premissas!$B$19/Premissas!$B$20-97)/100,1)*100+97)*Premissas!$B$20,2)</f>
        <v/>
      </c>
    </row>
    <row r="547">
      <c r="A547" s="17" t="inlineStr">
        <is>
          <t>KIT 106 MOD. 620W + MICROINVERSOR HOYMILES 2,25KW</t>
        </is>
      </c>
      <c r="B547" s="17" t="inlineStr">
        <is>
          <t>HOYMILES</t>
        </is>
      </c>
      <c r="C547" s="17" t="inlineStr">
        <is>
          <t>Micro</t>
        </is>
      </c>
      <c r="D547" s="21" t="n">
        <v>106</v>
      </c>
      <c r="E547" s="30" t="n">
        <v>65.72</v>
      </c>
      <c r="F547" s="20" t="inlineStr">
        <is>
          <t>Microinversor HOYMILES 2,25kW</t>
        </is>
      </c>
      <c r="G547" s="21" t="n">
        <v>27</v>
      </c>
      <c r="H547" s="17" t="inlineStr">
        <is>
          <t>Sim</t>
        </is>
      </c>
      <c r="I547" s="23" t="n">
        <v>173070.39</v>
      </c>
      <c r="J547" s="24">
        <f>(D547*Premissas!$B$24+(2*ROUNDUP(D547/2,0))*Premissas!$B$26+INT((2*ROUNDUP(D547/2,0))/4)*Premissas!$B$27+MOD((2*ROUNDUP(D547/2,0)),4)/2*Premissas!$B$28+2*IF(D547&lt;=19,3*D547,IF(D547&lt;=50,ROUNDUP(2.5*D547,0),2*D547))*Premissas!$B$29+IF(C547="Micro",G547*(Premissas!$B$31+Premissas!$B$32+4*Premissas!$B$30),G547*(INDEX(Premissas!$B$40:$B$71,MATCH(F547,Premissas!$A$40:$A$71,0))+INDEX(Premissas!$C$40:$C$71,MATCH(F547,Premissas!$A$40:$A$71,0))*Premissas!$B$30)))</f>
        <v/>
      </c>
      <c r="K547" s="24">
        <f>IF(J547&lt;Premissas!$B$36,MAX(Premissas!$B$33,J547*Premissas!$B$34),J547*Premissas!$B$35)</f>
        <v/>
      </c>
      <c r="L547" s="24">
        <f>ROUND(J547+K547,2)</f>
        <v/>
      </c>
      <c r="M547" s="24">
        <f>D547*Premissas!$B$8+Premissas!$B$9+Premissas!$B$10+Premissas!$B$11+Premissas!$B$12+ROUND(Premissas!$B$13*E547,2)</f>
        <v/>
      </c>
      <c r="N547" s="25">
        <f>ROUNDUP((L547+M547-Premissas!$B$5*L547)/(1-Premissas!$B$6-Premissas!$B$7-Premissas!$B$5-Premissas!$B$14),2)</f>
        <v/>
      </c>
      <c r="O547" s="24">
        <f>ROUND(IF(N547&lt;=30000,N547*(1+Premissas!$B$21),N547+Premissas!$B$21*30000*SQRT(N547/30000)),2)</f>
        <v/>
      </c>
      <c r="P547" s="24">
        <f>N547-I547</f>
        <v/>
      </c>
      <c r="Q547" s="26">
        <f>P547/I547</f>
        <v/>
      </c>
      <c r="R547" s="26">
        <f>(I547-L547-Premissas!$B$5*(I547-L547)-(Premissas!$B$6+Premissas!$B$7)*I547-M547)/I547</f>
        <v/>
      </c>
      <c r="S547" s="24">
        <f>ROUND((CEILING((L547*Premissas!$B$19/Premissas!$B$20-97)/100,1)*100+97)*Premissas!$B$20,2)</f>
        <v/>
      </c>
    </row>
    <row r="548">
      <c r="A548" s="17" t="inlineStr">
        <is>
          <t>KIT 107 MOD. 620W + MICROINVERSOR HOYMILES 2,25KW</t>
        </is>
      </c>
      <c r="B548" s="17" t="inlineStr">
        <is>
          <t>HOYMILES</t>
        </is>
      </c>
      <c r="C548" s="17" t="inlineStr">
        <is>
          <t>Micro</t>
        </is>
      </c>
      <c r="D548" s="21" t="n">
        <v>107</v>
      </c>
      <c r="E548" s="30" t="n">
        <v>66.34</v>
      </c>
      <c r="F548" s="20" t="inlineStr">
        <is>
          <t>Microinversor HOYMILES 2,25kW</t>
        </is>
      </c>
      <c r="G548" s="21" t="n">
        <v>27</v>
      </c>
      <c r="H548" s="17" t="inlineStr">
        <is>
          <t>Sim</t>
        </is>
      </c>
      <c r="I548" s="23" t="n">
        <v>174462.69</v>
      </c>
      <c r="J548" s="24">
        <f>(D548*Premissas!$B$24+(2*ROUNDUP(D548/2,0))*Premissas!$B$26+INT((2*ROUNDUP(D548/2,0))/4)*Premissas!$B$27+MOD((2*ROUNDUP(D548/2,0)),4)/2*Premissas!$B$28+2*IF(D548&lt;=19,3*D548,IF(D548&lt;=50,ROUNDUP(2.5*D548,0),2*D548))*Premissas!$B$29+IF(C548="Micro",G548*(Premissas!$B$31+Premissas!$B$32+4*Premissas!$B$30),G548*(INDEX(Premissas!$B$40:$B$71,MATCH(F548,Premissas!$A$40:$A$71,0))+INDEX(Premissas!$C$40:$C$71,MATCH(F548,Premissas!$A$40:$A$71,0))*Premissas!$B$30)))</f>
        <v/>
      </c>
      <c r="K548" s="24">
        <f>IF(J548&lt;Premissas!$B$36,MAX(Premissas!$B$33,J548*Premissas!$B$34),J548*Premissas!$B$35)</f>
        <v/>
      </c>
      <c r="L548" s="24">
        <f>ROUND(J548+K548,2)</f>
        <v/>
      </c>
      <c r="M548" s="24">
        <f>D548*Premissas!$B$8+Premissas!$B$9+Premissas!$B$10+Premissas!$B$11+Premissas!$B$12+ROUND(Premissas!$B$13*E548,2)</f>
        <v/>
      </c>
      <c r="N548" s="25">
        <f>ROUNDUP((L548+M548-Premissas!$B$5*L548)/(1-Premissas!$B$6-Premissas!$B$7-Premissas!$B$5-Premissas!$B$14),2)</f>
        <v/>
      </c>
      <c r="O548" s="24">
        <f>ROUND(IF(N548&lt;=30000,N548*(1+Premissas!$B$21),N548+Premissas!$B$21*30000*SQRT(N548/30000)),2)</f>
        <v/>
      </c>
      <c r="P548" s="24">
        <f>N548-I548</f>
        <v/>
      </c>
      <c r="Q548" s="26">
        <f>P548/I548</f>
        <v/>
      </c>
      <c r="R548" s="26">
        <f>(I548-L548-Premissas!$B$5*(I548-L548)-(Premissas!$B$6+Premissas!$B$7)*I548-M548)/I548</f>
        <v/>
      </c>
      <c r="S548" s="24">
        <f>ROUND((CEILING((L548*Premissas!$B$19/Premissas!$B$20-97)/100,1)*100+97)*Premissas!$B$20,2)</f>
        <v/>
      </c>
    </row>
    <row r="549">
      <c r="A549" s="17" t="inlineStr">
        <is>
          <t>KIT 108 MOD. 620W + MICROINVERSOR HOYMILES 2,25KW</t>
        </is>
      </c>
      <c r="B549" s="17" t="inlineStr">
        <is>
          <t>HOYMILES</t>
        </is>
      </c>
      <c r="C549" s="17" t="inlineStr">
        <is>
          <t>Micro</t>
        </is>
      </c>
      <c r="D549" s="21" t="n">
        <v>108</v>
      </c>
      <c r="E549" s="30" t="n">
        <v>66.95999999999999</v>
      </c>
      <c r="F549" s="20" t="inlineStr">
        <is>
          <t>Microinversor HOYMILES 2,25kW</t>
        </is>
      </c>
      <c r="G549" s="21" t="n">
        <v>27</v>
      </c>
      <c r="H549" s="17" t="inlineStr">
        <is>
          <t>Sim</t>
        </is>
      </c>
      <c r="I549" s="23" t="n">
        <v>175426.59</v>
      </c>
      <c r="J549" s="24">
        <f>(D549*Premissas!$B$24+(2*ROUNDUP(D549/2,0))*Premissas!$B$26+INT((2*ROUNDUP(D549/2,0))/4)*Premissas!$B$27+MOD((2*ROUNDUP(D549/2,0)),4)/2*Premissas!$B$28+2*IF(D549&lt;=19,3*D549,IF(D549&lt;=50,ROUNDUP(2.5*D549,0),2*D549))*Premissas!$B$29+IF(C549="Micro",G549*(Premissas!$B$31+Premissas!$B$32+4*Premissas!$B$30),G549*(INDEX(Premissas!$B$40:$B$71,MATCH(F549,Premissas!$A$40:$A$71,0))+INDEX(Premissas!$C$40:$C$71,MATCH(F549,Premissas!$A$40:$A$71,0))*Premissas!$B$30)))</f>
        <v/>
      </c>
      <c r="K549" s="24">
        <f>IF(J549&lt;Premissas!$B$36,MAX(Premissas!$B$33,J549*Premissas!$B$34),J549*Premissas!$B$35)</f>
        <v/>
      </c>
      <c r="L549" s="24">
        <f>ROUND(J549+K549,2)</f>
        <v/>
      </c>
      <c r="M549" s="24">
        <f>D549*Premissas!$B$8+Premissas!$B$9+Premissas!$B$10+Premissas!$B$11+Premissas!$B$12+ROUND(Premissas!$B$13*E549,2)</f>
        <v/>
      </c>
      <c r="N549" s="25">
        <f>ROUNDUP((L549+M549-Premissas!$B$5*L549)/(1-Premissas!$B$6-Premissas!$B$7-Premissas!$B$5-Premissas!$B$14),2)</f>
        <v/>
      </c>
      <c r="O549" s="24">
        <f>ROUND(IF(N549&lt;=30000,N549*(1+Premissas!$B$21),N549+Premissas!$B$21*30000*SQRT(N549/30000)),2)</f>
        <v/>
      </c>
      <c r="P549" s="24">
        <f>N549-I549</f>
        <v/>
      </c>
      <c r="Q549" s="26">
        <f>P549/I549</f>
        <v/>
      </c>
      <c r="R549" s="26">
        <f>(I549-L549-Premissas!$B$5*(I549-L549)-(Premissas!$B$6+Premissas!$B$7)*I549-M549)/I549</f>
        <v/>
      </c>
      <c r="S549" s="24">
        <f>ROUND((CEILING((L549*Premissas!$B$19/Premissas!$B$20-97)/100,1)*100+97)*Premissas!$B$20,2)</f>
        <v/>
      </c>
    </row>
    <row r="550">
      <c r="A550" s="17" t="inlineStr">
        <is>
          <t>KIT 109 MOD. 620W + MICROINVERSOR HOYMILES 2,25KW</t>
        </is>
      </c>
      <c r="B550" s="17" t="inlineStr">
        <is>
          <t>HOYMILES</t>
        </is>
      </c>
      <c r="C550" s="17" t="inlineStr">
        <is>
          <t>Micro</t>
        </is>
      </c>
      <c r="D550" s="21" t="n">
        <v>109</v>
      </c>
      <c r="E550" s="30" t="n">
        <v>67.58</v>
      </c>
      <c r="F550" s="20" t="inlineStr">
        <is>
          <t>Microinversor HOYMILES 2,25kW</t>
        </is>
      </c>
      <c r="G550" s="21" t="n">
        <v>28</v>
      </c>
      <c r="H550" s="17" t="inlineStr">
        <is>
          <t>Sim</t>
        </is>
      </c>
      <c r="I550" s="23" t="n">
        <v>178532.49</v>
      </c>
      <c r="J550" s="24">
        <f>(D550*Premissas!$B$24+(2*ROUNDUP(D550/2,0))*Premissas!$B$26+INT((2*ROUNDUP(D550/2,0))/4)*Premissas!$B$27+MOD((2*ROUNDUP(D550/2,0)),4)/2*Premissas!$B$28+2*IF(D550&lt;=19,3*D550,IF(D550&lt;=50,ROUNDUP(2.5*D550,0),2*D550))*Premissas!$B$29+IF(C550="Micro",G550*(Premissas!$B$31+Premissas!$B$32+4*Premissas!$B$30),G550*(INDEX(Premissas!$B$40:$B$71,MATCH(F550,Premissas!$A$40:$A$71,0))+INDEX(Premissas!$C$40:$C$71,MATCH(F550,Premissas!$A$40:$A$71,0))*Premissas!$B$30)))</f>
        <v/>
      </c>
      <c r="K550" s="24">
        <f>IF(J550&lt;Premissas!$B$36,MAX(Premissas!$B$33,J550*Premissas!$B$34),J550*Premissas!$B$35)</f>
        <v/>
      </c>
      <c r="L550" s="24">
        <f>ROUND(J550+K550,2)</f>
        <v/>
      </c>
      <c r="M550" s="24">
        <f>D550*Premissas!$B$8+Premissas!$B$9+Premissas!$B$10+Premissas!$B$11+Premissas!$B$12+ROUND(Premissas!$B$13*E550,2)</f>
        <v/>
      </c>
      <c r="N550" s="25">
        <f>ROUNDUP((L550+M550-Premissas!$B$5*L550)/(1-Premissas!$B$6-Premissas!$B$7-Premissas!$B$5-Premissas!$B$14),2)</f>
        <v/>
      </c>
      <c r="O550" s="24">
        <f>ROUND(IF(N550&lt;=30000,N550*(1+Premissas!$B$21),N550+Premissas!$B$21*30000*SQRT(N550/30000)),2)</f>
        <v/>
      </c>
      <c r="P550" s="24">
        <f>N550-I550</f>
        <v/>
      </c>
      <c r="Q550" s="26">
        <f>P550/I550</f>
        <v/>
      </c>
      <c r="R550" s="26">
        <f>(I550-L550-Premissas!$B$5*(I550-L550)-(Premissas!$B$6+Premissas!$B$7)*I550-M550)/I550</f>
        <v/>
      </c>
      <c r="S550" s="24">
        <f>ROUND((CEILING((L550*Premissas!$B$19/Premissas!$B$20-97)/100,1)*100+97)*Premissas!$B$20,2)</f>
        <v/>
      </c>
    </row>
    <row r="551">
      <c r="A551" s="17" t="inlineStr">
        <is>
          <t>KIT 110 MOD. 620W + MICROINVERSOR HOYMILES 2,25KW</t>
        </is>
      </c>
      <c r="B551" s="17" t="inlineStr">
        <is>
          <t>HOYMILES</t>
        </is>
      </c>
      <c r="C551" s="17" t="inlineStr">
        <is>
          <t>Micro</t>
        </is>
      </c>
      <c r="D551" s="21" t="n">
        <v>110</v>
      </c>
      <c r="E551" s="30" t="n">
        <v>68.2</v>
      </c>
      <c r="F551" s="20" t="inlineStr">
        <is>
          <t>Microinversor HOYMILES 2,25kW</t>
        </is>
      </c>
      <c r="G551" s="21" t="n">
        <v>28</v>
      </c>
      <c r="H551" s="17" t="inlineStr">
        <is>
          <t>Sim</t>
        </is>
      </c>
      <c r="I551" s="23" t="n">
        <v>179603.49</v>
      </c>
      <c r="J551" s="24">
        <f>(D551*Premissas!$B$24+(2*ROUNDUP(D551/2,0))*Premissas!$B$26+INT((2*ROUNDUP(D551/2,0))/4)*Premissas!$B$27+MOD((2*ROUNDUP(D551/2,0)),4)/2*Premissas!$B$28+2*IF(D551&lt;=19,3*D551,IF(D551&lt;=50,ROUNDUP(2.5*D551,0),2*D551))*Premissas!$B$29+IF(C551="Micro",G551*(Premissas!$B$31+Premissas!$B$32+4*Premissas!$B$30),G551*(INDEX(Premissas!$B$40:$B$71,MATCH(F551,Premissas!$A$40:$A$71,0))+INDEX(Premissas!$C$40:$C$71,MATCH(F551,Premissas!$A$40:$A$71,0))*Premissas!$B$30)))</f>
        <v/>
      </c>
      <c r="K551" s="24">
        <f>IF(J551&lt;Premissas!$B$36,MAX(Premissas!$B$33,J551*Premissas!$B$34),J551*Premissas!$B$35)</f>
        <v/>
      </c>
      <c r="L551" s="24">
        <f>ROUND(J551+K551,2)</f>
        <v/>
      </c>
      <c r="M551" s="24">
        <f>D551*Premissas!$B$8+Premissas!$B$9+Premissas!$B$10+Premissas!$B$11+Premissas!$B$12+ROUND(Premissas!$B$13*E551,2)</f>
        <v/>
      </c>
      <c r="N551" s="25">
        <f>ROUNDUP((L551+M551-Premissas!$B$5*L551)/(1-Premissas!$B$6-Premissas!$B$7-Premissas!$B$5-Premissas!$B$14),2)</f>
        <v/>
      </c>
      <c r="O551" s="24">
        <f>ROUND(IF(N551&lt;=30000,N551*(1+Premissas!$B$21),N551+Premissas!$B$21*30000*SQRT(N551/30000)),2)</f>
        <v/>
      </c>
      <c r="P551" s="24">
        <f>N551-I551</f>
        <v/>
      </c>
      <c r="Q551" s="26">
        <f>P551/I551</f>
        <v/>
      </c>
      <c r="R551" s="26">
        <f>(I551-L551-Premissas!$B$5*(I551-L551)-(Premissas!$B$6+Premissas!$B$7)*I551-M551)/I551</f>
        <v/>
      </c>
      <c r="S551" s="24">
        <f>ROUND((CEILING((L551*Premissas!$B$19/Premissas!$B$20-97)/100,1)*100+97)*Premissas!$B$20,2)</f>
        <v/>
      </c>
    </row>
    <row r="552">
      <c r="A552" s="17" t="inlineStr">
        <is>
          <t>KIT 111 MOD. 620W + MICROINVERSOR HOYMILES 2,25KW</t>
        </is>
      </c>
      <c r="B552" s="17" t="inlineStr">
        <is>
          <t>HOYMILES</t>
        </is>
      </c>
      <c r="C552" s="17" t="inlineStr">
        <is>
          <t>Micro</t>
        </is>
      </c>
      <c r="D552" s="21" t="n">
        <v>111</v>
      </c>
      <c r="E552" s="30" t="n">
        <v>68.81999999999999</v>
      </c>
      <c r="F552" s="20" t="inlineStr">
        <is>
          <t>Microinversor HOYMILES 2,25kW</t>
        </is>
      </c>
      <c r="G552" s="21" t="n">
        <v>28</v>
      </c>
      <c r="H552" s="17" t="inlineStr">
        <is>
          <t>Sim</t>
        </is>
      </c>
      <c r="I552" s="23" t="n">
        <v>180888.69</v>
      </c>
      <c r="J552" s="24">
        <f>(D552*Premissas!$B$24+(2*ROUNDUP(D552/2,0))*Premissas!$B$26+INT((2*ROUNDUP(D552/2,0))/4)*Premissas!$B$27+MOD((2*ROUNDUP(D552/2,0)),4)/2*Premissas!$B$28+2*IF(D552&lt;=19,3*D552,IF(D552&lt;=50,ROUNDUP(2.5*D552,0),2*D552))*Premissas!$B$29+IF(C552="Micro",G552*(Premissas!$B$31+Premissas!$B$32+4*Premissas!$B$30),G552*(INDEX(Premissas!$B$40:$B$71,MATCH(F552,Premissas!$A$40:$A$71,0))+INDEX(Premissas!$C$40:$C$71,MATCH(F552,Premissas!$A$40:$A$71,0))*Premissas!$B$30)))</f>
        <v/>
      </c>
      <c r="K552" s="24">
        <f>IF(J552&lt;Premissas!$B$36,MAX(Premissas!$B$33,J552*Premissas!$B$34),J552*Premissas!$B$35)</f>
        <v/>
      </c>
      <c r="L552" s="24">
        <f>ROUND(J552+K552,2)</f>
        <v/>
      </c>
      <c r="M552" s="24">
        <f>D552*Premissas!$B$8+Premissas!$B$9+Premissas!$B$10+Premissas!$B$11+Premissas!$B$12+ROUND(Premissas!$B$13*E552,2)</f>
        <v/>
      </c>
      <c r="N552" s="25">
        <f>ROUNDUP((L552+M552-Premissas!$B$5*L552)/(1-Premissas!$B$6-Premissas!$B$7-Premissas!$B$5-Premissas!$B$14),2)</f>
        <v/>
      </c>
      <c r="O552" s="24">
        <f>ROUND(IF(N552&lt;=30000,N552*(1+Premissas!$B$21),N552+Premissas!$B$21*30000*SQRT(N552/30000)),2)</f>
        <v/>
      </c>
      <c r="P552" s="24">
        <f>N552-I552</f>
        <v/>
      </c>
      <c r="Q552" s="26">
        <f>P552/I552</f>
        <v/>
      </c>
      <c r="R552" s="26">
        <f>(I552-L552-Premissas!$B$5*(I552-L552)-(Premissas!$B$6+Premissas!$B$7)*I552-M552)/I552</f>
        <v/>
      </c>
      <c r="S552" s="24">
        <f>ROUND((CEILING((L552*Premissas!$B$19/Premissas!$B$20-97)/100,1)*100+97)*Premissas!$B$20,2)</f>
        <v/>
      </c>
    </row>
    <row r="553">
      <c r="A553" s="17" t="inlineStr">
        <is>
          <t>KIT 112 MOD. 620W + MICROINVERSOR HOYMILES 2,25KW</t>
        </is>
      </c>
      <c r="B553" s="17" t="inlineStr">
        <is>
          <t>HOYMILES</t>
        </is>
      </c>
      <c r="C553" s="17" t="inlineStr">
        <is>
          <t>Micro</t>
        </is>
      </c>
      <c r="D553" s="21" t="n">
        <v>112</v>
      </c>
      <c r="E553" s="30" t="n">
        <v>69.44</v>
      </c>
      <c r="F553" s="20" t="inlineStr">
        <is>
          <t>Microinversor HOYMILES 2,25kW</t>
        </is>
      </c>
      <c r="G553" s="21" t="n">
        <v>28</v>
      </c>
      <c r="H553" s="17" t="inlineStr">
        <is>
          <t>Sim</t>
        </is>
      </c>
      <c r="I553" s="23" t="n">
        <v>181959.69</v>
      </c>
      <c r="J553" s="24">
        <f>(D553*Premissas!$B$24+(2*ROUNDUP(D553/2,0))*Premissas!$B$26+INT((2*ROUNDUP(D553/2,0))/4)*Premissas!$B$27+MOD((2*ROUNDUP(D553/2,0)),4)/2*Premissas!$B$28+2*IF(D553&lt;=19,3*D553,IF(D553&lt;=50,ROUNDUP(2.5*D553,0),2*D553))*Premissas!$B$29+IF(C553="Micro",G553*(Premissas!$B$31+Premissas!$B$32+4*Premissas!$B$30),G553*(INDEX(Premissas!$B$40:$B$71,MATCH(F553,Premissas!$A$40:$A$71,0))+INDEX(Premissas!$C$40:$C$71,MATCH(F553,Premissas!$A$40:$A$71,0))*Premissas!$B$30)))</f>
        <v/>
      </c>
      <c r="K553" s="24">
        <f>IF(J553&lt;Premissas!$B$36,MAX(Premissas!$B$33,J553*Premissas!$B$34),J553*Premissas!$B$35)</f>
        <v/>
      </c>
      <c r="L553" s="24">
        <f>ROUND(J553+K553,2)</f>
        <v/>
      </c>
      <c r="M553" s="24">
        <f>D553*Premissas!$B$8+Premissas!$B$9+Premissas!$B$10+Premissas!$B$11+Premissas!$B$12+ROUND(Premissas!$B$13*E553,2)</f>
        <v/>
      </c>
      <c r="N553" s="25">
        <f>ROUNDUP((L553+M553-Premissas!$B$5*L553)/(1-Premissas!$B$6-Premissas!$B$7-Premissas!$B$5-Premissas!$B$14),2)</f>
        <v/>
      </c>
      <c r="O553" s="24">
        <f>ROUND(IF(N553&lt;=30000,N553*(1+Premissas!$B$21),N553+Premissas!$B$21*30000*SQRT(N553/30000)),2)</f>
        <v/>
      </c>
      <c r="P553" s="24">
        <f>N553-I553</f>
        <v/>
      </c>
      <c r="Q553" s="26">
        <f>P553/I553</f>
        <v/>
      </c>
      <c r="R553" s="26">
        <f>(I553-L553-Premissas!$B$5*(I553-L553)-(Premissas!$B$6+Premissas!$B$7)*I553-M553)/I553</f>
        <v/>
      </c>
      <c r="S553" s="24">
        <f>ROUND((CEILING((L553*Premissas!$B$19/Premissas!$B$20-97)/100,1)*100+97)*Premissas!$B$20,2)</f>
        <v/>
      </c>
    </row>
    <row r="554">
      <c r="A554" s="17" t="inlineStr">
        <is>
          <t>KIT 113 MOD. 620W + MICROINVERSOR HOYMILES 2,25KW</t>
        </is>
      </c>
      <c r="B554" s="17" t="inlineStr">
        <is>
          <t>HOYMILES</t>
        </is>
      </c>
      <c r="C554" s="17" t="inlineStr">
        <is>
          <t>Micro</t>
        </is>
      </c>
      <c r="D554" s="21" t="n">
        <v>113</v>
      </c>
      <c r="E554" s="30" t="n">
        <v>70.06</v>
      </c>
      <c r="F554" s="20" t="inlineStr">
        <is>
          <t>Microinversor HOYMILES 2,25kW</t>
        </is>
      </c>
      <c r="G554" s="21" t="n">
        <v>29</v>
      </c>
      <c r="H554" s="17" t="inlineStr">
        <is>
          <t>Sim</t>
        </is>
      </c>
      <c r="I554" s="23" t="n">
        <v>185065.59</v>
      </c>
      <c r="J554" s="24">
        <f>(D554*Premissas!$B$24+(2*ROUNDUP(D554/2,0))*Premissas!$B$26+INT((2*ROUNDUP(D554/2,0))/4)*Premissas!$B$27+MOD((2*ROUNDUP(D554/2,0)),4)/2*Premissas!$B$28+2*IF(D554&lt;=19,3*D554,IF(D554&lt;=50,ROUNDUP(2.5*D554,0),2*D554))*Premissas!$B$29+IF(C554="Micro",G554*(Premissas!$B$31+Premissas!$B$32+4*Premissas!$B$30),G554*(INDEX(Premissas!$B$40:$B$71,MATCH(F554,Premissas!$A$40:$A$71,0))+INDEX(Premissas!$C$40:$C$71,MATCH(F554,Premissas!$A$40:$A$71,0))*Premissas!$B$30)))</f>
        <v/>
      </c>
      <c r="K554" s="24">
        <f>IF(J554&lt;Premissas!$B$36,MAX(Premissas!$B$33,J554*Premissas!$B$34),J554*Premissas!$B$35)</f>
        <v/>
      </c>
      <c r="L554" s="24">
        <f>ROUND(J554+K554,2)</f>
        <v/>
      </c>
      <c r="M554" s="24">
        <f>D554*Premissas!$B$8+Premissas!$B$9+Premissas!$B$10+Premissas!$B$11+Premissas!$B$12+ROUND(Premissas!$B$13*E554,2)</f>
        <v/>
      </c>
      <c r="N554" s="25">
        <f>ROUNDUP((L554+M554-Premissas!$B$5*L554)/(1-Premissas!$B$6-Premissas!$B$7-Premissas!$B$5-Premissas!$B$14),2)</f>
        <v/>
      </c>
      <c r="O554" s="24">
        <f>ROUND(IF(N554&lt;=30000,N554*(1+Premissas!$B$21),N554+Premissas!$B$21*30000*SQRT(N554/30000)),2)</f>
        <v/>
      </c>
      <c r="P554" s="24">
        <f>N554-I554</f>
        <v/>
      </c>
      <c r="Q554" s="26">
        <f>P554/I554</f>
        <v/>
      </c>
      <c r="R554" s="26">
        <f>(I554-L554-Premissas!$B$5*(I554-L554)-(Premissas!$B$6+Premissas!$B$7)*I554-M554)/I554</f>
        <v/>
      </c>
      <c r="S554" s="24">
        <f>ROUND((CEILING((L554*Premissas!$B$19/Premissas!$B$20-97)/100,1)*100+97)*Premissas!$B$20,2)</f>
        <v/>
      </c>
    </row>
    <row r="555">
      <c r="A555" s="17" t="inlineStr">
        <is>
          <t>KIT 114 MOD. 620W + MICROINVERSOR HOYMILES 2,25KW</t>
        </is>
      </c>
      <c r="B555" s="17" t="inlineStr">
        <is>
          <t>HOYMILES</t>
        </is>
      </c>
      <c r="C555" s="17" t="inlineStr">
        <is>
          <t>Micro</t>
        </is>
      </c>
      <c r="D555" s="21" t="n">
        <v>114</v>
      </c>
      <c r="E555" s="30" t="n">
        <v>70.68000000000001</v>
      </c>
      <c r="F555" s="20" t="inlineStr">
        <is>
          <t>Microinversor HOYMILES 2,25kW</t>
        </is>
      </c>
      <c r="G555" s="21" t="n">
        <v>29</v>
      </c>
      <c r="H555" s="17" t="inlineStr">
        <is>
          <t>Sim</t>
        </is>
      </c>
      <c r="I555" s="23" t="n">
        <v>186136.59</v>
      </c>
      <c r="J555" s="24">
        <f>(D555*Premissas!$B$24+(2*ROUNDUP(D555/2,0))*Premissas!$B$26+INT((2*ROUNDUP(D555/2,0))/4)*Premissas!$B$27+MOD((2*ROUNDUP(D555/2,0)),4)/2*Premissas!$B$28+2*IF(D555&lt;=19,3*D555,IF(D555&lt;=50,ROUNDUP(2.5*D555,0),2*D555))*Premissas!$B$29+IF(C555="Micro",G555*(Premissas!$B$31+Premissas!$B$32+4*Premissas!$B$30),G555*(INDEX(Premissas!$B$40:$B$71,MATCH(F555,Premissas!$A$40:$A$71,0))+INDEX(Premissas!$C$40:$C$71,MATCH(F555,Premissas!$A$40:$A$71,0))*Premissas!$B$30)))</f>
        <v/>
      </c>
      <c r="K555" s="24">
        <f>IF(J555&lt;Premissas!$B$36,MAX(Premissas!$B$33,J555*Premissas!$B$34),J555*Premissas!$B$35)</f>
        <v/>
      </c>
      <c r="L555" s="24">
        <f>ROUND(J555+K555,2)</f>
        <v/>
      </c>
      <c r="M555" s="24">
        <f>D555*Premissas!$B$8+Premissas!$B$9+Premissas!$B$10+Premissas!$B$11+Premissas!$B$12+ROUND(Premissas!$B$13*E555,2)</f>
        <v/>
      </c>
      <c r="N555" s="25">
        <f>ROUNDUP((L555+M555-Premissas!$B$5*L555)/(1-Premissas!$B$6-Premissas!$B$7-Premissas!$B$5-Premissas!$B$14),2)</f>
        <v/>
      </c>
      <c r="O555" s="24">
        <f>ROUND(IF(N555&lt;=30000,N555*(1+Premissas!$B$21),N555+Premissas!$B$21*30000*SQRT(N555/30000)),2)</f>
        <v/>
      </c>
      <c r="P555" s="24">
        <f>N555-I555</f>
        <v/>
      </c>
      <c r="Q555" s="26">
        <f>P555/I555</f>
        <v/>
      </c>
      <c r="R555" s="26">
        <f>(I555-L555-Premissas!$B$5*(I555-L555)-(Premissas!$B$6+Premissas!$B$7)*I555-M555)/I555</f>
        <v/>
      </c>
      <c r="S555" s="24">
        <f>ROUND((CEILING((L555*Premissas!$B$19/Premissas!$B$20-97)/100,1)*100+97)*Premissas!$B$20,2)</f>
        <v/>
      </c>
    </row>
    <row r="556">
      <c r="A556" s="17" t="inlineStr">
        <is>
          <t>KIT 115 MOD. 620W + MICROINVERSOR HOYMILES 2,25KW</t>
        </is>
      </c>
      <c r="B556" s="17" t="inlineStr">
        <is>
          <t>HOYMILES</t>
        </is>
      </c>
      <c r="C556" s="17" t="inlineStr">
        <is>
          <t>Micro</t>
        </is>
      </c>
      <c r="D556" s="21" t="n">
        <v>115</v>
      </c>
      <c r="E556" s="30" t="n">
        <v>71.3</v>
      </c>
      <c r="F556" s="20" t="inlineStr">
        <is>
          <t>Microinversor HOYMILES 2,25kW</t>
        </is>
      </c>
      <c r="G556" s="21" t="n">
        <v>29</v>
      </c>
      <c r="H556" s="17" t="inlineStr">
        <is>
          <t>Sim</t>
        </is>
      </c>
      <c r="I556" s="23" t="n">
        <v>187421.79</v>
      </c>
      <c r="J556" s="24">
        <f>(D556*Premissas!$B$24+(2*ROUNDUP(D556/2,0))*Premissas!$B$26+INT((2*ROUNDUP(D556/2,0))/4)*Premissas!$B$27+MOD((2*ROUNDUP(D556/2,0)),4)/2*Premissas!$B$28+2*IF(D556&lt;=19,3*D556,IF(D556&lt;=50,ROUNDUP(2.5*D556,0),2*D556))*Premissas!$B$29+IF(C556="Micro",G556*(Premissas!$B$31+Premissas!$B$32+4*Premissas!$B$30),G556*(INDEX(Premissas!$B$40:$B$71,MATCH(F556,Premissas!$A$40:$A$71,0))+INDEX(Premissas!$C$40:$C$71,MATCH(F556,Premissas!$A$40:$A$71,0))*Premissas!$B$30)))</f>
        <v/>
      </c>
      <c r="K556" s="24">
        <f>IF(J556&lt;Premissas!$B$36,MAX(Premissas!$B$33,J556*Premissas!$B$34),J556*Premissas!$B$35)</f>
        <v/>
      </c>
      <c r="L556" s="24">
        <f>ROUND(J556+K556,2)</f>
        <v/>
      </c>
      <c r="M556" s="24">
        <f>D556*Premissas!$B$8+Premissas!$B$9+Premissas!$B$10+Premissas!$B$11+Premissas!$B$12+ROUND(Premissas!$B$13*E556,2)</f>
        <v/>
      </c>
      <c r="N556" s="25">
        <f>ROUNDUP((L556+M556-Premissas!$B$5*L556)/(1-Premissas!$B$6-Premissas!$B$7-Premissas!$B$5-Premissas!$B$14),2)</f>
        <v/>
      </c>
      <c r="O556" s="24">
        <f>ROUND(IF(N556&lt;=30000,N556*(1+Premissas!$B$21),N556+Premissas!$B$21*30000*SQRT(N556/30000)),2)</f>
        <v/>
      </c>
      <c r="P556" s="24">
        <f>N556-I556</f>
        <v/>
      </c>
      <c r="Q556" s="26">
        <f>P556/I556</f>
        <v/>
      </c>
      <c r="R556" s="26">
        <f>(I556-L556-Premissas!$B$5*(I556-L556)-(Premissas!$B$6+Premissas!$B$7)*I556-M556)/I556</f>
        <v/>
      </c>
      <c r="S556" s="24">
        <f>ROUND((CEILING((L556*Premissas!$B$19/Premissas!$B$20-97)/100,1)*100+97)*Premissas!$B$20,2)</f>
        <v/>
      </c>
    </row>
    <row r="557">
      <c r="A557" s="17" t="inlineStr">
        <is>
          <t>KIT 116 MOD. 620W + MICROINVERSOR HOYMILES 2,25KW</t>
        </is>
      </c>
      <c r="B557" s="17" t="inlineStr">
        <is>
          <t>HOYMILES</t>
        </is>
      </c>
      <c r="C557" s="17" t="inlineStr">
        <is>
          <t>Micro</t>
        </is>
      </c>
      <c r="D557" s="21" t="n">
        <v>116</v>
      </c>
      <c r="E557" s="30" t="n">
        <v>71.92</v>
      </c>
      <c r="F557" s="20" t="inlineStr">
        <is>
          <t>Microinversor HOYMILES 2,25kW</t>
        </is>
      </c>
      <c r="G557" s="21" t="n">
        <v>29</v>
      </c>
      <c r="H557" s="17" t="inlineStr">
        <is>
          <t>Sim</t>
        </is>
      </c>
      <c r="I557" s="23" t="n">
        <v>188492.79</v>
      </c>
      <c r="J557" s="24">
        <f>(D557*Premissas!$B$24+(2*ROUNDUP(D557/2,0))*Premissas!$B$26+INT((2*ROUNDUP(D557/2,0))/4)*Premissas!$B$27+MOD((2*ROUNDUP(D557/2,0)),4)/2*Premissas!$B$28+2*IF(D557&lt;=19,3*D557,IF(D557&lt;=50,ROUNDUP(2.5*D557,0),2*D557))*Premissas!$B$29+IF(C557="Micro",G557*(Premissas!$B$31+Premissas!$B$32+4*Premissas!$B$30),G557*(INDEX(Premissas!$B$40:$B$71,MATCH(F557,Premissas!$A$40:$A$71,0))+INDEX(Premissas!$C$40:$C$71,MATCH(F557,Premissas!$A$40:$A$71,0))*Premissas!$B$30)))</f>
        <v/>
      </c>
      <c r="K557" s="24">
        <f>IF(J557&lt;Premissas!$B$36,MAX(Premissas!$B$33,J557*Premissas!$B$34),J557*Premissas!$B$35)</f>
        <v/>
      </c>
      <c r="L557" s="24">
        <f>ROUND(J557+K557,2)</f>
        <v/>
      </c>
      <c r="M557" s="24">
        <f>D557*Premissas!$B$8+Premissas!$B$9+Premissas!$B$10+Premissas!$B$11+Premissas!$B$12+ROUND(Premissas!$B$13*E557,2)</f>
        <v/>
      </c>
      <c r="N557" s="25">
        <f>ROUNDUP((L557+M557-Premissas!$B$5*L557)/(1-Premissas!$B$6-Premissas!$B$7-Premissas!$B$5-Premissas!$B$14),2)</f>
        <v/>
      </c>
      <c r="O557" s="24">
        <f>ROUND(IF(N557&lt;=30000,N557*(1+Premissas!$B$21),N557+Premissas!$B$21*30000*SQRT(N557/30000)),2)</f>
        <v/>
      </c>
      <c r="P557" s="24">
        <f>N557-I557</f>
        <v/>
      </c>
      <c r="Q557" s="26">
        <f>P557/I557</f>
        <v/>
      </c>
      <c r="R557" s="26">
        <f>(I557-L557-Premissas!$B$5*(I557-L557)-(Premissas!$B$6+Premissas!$B$7)*I557-M557)/I557</f>
        <v/>
      </c>
      <c r="S557" s="24">
        <f>ROUND((CEILING((L557*Premissas!$B$19/Premissas!$B$20-97)/100,1)*100+97)*Premissas!$B$20,2)</f>
        <v/>
      </c>
    </row>
    <row r="558">
      <c r="A558" s="17" t="inlineStr">
        <is>
          <t>KIT 117 MOD. 620W + MICROINVERSOR HOYMILES 2,25KW</t>
        </is>
      </c>
      <c r="B558" s="17" t="inlineStr">
        <is>
          <t>HOYMILES</t>
        </is>
      </c>
      <c r="C558" s="17" t="inlineStr">
        <is>
          <t>Micro</t>
        </is>
      </c>
      <c r="D558" s="21" t="n">
        <v>117</v>
      </c>
      <c r="E558" s="30" t="n">
        <v>72.54000000000001</v>
      </c>
      <c r="F558" s="20" t="inlineStr">
        <is>
          <t>Microinversor HOYMILES 2,25kW</t>
        </is>
      </c>
      <c r="G558" s="21" t="n">
        <v>30</v>
      </c>
      <c r="H558" s="17" t="inlineStr">
        <is>
          <t>Sim</t>
        </is>
      </c>
      <c r="I558" s="23" t="n">
        <v>191598.69</v>
      </c>
      <c r="J558" s="24">
        <f>(D558*Premissas!$B$24+(2*ROUNDUP(D558/2,0))*Premissas!$B$26+INT((2*ROUNDUP(D558/2,0))/4)*Premissas!$B$27+MOD((2*ROUNDUP(D558/2,0)),4)/2*Premissas!$B$28+2*IF(D558&lt;=19,3*D558,IF(D558&lt;=50,ROUNDUP(2.5*D558,0),2*D558))*Premissas!$B$29+IF(C558="Micro",G558*(Premissas!$B$31+Premissas!$B$32+4*Premissas!$B$30),G558*(INDEX(Premissas!$B$40:$B$71,MATCH(F558,Premissas!$A$40:$A$71,0))+INDEX(Premissas!$C$40:$C$71,MATCH(F558,Premissas!$A$40:$A$71,0))*Premissas!$B$30)))</f>
        <v/>
      </c>
      <c r="K558" s="24">
        <f>IF(J558&lt;Premissas!$B$36,MAX(Premissas!$B$33,J558*Premissas!$B$34),J558*Premissas!$B$35)</f>
        <v/>
      </c>
      <c r="L558" s="24">
        <f>ROUND(J558+K558,2)</f>
        <v/>
      </c>
      <c r="M558" s="24">
        <f>D558*Premissas!$B$8+Premissas!$B$9+Premissas!$B$10+Premissas!$B$11+Premissas!$B$12+ROUND(Premissas!$B$13*E558,2)</f>
        <v/>
      </c>
      <c r="N558" s="25">
        <f>ROUNDUP((L558+M558-Premissas!$B$5*L558)/(1-Premissas!$B$6-Premissas!$B$7-Premissas!$B$5-Premissas!$B$14),2)</f>
        <v/>
      </c>
      <c r="O558" s="24">
        <f>ROUND(IF(N558&lt;=30000,N558*(1+Premissas!$B$21),N558+Premissas!$B$21*30000*SQRT(N558/30000)),2)</f>
        <v/>
      </c>
      <c r="P558" s="24">
        <f>N558-I558</f>
        <v/>
      </c>
      <c r="Q558" s="26">
        <f>P558/I558</f>
        <v/>
      </c>
      <c r="R558" s="26">
        <f>(I558-L558-Premissas!$B$5*(I558-L558)-(Premissas!$B$6+Premissas!$B$7)*I558-M558)/I558</f>
        <v/>
      </c>
      <c r="S558" s="24">
        <f>ROUND((CEILING((L558*Premissas!$B$19/Premissas!$B$20-97)/100,1)*100+97)*Premissas!$B$20,2)</f>
        <v/>
      </c>
    </row>
    <row r="559">
      <c r="A559" s="17" t="inlineStr">
        <is>
          <t>KIT 118 MOD. 620W + MICROINVERSOR HOYMILES 2,25KW</t>
        </is>
      </c>
      <c r="B559" s="17" t="inlineStr">
        <is>
          <t>HOYMILES</t>
        </is>
      </c>
      <c r="C559" s="17" t="inlineStr">
        <is>
          <t>Micro</t>
        </is>
      </c>
      <c r="D559" s="21" t="n">
        <v>118</v>
      </c>
      <c r="E559" s="30" t="n">
        <v>73.16</v>
      </c>
      <c r="F559" s="20" t="inlineStr">
        <is>
          <t>Microinversor HOYMILES 2,25kW</t>
        </is>
      </c>
      <c r="G559" s="21" t="n">
        <v>30</v>
      </c>
      <c r="H559" s="17" t="inlineStr">
        <is>
          <t>Sim</t>
        </is>
      </c>
      <c r="I559" s="23" t="n">
        <v>192562.59</v>
      </c>
      <c r="J559" s="24">
        <f>(D559*Premissas!$B$24+(2*ROUNDUP(D559/2,0))*Premissas!$B$26+INT((2*ROUNDUP(D559/2,0))/4)*Premissas!$B$27+MOD((2*ROUNDUP(D559/2,0)),4)/2*Premissas!$B$28+2*IF(D559&lt;=19,3*D559,IF(D559&lt;=50,ROUNDUP(2.5*D559,0),2*D559))*Premissas!$B$29+IF(C559="Micro",G559*(Premissas!$B$31+Premissas!$B$32+4*Premissas!$B$30),G559*(INDEX(Premissas!$B$40:$B$71,MATCH(F559,Premissas!$A$40:$A$71,0))+INDEX(Premissas!$C$40:$C$71,MATCH(F559,Premissas!$A$40:$A$71,0))*Premissas!$B$30)))</f>
        <v/>
      </c>
      <c r="K559" s="24">
        <f>IF(J559&lt;Premissas!$B$36,MAX(Premissas!$B$33,J559*Premissas!$B$34),J559*Premissas!$B$35)</f>
        <v/>
      </c>
      <c r="L559" s="24">
        <f>ROUND(J559+K559,2)</f>
        <v/>
      </c>
      <c r="M559" s="24">
        <f>D559*Premissas!$B$8+Premissas!$B$9+Premissas!$B$10+Premissas!$B$11+Premissas!$B$12+ROUND(Premissas!$B$13*E559,2)</f>
        <v/>
      </c>
      <c r="N559" s="25">
        <f>ROUNDUP((L559+M559-Premissas!$B$5*L559)/(1-Premissas!$B$6-Premissas!$B$7-Premissas!$B$5-Premissas!$B$14),2)</f>
        <v/>
      </c>
      <c r="O559" s="24">
        <f>ROUND(IF(N559&lt;=30000,N559*(1+Premissas!$B$21),N559+Premissas!$B$21*30000*SQRT(N559/30000)),2)</f>
        <v/>
      </c>
      <c r="P559" s="24">
        <f>N559-I559</f>
        <v/>
      </c>
      <c r="Q559" s="26">
        <f>P559/I559</f>
        <v/>
      </c>
      <c r="R559" s="26">
        <f>(I559-L559-Premissas!$B$5*(I559-L559)-(Premissas!$B$6+Premissas!$B$7)*I559-M559)/I559</f>
        <v/>
      </c>
      <c r="S559" s="24">
        <f>ROUND((CEILING((L559*Premissas!$B$19/Premissas!$B$20-97)/100,1)*100+97)*Premissas!$B$20,2)</f>
        <v/>
      </c>
    </row>
    <row r="560">
      <c r="A560" s="17" t="inlineStr">
        <is>
          <t>KIT 119 MOD. 620W + MICROINVERSOR HOYMILES 2,25KW</t>
        </is>
      </c>
      <c r="B560" s="17" t="inlineStr">
        <is>
          <t>HOYMILES</t>
        </is>
      </c>
      <c r="C560" s="17" t="inlineStr">
        <is>
          <t>Micro</t>
        </is>
      </c>
      <c r="D560" s="21" t="n">
        <v>119</v>
      </c>
      <c r="E560" s="30" t="n">
        <v>73.78</v>
      </c>
      <c r="F560" s="20" t="inlineStr">
        <is>
          <t>Microinversor HOYMILES 2,25kW</t>
        </is>
      </c>
      <c r="G560" s="21" t="n">
        <v>30</v>
      </c>
      <c r="H560" s="17" t="inlineStr">
        <is>
          <t>Sim</t>
        </is>
      </c>
      <c r="I560" s="23" t="n">
        <v>193954.89</v>
      </c>
      <c r="J560" s="24">
        <f>(D560*Premissas!$B$24+(2*ROUNDUP(D560/2,0))*Premissas!$B$26+INT((2*ROUNDUP(D560/2,0))/4)*Premissas!$B$27+MOD((2*ROUNDUP(D560/2,0)),4)/2*Premissas!$B$28+2*IF(D560&lt;=19,3*D560,IF(D560&lt;=50,ROUNDUP(2.5*D560,0),2*D560))*Premissas!$B$29+IF(C560="Micro",G560*(Premissas!$B$31+Premissas!$B$32+4*Premissas!$B$30),G560*(INDEX(Premissas!$B$40:$B$71,MATCH(F560,Premissas!$A$40:$A$71,0))+INDEX(Premissas!$C$40:$C$71,MATCH(F560,Premissas!$A$40:$A$71,0))*Premissas!$B$30)))</f>
        <v/>
      </c>
      <c r="K560" s="24">
        <f>IF(J560&lt;Premissas!$B$36,MAX(Premissas!$B$33,J560*Premissas!$B$34),J560*Premissas!$B$35)</f>
        <v/>
      </c>
      <c r="L560" s="24">
        <f>ROUND(J560+K560,2)</f>
        <v/>
      </c>
      <c r="M560" s="24">
        <f>D560*Premissas!$B$8+Premissas!$B$9+Premissas!$B$10+Premissas!$B$11+Premissas!$B$12+ROUND(Premissas!$B$13*E560,2)</f>
        <v/>
      </c>
      <c r="N560" s="25">
        <f>ROUNDUP((L560+M560-Premissas!$B$5*L560)/(1-Premissas!$B$6-Premissas!$B$7-Premissas!$B$5-Premissas!$B$14),2)</f>
        <v/>
      </c>
      <c r="O560" s="24">
        <f>ROUND(IF(N560&lt;=30000,N560*(1+Premissas!$B$21),N560+Premissas!$B$21*30000*SQRT(N560/30000)),2)</f>
        <v/>
      </c>
      <c r="P560" s="24">
        <f>N560-I560</f>
        <v/>
      </c>
      <c r="Q560" s="26">
        <f>P560/I560</f>
        <v/>
      </c>
      <c r="R560" s="26">
        <f>(I560-L560-Premissas!$B$5*(I560-L560)-(Premissas!$B$6+Premissas!$B$7)*I560-M560)/I560</f>
        <v/>
      </c>
      <c r="S560" s="24">
        <f>ROUND((CEILING((L560*Premissas!$B$19/Premissas!$B$20-97)/100,1)*100+97)*Premissas!$B$20,2)</f>
        <v/>
      </c>
    </row>
    <row r="561">
      <c r="A561" s="17" t="inlineStr">
        <is>
          <t>KIT 120 MOD. 620W + MICROINVERSOR HOYMILES 2,25KW</t>
        </is>
      </c>
      <c r="B561" s="17" t="inlineStr">
        <is>
          <t>HOYMILES</t>
        </is>
      </c>
      <c r="C561" s="17" t="inlineStr">
        <is>
          <t>Micro</t>
        </is>
      </c>
      <c r="D561" s="21" t="n">
        <v>120</v>
      </c>
      <c r="E561" s="30" t="n">
        <v>74.40000000000001</v>
      </c>
      <c r="F561" s="20" t="inlineStr">
        <is>
          <t>Microinversor HOYMILES 2,25kW</t>
        </is>
      </c>
      <c r="G561" s="21" t="n">
        <v>30</v>
      </c>
      <c r="H561" s="17" t="inlineStr">
        <is>
          <t>Sim</t>
        </is>
      </c>
      <c r="I561" s="23" t="n">
        <v>194918.79</v>
      </c>
      <c r="J561" s="24">
        <f>(D561*Premissas!$B$24+(2*ROUNDUP(D561/2,0))*Premissas!$B$26+INT((2*ROUNDUP(D561/2,0))/4)*Premissas!$B$27+MOD((2*ROUNDUP(D561/2,0)),4)/2*Premissas!$B$28+2*IF(D561&lt;=19,3*D561,IF(D561&lt;=50,ROUNDUP(2.5*D561,0),2*D561))*Premissas!$B$29+IF(C561="Micro",G561*(Premissas!$B$31+Premissas!$B$32+4*Premissas!$B$30),G561*(INDEX(Premissas!$B$40:$B$71,MATCH(F561,Premissas!$A$40:$A$71,0))+INDEX(Premissas!$C$40:$C$71,MATCH(F561,Premissas!$A$40:$A$71,0))*Premissas!$B$30)))</f>
        <v/>
      </c>
      <c r="K561" s="24">
        <f>IF(J561&lt;Premissas!$B$36,MAX(Premissas!$B$33,J561*Premissas!$B$34),J561*Premissas!$B$35)</f>
        <v/>
      </c>
      <c r="L561" s="24">
        <f>ROUND(J561+K561,2)</f>
        <v/>
      </c>
      <c r="M561" s="24">
        <f>D561*Premissas!$B$8+Premissas!$B$9+Premissas!$B$10+Premissas!$B$11+Premissas!$B$12+ROUND(Premissas!$B$13*E561,2)</f>
        <v/>
      </c>
      <c r="N561" s="25">
        <f>ROUNDUP((L561+M561-Premissas!$B$5*L561)/(1-Premissas!$B$6-Premissas!$B$7-Premissas!$B$5-Premissas!$B$14),2)</f>
        <v/>
      </c>
      <c r="O561" s="24">
        <f>ROUND(IF(N561&lt;=30000,N561*(1+Premissas!$B$21),N561+Premissas!$B$21*30000*SQRT(N561/30000)),2)</f>
        <v/>
      </c>
      <c r="P561" s="24">
        <f>N561-I561</f>
        <v/>
      </c>
      <c r="Q561" s="26">
        <f>P561/I561</f>
        <v/>
      </c>
      <c r="R561" s="26">
        <f>(I561-L561-Premissas!$B$5*(I561-L561)-(Premissas!$B$6+Premissas!$B$7)*I561-M561)/I561</f>
        <v/>
      </c>
      <c r="S561" s="24">
        <f>ROUND((CEILING((L561*Premissas!$B$19/Premissas!$B$20-97)/100,1)*100+97)*Premissas!$B$20,2)</f>
        <v/>
      </c>
    </row>
    <row r="562">
      <c r="A562" s="17" t="inlineStr">
        <is>
          <t>KIT 121 MOD. 620W + MICROINVERSOR HOYMILES 2,25KW</t>
        </is>
      </c>
      <c r="B562" s="17" t="inlineStr">
        <is>
          <t>HOYMILES</t>
        </is>
      </c>
      <c r="C562" s="17" t="inlineStr">
        <is>
          <t>Micro</t>
        </is>
      </c>
      <c r="D562" s="21" t="n">
        <v>121</v>
      </c>
      <c r="E562" s="30" t="n">
        <v>75.02</v>
      </c>
      <c r="F562" s="20" t="inlineStr">
        <is>
          <t>Microinversor HOYMILES 2,25kW</t>
        </is>
      </c>
      <c r="G562" s="21" t="n">
        <v>31</v>
      </c>
      <c r="H562" s="17" t="inlineStr">
        <is>
          <t>Sim</t>
        </is>
      </c>
      <c r="I562" s="23" t="n">
        <v>198024.69</v>
      </c>
      <c r="J562" s="24">
        <f>(D562*Premissas!$B$24+(2*ROUNDUP(D562/2,0))*Premissas!$B$26+INT((2*ROUNDUP(D562/2,0))/4)*Premissas!$B$27+MOD((2*ROUNDUP(D562/2,0)),4)/2*Premissas!$B$28+2*IF(D562&lt;=19,3*D562,IF(D562&lt;=50,ROUNDUP(2.5*D562,0),2*D562))*Premissas!$B$29+IF(C562="Micro",G562*(Premissas!$B$31+Premissas!$B$32+4*Premissas!$B$30),G562*(INDEX(Premissas!$B$40:$B$71,MATCH(F562,Premissas!$A$40:$A$71,0))+INDEX(Premissas!$C$40:$C$71,MATCH(F562,Premissas!$A$40:$A$71,0))*Premissas!$B$30)))</f>
        <v/>
      </c>
      <c r="K562" s="24">
        <f>IF(J562&lt;Premissas!$B$36,MAX(Premissas!$B$33,J562*Premissas!$B$34),J562*Premissas!$B$35)</f>
        <v/>
      </c>
      <c r="L562" s="24">
        <f>ROUND(J562+K562,2)</f>
        <v/>
      </c>
      <c r="M562" s="24">
        <f>D562*Premissas!$B$8+Premissas!$B$9+Premissas!$B$10+Premissas!$B$11+Premissas!$B$12+ROUND(Premissas!$B$13*E562,2)</f>
        <v/>
      </c>
      <c r="N562" s="25">
        <f>ROUNDUP((L562+M562-Premissas!$B$5*L562)/(1-Premissas!$B$6-Premissas!$B$7-Premissas!$B$5-Premissas!$B$14),2)</f>
        <v/>
      </c>
      <c r="O562" s="24">
        <f>ROUND(IF(N562&lt;=30000,N562*(1+Premissas!$B$21),N562+Premissas!$B$21*30000*SQRT(N562/30000)),2)</f>
        <v/>
      </c>
      <c r="P562" s="24">
        <f>N562-I562</f>
        <v/>
      </c>
      <c r="Q562" s="26">
        <f>P562/I562</f>
        <v/>
      </c>
      <c r="R562" s="26">
        <f>(I562-L562-Premissas!$B$5*(I562-L562)-(Premissas!$B$6+Premissas!$B$7)*I562-M562)/I562</f>
        <v/>
      </c>
      <c r="S562" s="24">
        <f>ROUND((CEILING((L562*Premissas!$B$19/Premissas!$B$20-97)/100,1)*100+97)*Premissas!$B$20,2)</f>
        <v/>
      </c>
    </row>
    <row r="563">
      <c r="A563" s="17" t="inlineStr">
        <is>
          <t>KIT 122 MOD. 620W + MICROINVERSOR HOYMILES 2,25KW</t>
        </is>
      </c>
      <c r="B563" s="17" t="inlineStr">
        <is>
          <t>HOYMILES</t>
        </is>
      </c>
      <c r="C563" s="17" t="inlineStr">
        <is>
          <t>Micro</t>
        </is>
      </c>
      <c r="D563" s="21" t="n">
        <v>122</v>
      </c>
      <c r="E563" s="30" t="n">
        <v>75.64</v>
      </c>
      <c r="F563" s="20" t="inlineStr">
        <is>
          <t>Microinversor HOYMILES 2,25kW</t>
        </is>
      </c>
      <c r="G563" s="21" t="n">
        <v>31</v>
      </c>
      <c r="H563" s="17" t="inlineStr">
        <is>
          <t>Sim</t>
        </is>
      </c>
      <c r="I563" s="23" t="n">
        <v>199095.69</v>
      </c>
      <c r="J563" s="24">
        <f>(D563*Premissas!$B$24+(2*ROUNDUP(D563/2,0))*Premissas!$B$26+INT((2*ROUNDUP(D563/2,0))/4)*Premissas!$B$27+MOD((2*ROUNDUP(D563/2,0)),4)/2*Premissas!$B$28+2*IF(D563&lt;=19,3*D563,IF(D563&lt;=50,ROUNDUP(2.5*D563,0),2*D563))*Premissas!$B$29+IF(C563="Micro",G563*(Premissas!$B$31+Premissas!$B$32+4*Premissas!$B$30),G563*(INDEX(Premissas!$B$40:$B$71,MATCH(F563,Premissas!$A$40:$A$71,0))+INDEX(Premissas!$C$40:$C$71,MATCH(F563,Premissas!$A$40:$A$71,0))*Premissas!$B$30)))</f>
        <v/>
      </c>
      <c r="K563" s="24">
        <f>IF(J563&lt;Premissas!$B$36,MAX(Premissas!$B$33,J563*Premissas!$B$34),J563*Premissas!$B$35)</f>
        <v/>
      </c>
      <c r="L563" s="24">
        <f>ROUND(J563+K563,2)</f>
        <v/>
      </c>
      <c r="M563" s="24">
        <f>D563*Premissas!$B$8+Premissas!$B$9+Premissas!$B$10+Premissas!$B$11+Premissas!$B$12+ROUND(Premissas!$B$13*E563,2)</f>
        <v/>
      </c>
      <c r="N563" s="25">
        <f>ROUNDUP((L563+M563-Premissas!$B$5*L563)/(1-Premissas!$B$6-Premissas!$B$7-Premissas!$B$5-Premissas!$B$14),2)</f>
        <v/>
      </c>
      <c r="O563" s="24">
        <f>ROUND(IF(N563&lt;=30000,N563*(1+Premissas!$B$21),N563+Premissas!$B$21*30000*SQRT(N563/30000)),2)</f>
        <v/>
      </c>
      <c r="P563" s="24">
        <f>N563-I563</f>
        <v/>
      </c>
      <c r="Q563" s="26">
        <f>P563/I563</f>
        <v/>
      </c>
      <c r="R563" s="26">
        <f>(I563-L563-Premissas!$B$5*(I563-L563)-(Premissas!$B$6+Premissas!$B$7)*I563-M563)/I563</f>
        <v/>
      </c>
      <c r="S563" s="24">
        <f>ROUND((CEILING((L563*Premissas!$B$19/Premissas!$B$20-97)/100,1)*100+97)*Premissas!$B$20,2)</f>
        <v/>
      </c>
    </row>
    <row r="564">
      <c r="A564" s="17" t="inlineStr">
        <is>
          <t>KIT 123 MOD. 620W + MICROINVERSOR HOYMILES 2,25KW</t>
        </is>
      </c>
      <c r="B564" s="17" t="inlineStr">
        <is>
          <t>HOYMILES</t>
        </is>
      </c>
      <c r="C564" s="17" t="inlineStr">
        <is>
          <t>Micro</t>
        </is>
      </c>
      <c r="D564" s="21" t="n">
        <v>123</v>
      </c>
      <c r="E564" s="30" t="n">
        <v>76.26000000000001</v>
      </c>
      <c r="F564" s="20" t="inlineStr">
        <is>
          <t>Microinversor HOYMILES 2,25kW</t>
        </is>
      </c>
      <c r="G564" s="21" t="n">
        <v>31</v>
      </c>
      <c r="H564" s="17" t="inlineStr">
        <is>
          <t>Sim</t>
        </is>
      </c>
      <c r="I564" s="23" t="n">
        <v>200380.89</v>
      </c>
      <c r="J564" s="24">
        <f>(D564*Premissas!$B$24+(2*ROUNDUP(D564/2,0))*Premissas!$B$26+INT((2*ROUNDUP(D564/2,0))/4)*Premissas!$B$27+MOD((2*ROUNDUP(D564/2,0)),4)/2*Premissas!$B$28+2*IF(D564&lt;=19,3*D564,IF(D564&lt;=50,ROUNDUP(2.5*D564,0),2*D564))*Premissas!$B$29+IF(C564="Micro",G564*(Premissas!$B$31+Premissas!$B$32+4*Premissas!$B$30),G564*(INDEX(Premissas!$B$40:$B$71,MATCH(F564,Premissas!$A$40:$A$71,0))+INDEX(Premissas!$C$40:$C$71,MATCH(F564,Premissas!$A$40:$A$71,0))*Premissas!$B$30)))</f>
        <v/>
      </c>
      <c r="K564" s="24">
        <f>IF(J564&lt;Premissas!$B$36,MAX(Premissas!$B$33,J564*Premissas!$B$34),J564*Premissas!$B$35)</f>
        <v/>
      </c>
      <c r="L564" s="24">
        <f>ROUND(J564+K564,2)</f>
        <v/>
      </c>
      <c r="M564" s="24">
        <f>D564*Premissas!$B$8+Premissas!$B$9+Premissas!$B$10+Premissas!$B$11+Premissas!$B$12+ROUND(Premissas!$B$13*E564,2)</f>
        <v/>
      </c>
      <c r="N564" s="25">
        <f>ROUNDUP((L564+M564-Premissas!$B$5*L564)/(1-Premissas!$B$6-Premissas!$B$7-Premissas!$B$5-Premissas!$B$14),2)</f>
        <v/>
      </c>
      <c r="O564" s="24">
        <f>ROUND(IF(N564&lt;=30000,N564*(1+Premissas!$B$21),N564+Premissas!$B$21*30000*SQRT(N564/30000)),2)</f>
        <v/>
      </c>
      <c r="P564" s="24">
        <f>N564-I564</f>
        <v/>
      </c>
      <c r="Q564" s="26">
        <f>P564/I564</f>
        <v/>
      </c>
      <c r="R564" s="26">
        <f>(I564-L564-Premissas!$B$5*(I564-L564)-(Premissas!$B$6+Premissas!$B$7)*I564-M564)/I564</f>
        <v/>
      </c>
      <c r="S564" s="24">
        <f>ROUND((CEILING((L564*Premissas!$B$19/Premissas!$B$20-97)/100,1)*100+97)*Premissas!$B$20,2)</f>
        <v/>
      </c>
    </row>
    <row r="565">
      <c r="A565" s="17" t="inlineStr">
        <is>
          <t>KIT 124 MOD. 620W + MICROINVERSOR HOYMILES 2,25KW</t>
        </is>
      </c>
      <c r="B565" s="17" t="inlineStr">
        <is>
          <t>HOYMILES</t>
        </is>
      </c>
      <c r="C565" s="17" t="inlineStr">
        <is>
          <t>Micro</t>
        </is>
      </c>
      <c r="D565" s="21" t="n">
        <v>124</v>
      </c>
      <c r="E565" s="30" t="n">
        <v>76.88</v>
      </c>
      <c r="F565" s="20" t="inlineStr">
        <is>
          <t>Microinversor HOYMILES 2,25kW</t>
        </is>
      </c>
      <c r="G565" s="21" t="n">
        <v>31</v>
      </c>
      <c r="H565" s="17" t="inlineStr">
        <is>
          <t>Sim</t>
        </is>
      </c>
      <c r="I565" s="23" t="n">
        <v>201451.89</v>
      </c>
      <c r="J565" s="24">
        <f>(D565*Premissas!$B$24+(2*ROUNDUP(D565/2,0))*Premissas!$B$26+INT((2*ROUNDUP(D565/2,0))/4)*Premissas!$B$27+MOD((2*ROUNDUP(D565/2,0)),4)/2*Premissas!$B$28+2*IF(D565&lt;=19,3*D565,IF(D565&lt;=50,ROUNDUP(2.5*D565,0),2*D565))*Premissas!$B$29+IF(C565="Micro",G565*(Premissas!$B$31+Premissas!$B$32+4*Premissas!$B$30),G565*(INDEX(Premissas!$B$40:$B$71,MATCH(F565,Premissas!$A$40:$A$71,0))+INDEX(Premissas!$C$40:$C$71,MATCH(F565,Premissas!$A$40:$A$71,0))*Premissas!$B$30)))</f>
        <v/>
      </c>
      <c r="K565" s="24">
        <f>IF(J565&lt;Premissas!$B$36,MAX(Premissas!$B$33,J565*Premissas!$B$34),J565*Premissas!$B$35)</f>
        <v/>
      </c>
      <c r="L565" s="24">
        <f>ROUND(J565+K565,2)</f>
        <v/>
      </c>
      <c r="M565" s="24">
        <f>D565*Premissas!$B$8+Premissas!$B$9+Premissas!$B$10+Premissas!$B$11+Premissas!$B$12+ROUND(Premissas!$B$13*E565,2)</f>
        <v/>
      </c>
      <c r="N565" s="25">
        <f>ROUNDUP((L565+M565-Premissas!$B$5*L565)/(1-Premissas!$B$6-Premissas!$B$7-Premissas!$B$5-Premissas!$B$14),2)</f>
        <v/>
      </c>
      <c r="O565" s="24">
        <f>ROUND(IF(N565&lt;=30000,N565*(1+Premissas!$B$21),N565+Premissas!$B$21*30000*SQRT(N565/30000)),2)</f>
        <v/>
      </c>
      <c r="P565" s="24">
        <f>N565-I565</f>
        <v/>
      </c>
      <c r="Q565" s="26">
        <f>P565/I565</f>
        <v/>
      </c>
      <c r="R565" s="26">
        <f>(I565-L565-Premissas!$B$5*(I565-L565)-(Premissas!$B$6+Premissas!$B$7)*I565-M565)/I565</f>
        <v/>
      </c>
      <c r="S565" s="24">
        <f>ROUND((CEILING((L565*Premissas!$B$19/Premissas!$B$20-97)/100,1)*100+97)*Premissas!$B$20,2)</f>
        <v/>
      </c>
    </row>
    <row r="566">
      <c r="A566" s="17" t="inlineStr">
        <is>
          <t>KIT 125 MOD. 620W + MICROINVERSOR HOYMILES 2,25KW</t>
        </is>
      </c>
      <c r="B566" s="17" t="inlineStr">
        <is>
          <t>HOYMILES</t>
        </is>
      </c>
      <c r="C566" s="17" t="inlineStr">
        <is>
          <t>Micro</t>
        </is>
      </c>
      <c r="D566" s="21" t="n">
        <v>125</v>
      </c>
      <c r="E566" s="30" t="n">
        <v>77.5</v>
      </c>
      <c r="F566" s="20" t="inlineStr">
        <is>
          <t>Microinversor HOYMILES 2,25kW</t>
        </is>
      </c>
      <c r="G566" s="21" t="n">
        <v>32</v>
      </c>
      <c r="H566" s="17" t="inlineStr">
        <is>
          <t>Sim</t>
        </is>
      </c>
      <c r="I566" s="23" t="n">
        <v>204557.79</v>
      </c>
      <c r="J566" s="24">
        <f>(D566*Premissas!$B$24+(2*ROUNDUP(D566/2,0))*Premissas!$B$26+INT((2*ROUNDUP(D566/2,0))/4)*Premissas!$B$27+MOD((2*ROUNDUP(D566/2,0)),4)/2*Premissas!$B$28+2*IF(D566&lt;=19,3*D566,IF(D566&lt;=50,ROUNDUP(2.5*D566,0),2*D566))*Premissas!$B$29+IF(C566="Micro",G566*(Premissas!$B$31+Premissas!$B$32+4*Premissas!$B$30),G566*(INDEX(Premissas!$B$40:$B$71,MATCH(F566,Premissas!$A$40:$A$71,0))+INDEX(Premissas!$C$40:$C$71,MATCH(F566,Premissas!$A$40:$A$71,0))*Premissas!$B$30)))</f>
        <v/>
      </c>
      <c r="K566" s="24">
        <f>IF(J566&lt;Premissas!$B$36,MAX(Premissas!$B$33,J566*Premissas!$B$34),J566*Premissas!$B$35)</f>
        <v/>
      </c>
      <c r="L566" s="24">
        <f>ROUND(J566+K566,2)</f>
        <v/>
      </c>
      <c r="M566" s="24">
        <f>D566*Premissas!$B$8+Premissas!$B$9+Premissas!$B$10+Premissas!$B$11+Premissas!$B$12+ROUND(Premissas!$B$13*E566,2)</f>
        <v/>
      </c>
      <c r="N566" s="25">
        <f>ROUNDUP((L566+M566-Premissas!$B$5*L566)/(1-Premissas!$B$6-Premissas!$B$7-Premissas!$B$5-Premissas!$B$14),2)</f>
        <v/>
      </c>
      <c r="O566" s="24">
        <f>ROUND(IF(N566&lt;=30000,N566*(1+Premissas!$B$21),N566+Premissas!$B$21*30000*SQRT(N566/30000)),2)</f>
        <v/>
      </c>
      <c r="P566" s="24">
        <f>N566-I566</f>
        <v/>
      </c>
      <c r="Q566" s="26">
        <f>P566/I566</f>
        <v/>
      </c>
      <c r="R566" s="26">
        <f>(I566-L566-Premissas!$B$5*(I566-L566)-(Premissas!$B$6+Premissas!$B$7)*I566-M566)/I566</f>
        <v/>
      </c>
      <c r="S566" s="24">
        <f>ROUND((CEILING((L566*Premissas!$B$19/Premissas!$B$20-97)/100,1)*100+97)*Premissas!$B$20,2)</f>
        <v/>
      </c>
    </row>
    <row r="567">
      <c r="A567" s="17" t="inlineStr">
        <is>
          <t>KIT 126 MOD. 620W + MICROINVERSOR HOYMILES 2,25KW</t>
        </is>
      </c>
      <c r="B567" s="17" t="inlineStr">
        <is>
          <t>HOYMILES</t>
        </is>
      </c>
      <c r="C567" s="17" t="inlineStr">
        <is>
          <t>Micro</t>
        </is>
      </c>
      <c r="D567" s="21" t="n">
        <v>126</v>
      </c>
      <c r="E567" s="30" t="n">
        <v>78.12</v>
      </c>
      <c r="F567" s="20" t="inlineStr">
        <is>
          <t>Microinversor HOYMILES 2,25kW</t>
        </is>
      </c>
      <c r="G567" s="21" t="n">
        <v>32</v>
      </c>
      <c r="H567" s="17" t="inlineStr">
        <is>
          <t>Sim</t>
        </is>
      </c>
      <c r="I567" s="23" t="n">
        <v>205628.79</v>
      </c>
      <c r="J567" s="24">
        <f>(D567*Premissas!$B$24+(2*ROUNDUP(D567/2,0))*Premissas!$B$26+INT((2*ROUNDUP(D567/2,0))/4)*Premissas!$B$27+MOD((2*ROUNDUP(D567/2,0)),4)/2*Premissas!$B$28+2*IF(D567&lt;=19,3*D567,IF(D567&lt;=50,ROUNDUP(2.5*D567,0),2*D567))*Premissas!$B$29+IF(C567="Micro",G567*(Premissas!$B$31+Premissas!$B$32+4*Premissas!$B$30),G567*(INDEX(Premissas!$B$40:$B$71,MATCH(F567,Premissas!$A$40:$A$71,0))+INDEX(Premissas!$C$40:$C$71,MATCH(F567,Premissas!$A$40:$A$71,0))*Premissas!$B$30)))</f>
        <v/>
      </c>
      <c r="K567" s="24">
        <f>IF(J567&lt;Premissas!$B$36,MAX(Premissas!$B$33,J567*Premissas!$B$34),J567*Premissas!$B$35)</f>
        <v/>
      </c>
      <c r="L567" s="24">
        <f>ROUND(J567+K567,2)</f>
        <v/>
      </c>
      <c r="M567" s="24">
        <f>D567*Premissas!$B$8+Premissas!$B$9+Premissas!$B$10+Premissas!$B$11+Premissas!$B$12+ROUND(Premissas!$B$13*E567,2)</f>
        <v/>
      </c>
      <c r="N567" s="25">
        <f>ROUNDUP((L567+M567-Premissas!$B$5*L567)/(1-Premissas!$B$6-Premissas!$B$7-Premissas!$B$5-Premissas!$B$14),2)</f>
        <v/>
      </c>
      <c r="O567" s="24">
        <f>ROUND(IF(N567&lt;=30000,N567*(1+Premissas!$B$21),N567+Premissas!$B$21*30000*SQRT(N567/30000)),2)</f>
        <v/>
      </c>
      <c r="P567" s="24">
        <f>N567-I567</f>
        <v/>
      </c>
      <c r="Q567" s="26">
        <f>P567/I567</f>
        <v/>
      </c>
      <c r="R567" s="26">
        <f>(I567-L567-Premissas!$B$5*(I567-L567)-(Premissas!$B$6+Premissas!$B$7)*I567-M567)/I567</f>
        <v/>
      </c>
      <c r="S567" s="24">
        <f>ROUND((CEILING((L567*Premissas!$B$19/Premissas!$B$20-97)/100,1)*100+97)*Premissas!$B$20,2)</f>
        <v/>
      </c>
    </row>
    <row r="568">
      <c r="A568" s="17" t="inlineStr">
        <is>
          <t>KIT 127 MOD. 620W + MICROINVERSOR HOYMILES 2,25KW</t>
        </is>
      </c>
      <c r="B568" s="17" t="inlineStr">
        <is>
          <t>HOYMILES</t>
        </is>
      </c>
      <c r="C568" s="17" t="inlineStr">
        <is>
          <t>Micro</t>
        </is>
      </c>
      <c r="D568" s="21" t="n">
        <v>127</v>
      </c>
      <c r="E568" s="30" t="n">
        <v>78.73999999999999</v>
      </c>
      <c r="F568" s="20" t="inlineStr">
        <is>
          <t>Microinversor HOYMILES 2,25kW</t>
        </is>
      </c>
      <c r="G568" s="21" t="n">
        <v>32</v>
      </c>
      <c r="H568" s="17" t="inlineStr">
        <is>
          <t>Sim</t>
        </is>
      </c>
      <c r="I568" s="23" t="n">
        <v>206913.99</v>
      </c>
      <c r="J568" s="24">
        <f>(D568*Premissas!$B$24+(2*ROUNDUP(D568/2,0))*Premissas!$B$26+INT((2*ROUNDUP(D568/2,0))/4)*Premissas!$B$27+MOD((2*ROUNDUP(D568/2,0)),4)/2*Premissas!$B$28+2*IF(D568&lt;=19,3*D568,IF(D568&lt;=50,ROUNDUP(2.5*D568,0),2*D568))*Premissas!$B$29+IF(C568="Micro",G568*(Premissas!$B$31+Premissas!$B$32+4*Premissas!$B$30),G568*(INDEX(Premissas!$B$40:$B$71,MATCH(F568,Premissas!$A$40:$A$71,0))+INDEX(Premissas!$C$40:$C$71,MATCH(F568,Premissas!$A$40:$A$71,0))*Premissas!$B$30)))</f>
        <v/>
      </c>
      <c r="K568" s="24">
        <f>IF(J568&lt;Premissas!$B$36,MAX(Premissas!$B$33,J568*Premissas!$B$34),J568*Premissas!$B$35)</f>
        <v/>
      </c>
      <c r="L568" s="24">
        <f>ROUND(J568+K568,2)</f>
        <v/>
      </c>
      <c r="M568" s="24">
        <f>D568*Premissas!$B$8+Premissas!$B$9+Premissas!$B$10+Premissas!$B$11+Premissas!$B$12+ROUND(Premissas!$B$13*E568,2)</f>
        <v/>
      </c>
      <c r="N568" s="25">
        <f>ROUNDUP((L568+M568-Premissas!$B$5*L568)/(1-Premissas!$B$6-Premissas!$B$7-Premissas!$B$5-Premissas!$B$14),2)</f>
        <v/>
      </c>
      <c r="O568" s="24">
        <f>ROUND(IF(N568&lt;=30000,N568*(1+Premissas!$B$21),N568+Premissas!$B$21*30000*SQRT(N568/30000)),2)</f>
        <v/>
      </c>
      <c r="P568" s="24">
        <f>N568-I568</f>
        <v/>
      </c>
      <c r="Q568" s="26">
        <f>P568/I568</f>
        <v/>
      </c>
      <c r="R568" s="26">
        <f>(I568-L568-Premissas!$B$5*(I568-L568)-(Premissas!$B$6+Premissas!$B$7)*I568-M568)/I568</f>
        <v/>
      </c>
      <c r="S568" s="24">
        <f>ROUND((CEILING((L568*Premissas!$B$19/Premissas!$B$20-97)/100,1)*100+97)*Premissas!$B$20,2)</f>
        <v/>
      </c>
    </row>
    <row r="569">
      <c r="A569" s="17" t="inlineStr">
        <is>
          <t>KIT 128 MOD. 620W + MICROINVERSOR HOYMILES 2,25KW</t>
        </is>
      </c>
      <c r="B569" s="17" t="inlineStr">
        <is>
          <t>HOYMILES</t>
        </is>
      </c>
      <c r="C569" s="17" t="inlineStr">
        <is>
          <t>Micro</t>
        </is>
      </c>
      <c r="D569" s="21" t="n">
        <v>128</v>
      </c>
      <c r="E569" s="30" t="n">
        <v>79.36</v>
      </c>
      <c r="F569" s="20" t="inlineStr">
        <is>
          <t>Microinversor HOYMILES 2,25kW</t>
        </is>
      </c>
      <c r="G569" s="21" t="n">
        <v>32</v>
      </c>
      <c r="H569" s="17" t="inlineStr">
        <is>
          <t>Sim</t>
        </is>
      </c>
      <c r="I569" s="23" t="n">
        <v>207984.99</v>
      </c>
      <c r="J569" s="24">
        <f>(D569*Premissas!$B$24+(2*ROUNDUP(D569/2,0))*Premissas!$B$26+INT((2*ROUNDUP(D569/2,0))/4)*Premissas!$B$27+MOD((2*ROUNDUP(D569/2,0)),4)/2*Premissas!$B$28+2*IF(D569&lt;=19,3*D569,IF(D569&lt;=50,ROUNDUP(2.5*D569,0),2*D569))*Premissas!$B$29+IF(C569="Micro",G569*(Premissas!$B$31+Premissas!$B$32+4*Premissas!$B$30),G569*(INDEX(Premissas!$B$40:$B$71,MATCH(F569,Premissas!$A$40:$A$71,0))+INDEX(Premissas!$C$40:$C$71,MATCH(F569,Premissas!$A$40:$A$71,0))*Premissas!$B$30)))</f>
        <v/>
      </c>
      <c r="K569" s="24">
        <f>IF(J569&lt;Premissas!$B$36,MAX(Premissas!$B$33,J569*Premissas!$B$34),J569*Premissas!$B$35)</f>
        <v/>
      </c>
      <c r="L569" s="24">
        <f>ROUND(J569+K569,2)</f>
        <v/>
      </c>
      <c r="M569" s="24">
        <f>D569*Premissas!$B$8+Premissas!$B$9+Premissas!$B$10+Premissas!$B$11+Premissas!$B$12+ROUND(Premissas!$B$13*E569,2)</f>
        <v/>
      </c>
      <c r="N569" s="25">
        <f>ROUNDUP((L569+M569-Premissas!$B$5*L569)/(1-Premissas!$B$6-Premissas!$B$7-Premissas!$B$5-Premissas!$B$14),2)</f>
        <v/>
      </c>
      <c r="O569" s="24">
        <f>ROUND(IF(N569&lt;=30000,N569*(1+Premissas!$B$21),N569+Premissas!$B$21*30000*SQRT(N569/30000)),2)</f>
        <v/>
      </c>
      <c r="P569" s="24">
        <f>N569-I569</f>
        <v/>
      </c>
      <c r="Q569" s="26">
        <f>P569/I569</f>
        <v/>
      </c>
      <c r="R569" s="26">
        <f>(I569-L569-Premissas!$B$5*(I569-L569)-(Premissas!$B$6+Premissas!$B$7)*I569-M569)/I569</f>
        <v/>
      </c>
      <c r="S569" s="24">
        <f>ROUND((CEILING((L569*Premissas!$B$19/Premissas!$B$20-97)/100,1)*100+97)*Premissas!$B$20,2)</f>
        <v/>
      </c>
    </row>
    <row r="570">
      <c r="A570" s="17" t="inlineStr">
        <is>
          <t>KIT 129 MOD. 620W + MICROINVERSOR HOYMILES 2,25KW</t>
        </is>
      </c>
      <c r="B570" s="17" t="inlineStr">
        <is>
          <t>HOYMILES</t>
        </is>
      </c>
      <c r="C570" s="17" t="inlineStr">
        <is>
          <t>Micro</t>
        </is>
      </c>
      <c r="D570" s="21" t="n">
        <v>129</v>
      </c>
      <c r="E570" s="30" t="n">
        <v>79.98</v>
      </c>
      <c r="F570" s="20" t="inlineStr">
        <is>
          <t>Microinversor HOYMILES 2,25kW</t>
        </is>
      </c>
      <c r="G570" s="21" t="n">
        <v>33</v>
      </c>
      <c r="H570" s="17" t="inlineStr">
        <is>
          <t>Sim</t>
        </is>
      </c>
      <c r="I570" s="23" t="n">
        <v>211090.89</v>
      </c>
      <c r="J570" s="24">
        <f>(D570*Premissas!$B$24+(2*ROUNDUP(D570/2,0))*Premissas!$B$26+INT((2*ROUNDUP(D570/2,0))/4)*Premissas!$B$27+MOD((2*ROUNDUP(D570/2,0)),4)/2*Premissas!$B$28+2*IF(D570&lt;=19,3*D570,IF(D570&lt;=50,ROUNDUP(2.5*D570,0),2*D570))*Premissas!$B$29+IF(C570="Micro",G570*(Premissas!$B$31+Premissas!$B$32+4*Premissas!$B$30),G570*(INDEX(Premissas!$B$40:$B$71,MATCH(F570,Premissas!$A$40:$A$71,0))+INDEX(Premissas!$C$40:$C$71,MATCH(F570,Premissas!$A$40:$A$71,0))*Premissas!$B$30)))</f>
        <v/>
      </c>
      <c r="K570" s="24">
        <f>IF(J570&lt;Premissas!$B$36,MAX(Premissas!$B$33,J570*Premissas!$B$34),J570*Premissas!$B$35)</f>
        <v/>
      </c>
      <c r="L570" s="24">
        <f>ROUND(J570+K570,2)</f>
        <v/>
      </c>
      <c r="M570" s="24">
        <f>D570*Premissas!$B$8+Premissas!$B$9+Premissas!$B$10+Premissas!$B$11+Premissas!$B$12+ROUND(Premissas!$B$13*E570,2)</f>
        <v/>
      </c>
      <c r="N570" s="25">
        <f>ROUNDUP((L570+M570-Premissas!$B$5*L570)/(1-Premissas!$B$6-Premissas!$B$7-Premissas!$B$5-Premissas!$B$14),2)</f>
        <v/>
      </c>
      <c r="O570" s="24">
        <f>ROUND(IF(N570&lt;=30000,N570*(1+Premissas!$B$21),N570+Premissas!$B$21*30000*SQRT(N570/30000)),2)</f>
        <v/>
      </c>
      <c r="P570" s="24">
        <f>N570-I570</f>
        <v/>
      </c>
      <c r="Q570" s="26">
        <f>P570/I570</f>
        <v/>
      </c>
      <c r="R570" s="26">
        <f>(I570-L570-Premissas!$B$5*(I570-L570)-(Premissas!$B$6+Premissas!$B$7)*I570-M570)/I570</f>
        <v/>
      </c>
      <c r="S570" s="24">
        <f>ROUND((CEILING((L570*Premissas!$B$19/Premissas!$B$20-97)/100,1)*100+97)*Premissas!$B$20,2)</f>
        <v/>
      </c>
    </row>
    <row r="571">
      <c r="A571" s="17" t="inlineStr">
        <is>
          <t>KIT 130 MOD. 620W + MICROINVERSOR HOYMILES 2,25KW</t>
        </is>
      </c>
      <c r="B571" s="17" t="inlineStr">
        <is>
          <t>HOYMILES</t>
        </is>
      </c>
      <c r="C571" s="17" t="inlineStr">
        <is>
          <t>Micro</t>
        </is>
      </c>
      <c r="D571" s="21" t="n">
        <v>130</v>
      </c>
      <c r="E571" s="30" t="n">
        <v>80.59999999999999</v>
      </c>
      <c r="F571" s="20" t="inlineStr">
        <is>
          <t>Microinversor HOYMILES 2,25kW</t>
        </is>
      </c>
      <c r="G571" s="21" t="n">
        <v>33</v>
      </c>
      <c r="H571" s="17" t="inlineStr">
        <is>
          <t>Sim</t>
        </is>
      </c>
      <c r="I571" s="23" t="n">
        <v>212054.79</v>
      </c>
      <c r="J571" s="24">
        <f>(D571*Premissas!$B$24+(2*ROUNDUP(D571/2,0))*Premissas!$B$26+INT((2*ROUNDUP(D571/2,0))/4)*Premissas!$B$27+MOD((2*ROUNDUP(D571/2,0)),4)/2*Premissas!$B$28+2*IF(D571&lt;=19,3*D571,IF(D571&lt;=50,ROUNDUP(2.5*D571,0),2*D571))*Premissas!$B$29+IF(C571="Micro",G571*(Premissas!$B$31+Premissas!$B$32+4*Premissas!$B$30),G571*(INDEX(Premissas!$B$40:$B$71,MATCH(F571,Premissas!$A$40:$A$71,0))+INDEX(Premissas!$C$40:$C$71,MATCH(F571,Premissas!$A$40:$A$71,0))*Premissas!$B$30)))</f>
        <v/>
      </c>
      <c r="K571" s="24">
        <f>IF(J571&lt;Premissas!$B$36,MAX(Premissas!$B$33,J571*Premissas!$B$34),J571*Premissas!$B$35)</f>
        <v/>
      </c>
      <c r="L571" s="24">
        <f>ROUND(J571+K571,2)</f>
        <v/>
      </c>
      <c r="M571" s="24">
        <f>D571*Premissas!$B$8+Premissas!$B$9+Premissas!$B$10+Premissas!$B$11+Premissas!$B$12+ROUND(Premissas!$B$13*E571,2)</f>
        <v/>
      </c>
      <c r="N571" s="25">
        <f>ROUNDUP((L571+M571-Premissas!$B$5*L571)/(1-Premissas!$B$6-Premissas!$B$7-Premissas!$B$5-Premissas!$B$14),2)</f>
        <v/>
      </c>
      <c r="O571" s="24">
        <f>ROUND(IF(N571&lt;=30000,N571*(1+Premissas!$B$21),N571+Premissas!$B$21*30000*SQRT(N571/30000)),2)</f>
        <v/>
      </c>
      <c r="P571" s="24">
        <f>N571-I571</f>
        <v/>
      </c>
      <c r="Q571" s="26">
        <f>P571/I571</f>
        <v/>
      </c>
      <c r="R571" s="26">
        <f>(I571-L571-Premissas!$B$5*(I571-L571)-(Premissas!$B$6+Premissas!$B$7)*I571-M571)/I571</f>
        <v/>
      </c>
      <c r="S571" s="24">
        <f>ROUND((CEILING((L571*Premissas!$B$19/Premissas!$B$20-97)/100,1)*100+97)*Premissas!$B$20,2)</f>
        <v/>
      </c>
    </row>
    <row r="572">
      <c r="A572" s="17" t="inlineStr">
        <is>
          <t>KIT 131 MOD. 620W + MICROINVERSOR HOYMILES 2,25KW</t>
        </is>
      </c>
      <c r="B572" s="17" t="inlineStr">
        <is>
          <t>HOYMILES</t>
        </is>
      </c>
      <c r="C572" s="17" t="inlineStr">
        <is>
          <t>Micro</t>
        </is>
      </c>
      <c r="D572" s="21" t="n">
        <v>131</v>
      </c>
      <c r="E572" s="30" t="n">
        <v>81.22</v>
      </c>
      <c r="F572" s="20" t="inlineStr">
        <is>
          <t>Microinversor HOYMILES 2,25kW</t>
        </is>
      </c>
      <c r="G572" s="21" t="n">
        <v>33</v>
      </c>
      <c r="H572" s="17" t="inlineStr">
        <is>
          <t>Sim</t>
        </is>
      </c>
      <c r="I572" s="23" t="n">
        <v>213447.09</v>
      </c>
      <c r="J572" s="24">
        <f>(D572*Premissas!$B$24+(2*ROUNDUP(D572/2,0))*Premissas!$B$26+INT((2*ROUNDUP(D572/2,0))/4)*Premissas!$B$27+MOD((2*ROUNDUP(D572/2,0)),4)/2*Premissas!$B$28+2*IF(D572&lt;=19,3*D572,IF(D572&lt;=50,ROUNDUP(2.5*D572,0),2*D572))*Premissas!$B$29+IF(C572="Micro",G572*(Premissas!$B$31+Premissas!$B$32+4*Premissas!$B$30),G572*(INDEX(Premissas!$B$40:$B$71,MATCH(F572,Premissas!$A$40:$A$71,0))+INDEX(Premissas!$C$40:$C$71,MATCH(F572,Premissas!$A$40:$A$71,0))*Premissas!$B$30)))</f>
        <v/>
      </c>
      <c r="K572" s="24">
        <f>IF(J572&lt;Premissas!$B$36,MAX(Premissas!$B$33,J572*Premissas!$B$34),J572*Premissas!$B$35)</f>
        <v/>
      </c>
      <c r="L572" s="24">
        <f>ROUND(J572+K572,2)</f>
        <v/>
      </c>
      <c r="M572" s="24">
        <f>D572*Premissas!$B$8+Premissas!$B$9+Premissas!$B$10+Premissas!$B$11+Premissas!$B$12+ROUND(Premissas!$B$13*E572,2)</f>
        <v/>
      </c>
      <c r="N572" s="25">
        <f>ROUNDUP((L572+M572-Premissas!$B$5*L572)/(1-Premissas!$B$6-Premissas!$B$7-Premissas!$B$5-Premissas!$B$14),2)</f>
        <v/>
      </c>
      <c r="O572" s="24">
        <f>ROUND(IF(N572&lt;=30000,N572*(1+Premissas!$B$21),N572+Premissas!$B$21*30000*SQRT(N572/30000)),2)</f>
        <v/>
      </c>
      <c r="P572" s="24">
        <f>N572-I572</f>
        <v/>
      </c>
      <c r="Q572" s="26">
        <f>P572/I572</f>
        <v/>
      </c>
      <c r="R572" s="26">
        <f>(I572-L572-Premissas!$B$5*(I572-L572)-(Premissas!$B$6+Premissas!$B$7)*I572-M572)/I572</f>
        <v/>
      </c>
      <c r="S572" s="24">
        <f>ROUND((CEILING((L572*Premissas!$B$19/Premissas!$B$20-97)/100,1)*100+97)*Premissas!$B$20,2)</f>
        <v/>
      </c>
    </row>
    <row r="573">
      <c r="A573" s="17" t="inlineStr">
        <is>
          <t>KIT 132 MOD. 620W + MICROINVERSOR HOYMILES 2,25KW</t>
        </is>
      </c>
      <c r="B573" s="17" t="inlineStr">
        <is>
          <t>HOYMILES</t>
        </is>
      </c>
      <c r="C573" s="17" t="inlineStr">
        <is>
          <t>Micro</t>
        </is>
      </c>
      <c r="D573" s="21" t="n">
        <v>132</v>
      </c>
      <c r="E573" s="30" t="n">
        <v>81.84</v>
      </c>
      <c r="F573" s="20" t="inlineStr">
        <is>
          <t>Microinversor HOYMILES 2,25kW</t>
        </is>
      </c>
      <c r="G573" s="21" t="n">
        <v>33</v>
      </c>
      <c r="H573" s="17" t="inlineStr">
        <is>
          <t>Sim</t>
        </is>
      </c>
      <c r="I573" s="23" t="n">
        <v>214410.99</v>
      </c>
      <c r="J573" s="24">
        <f>(D573*Premissas!$B$24+(2*ROUNDUP(D573/2,0))*Premissas!$B$26+INT((2*ROUNDUP(D573/2,0))/4)*Premissas!$B$27+MOD((2*ROUNDUP(D573/2,0)),4)/2*Premissas!$B$28+2*IF(D573&lt;=19,3*D573,IF(D573&lt;=50,ROUNDUP(2.5*D573,0),2*D573))*Premissas!$B$29+IF(C573="Micro",G573*(Premissas!$B$31+Premissas!$B$32+4*Premissas!$B$30),G573*(INDEX(Premissas!$B$40:$B$71,MATCH(F573,Premissas!$A$40:$A$71,0))+INDEX(Premissas!$C$40:$C$71,MATCH(F573,Premissas!$A$40:$A$71,0))*Premissas!$B$30)))</f>
        <v/>
      </c>
      <c r="K573" s="24">
        <f>IF(J573&lt;Premissas!$B$36,MAX(Premissas!$B$33,J573*Premissas!$B$34),J573*Premissas!$B$35)</f>
        <v/>
      </c>
      <c r="L573" s="24">
        <f>ROUND(J573+K573,2)</f>
        <v/>
      </c>
      <c r="M573" s="24">
        <f>D573*Premissas!$B$8+Premissas!$B$9+Premissas!$B$10+Premissas!$B$11+Premissas!$B$12+ROUND(Premissas!$B$13*E573,2)</f>
        <v/>
      </c>
      <c r="N573" s="25">
        <f>ROUNDUP((L573+M573-Premissas!$B$5*L573)/(1-Premissas!$B$6-Premissas!$B$7-Premissas!$B$5-Premissas!$B$14),2)</f>
        <v/>
      </c>
      <c r="O573" s="24">
        <f>ROUND(IF(N573&lt;=30000,N573*(1+Premissas!$B$21),N573+Premissas!$B$21*30000*SQRT(N573/30000)),2)</f>
        <v/>
      </c>
      <c r="P573" s="24">
        <f>N573-I573</f>
        <v/>
      </c>
      <c r="Q573" s="26">
        <f>P573/I573</f>
        <v/>
      </c>
      <c r="R573" s="26">
        <f>(I573-L573-Premissas!$B$5*(I573-L573)-(Premissas!$B$6+Premissas!$B$7)*I573-M573)/I573</f>
        <v/>
      </c>
      <c r="S573" s="24">
        <f>ROUND((CEILING((L573*Premissas!$B$19/Premissas!$B$20-97)/100,1)*100+97)*Premissas!$B$20,2)</f>
        <v/>
      </c>
    </row>
    <row r="574">
      <c r="A574" s="17" t="inlineStr">
        <is>
          <t>KIT 133 MOD. 620W + MICROINVERSOR HOYMILES 2,25KW</t>
        </is>
      </c>
      <c r="B574" s="17" t="inlineStr">
        <is>
          <t>HOYMILES</t>
        </is>
      </c>
      <c r="C574" s="17" t="inlineStr">
        <is>
          <t>Micro</t>
        </is>
      </c>
      <c r="D574" s="21" t="n">
        <v>133</v>
      </c>
      <c r="E574" s="30" t="n">
        <v>82.45999999999999</v>
      </c>
      <c r="F574" s="20" t="inlineStr">
        <is>
          <t>Microinversor HOYMILES 2,25kW</t>
        </is>
      </c>
      <c r="G574" s="21" t="n">
        <v>34</v>
      </c>
      <c r="H574" s="17" t="inlineStr">
        <is>
          <t>Sim</t>
        </is>
      </c>
      <c r="I574" s="23" t="n">
        <v>217516.89</v>
      </c>
      <c r="J574" s="24">
        <f>(D574*Premissas!$B$24+(2*ROUNDUP(D574/2,0))*Premissas!$B$26+INT((2*ROUNDUP(D574/2,0))/4)*Premissas!$B$27+MOD((2*ROUNDUP(D574/2,0)),4)/2*Premissas!$B$28+2*IF(D574&lt;=19,3*D574,IF(D574&lt;=50,ROUNDUP(2.5*D574,0),2*D574))*Premissas!$B$29+IF(C574="Micro",G574*(Premissas!$B$31+Premissas!$B$32+4*Premissas!$B$30),G574*(INDEX(Premissas!$B$40:$B$71,MATCH(F574,Premissas!$A$40:$A$71,0))+INDEX(Premissas!$C$40:$C$71,MATCH(F574,Premissas!$A$40:$A$71,0))*Premissas!$B$30)))</f>
        <v/>
      </c>
      <c r="K574" s="24">
        <f>IF(J574&lt;Premissas!$B$36,MAX(Premissas!$B$33,J574*Premissas!$B$34),J574*Premissas!$B$35)</f>
        <v/>
      </c>
      <c r="L574" s="24">
        <f>ROUND(J574+K574,2)</f>
        <v/>
      </c>
      <c r="M574" s="24">
        <f>D574*Premissas!$B$8+Premissas!$B$9+Premissas!$B$10+Premissas!$B$11+Premissas!$B$12+ROUND(Premissas!$B$13*E574,2)</f>
        <v/>
      </c>
      <c r="N574" s="25">
        <f>ROUNDUP((L574+M574-Premissas!$B$5*L574)/(1-Premissas!$B$6-Premissas!$B$7-Premissas!$B$5-Premissas!$B$14),2)</f>
        <v/>
      </c>
      <c r="O574" s="24">
        <f>ROUND(IF(N574&lt;=30000,N574*(1+Premissas!$B$21),N574+Premissas!$B$21*30000*SQRT(N574/30000)),2)</f>
        <v/>
      </c>
      <c r="P574" s="24">
        <f>N574-I574</f>
        <v/>
      </c>
      <c r="Q574" s="26">
        <f>P574/I574</f>
        <v/>
      </c>
      <c r="R574" s="26">
        <f>(I574-L574-Premissas!$B$5*(I574-L574)-(Premissas!$B$6+Premissas!$B$7)*I574-M574)/I574</f>
        <v/>
      </c>
      <c r="S574" s="24">
        <f>ROUND((CEILING((L574*Premissas!$B$19/Premissas!$B$20-97)/100,1)*100+97)*Premissas!$B$20,2)</f>
        <v/>
      </c>
    </row>
    <row r="575">
      <c r="A575" s="17" t="inlineStr">
        <is>
          <t>KIT 134 MOD. 620W + MICROINVERSOR HOYMILES 2,25KW</t>
        </is>
      </c>
      <c r="B575" s="17" t="inlineStr">
        <is>
          <t>HOYMILES</t>
        </is>
      </c>
      <c r="C575" s="17" t="inlineStr">
        <is>
          <t>Micro</t>
        </is>
      </c>
      <c r="D575" s="21" t="n">
        <v>134</v>
      </c>
      <c r="E575" s="30" t="n">
        <v>83.08</v>
      </c>
      <c r="F575" s="20" t="inlineStr">
        <is>
          <t>Microinversor HOYMILES 2,25kW</t>
        </is>
      </c>
      <c r="G575" s="21" t="n">
        <v>34</v>
      </c>
      <c r="H575" s="17" t="inlineStr">
        <is>
          <t>Sim</t>
        </is>
      </c>
      <c r="I575" s="23" t="n">
        <v>218587.89</v>
      </c>
      <c r="J575" s="24">
        <f>(D575*Premissas!$B$24+(2*ROUNDUP(D575/2,0))*Premissas!$B$26+INT((2*ROUNDUP(D575/2,0))/4)*Premissas!$B$27+MOD((2*ROUNDUP(D575/2,0)),4)/2*Premissas!$B$28+2*IF(D575&lt;=19,3*D575,IF(D575&lt;=50,ROUNDUP(2.5*D575,0),2*D575))*Premissas!$B$29+IF(C575="Micro",G575*(Premissas!$B$31+Premissas!$B$32+4*Premissas!$B$30),G575*(INDEX(Premissas!$B$40:$B$71,MATCH(F575,Premissas!$A$40:$A$71,0))+INDEX(Premissas!$C$40:$C$71,MATCH(F575,Premissas!$A$40:$A$71,0))*Premissas!$B$30)))</f>
        <v/>
      </c>
      <c r="K575" s="24">
        <f>IF(J575&lt;Premissas!$B$36,MAX(Premissas!$B$33,J575*Premissas!$B$34),J575*Premissas!$B$35)</f>
        <v/>
      </c>
      <c r="L575" s="24">
        <f>ROUND(J575+K575,2)</f>
        <v/>
      </c>
      <c r="M575" s="24">
        <f>D575*Premissas!$B$8+Premissas!$B$9+Premissas!$B$10+Premissas!$B$11+Premissas!$B$12+ROUND(Premissas!$B$13*E575,2)</f>
        <v/>
      </c>
      <c r="N575" s="25">
        <f>ROUNDUP((L575+M575-Premissas!$B$5*L575)/(1-Premissas!$B$6-Premissas!$B$7-Premissas!$B$5-Premissas!$B$14),2)</f>
        <v/>
      </c>
      <c r="O575" s="24">
        <f>ROUND(IF(N575&lt;=30000,N575*(1+Premissas!$B$21),N575+Premissas!$B$21*30000*SQRT(N575/30000)),2)</f>
        <v/>
      </c>
      <c r="P575" s="24">
        <f>N575-I575</f>
        <v/>
      </c>
      <c r="Q575" s="26">
        <f>P575/I575</f>
        <v/>
      </c>
      <c r="R575" s="26">
        <f>(I575-L575-Premissas!$B$5*(I575-L575)-(Premissas!$B$6+Premissas!$B$7)*I575-M575)/I575</f>
        <v/>
      </c>
      <c r="S575" s="24">
        <f>ROUND((CEILING((L575*Premissas!$B$19/Premissas!$B$20-97)/100,1)*100+97)*Premissas!$B$20,2)</f>
        <v/>
      </c>
    </row>
    <row r="576">
      <c r="A576" s="17" t="inlineStr">
        <is>
          <t>KIT 135 MOD. 620W + MICROINVERSOR HOYMILES 2,25KW</t>
        </is>
      </c>
      <c r="B576" s="17" t="inlineStr">
        <is>
          <t>HOYMILES</t>
        </is>
      </c>
      <c r="C576" s="17" t="inlineStr">
        <is>
          <t>Micro</t>
        </is>
      </c>
      <c r="D576" s="21" t="n">
        <v>135</v>
      </c>
      <c r="E576" s="30" t="n">
        <v>83.7</v>
      </c>
      <c r="F576" s="20" t="inlineStr">
        <is>
          <t>Microinversor HOYMILES 2,25kW</t>
        </is>
      </c>
      <c r="G576" s="21" t="n">
        <v>34</v>
      </c>
      <c r="H576" s="17" t="inlineStr">
        <is>
          <t>Sim</t>
        </is>
      </c>
      <c r="I576" s="23" t="n">
        <v>219873.09</v>
      </c>
      <c r="J576" s="24">
        <f>(D576*Premissas!$B$24+(2*ROUNDUP(D576/2,0))*Premissas!$B$26+INT((2*ROUNDUP(D576/2,0))/4)*Premissas!$B$27+MOD((2*ROUNDUP(D576/2,0)),4)/2*Premissas!$B$28+2*IF(D576&lt;=19,3*D576,IF(D576&lt;=50,ROUNDUP(2.5*D576,0),2*D576))*Premissas!$B$29+IF(C576="Micro",G576*(Premissas!$B$31+Premissas!$B$32+4*Premissas!$B$30),G576*(INDEX(Premissas!$B$40:$B$71,MATCH(F576,Premissas!$A$40:$A$71,0))+INDEX(Premissas!$C$40:$C$71,MATCH(F576,Premissas!$A$40:$A$71,0))*Premissas!$B$30)))</f>
        <v/>
      </c>
      <c r="K576" s="24">
        <f>IF(J576&lt;Premissas!$B$36,MAX(Premissas!$B$33,J576*Premissas!$B$34),J576*Premissas!$B$35)</f>
        <v/>
      </c>
      <c r="L576" s="24">
        <f>ROUND(J576+K576,2)</f>
        <v/>
      </c>
      <c r="M576" s="24">
        <f>D576*Premissas!$B$8+Premissas!$B$9+Premissas!$B$10+Premissas!$B$11+Premissas!$B$12+ROUND(Premissas!$B$13*E576,2)</f>
        <v/>
      </c>
      <c r="N576" s="25">
        <f>ROUNDUP((L576+M576-Premissas!$B$5*L576)/(1-Premissas!$B$6-Premissas!$B$7-Premissas!$B$5-Premissas!$B$14),2)</f>
        <v/>
      </c>
      <c r="O576" s="24">
        <f>ROUND(IF(N576&lt;=30000,N576*(1+Premissas!$B$21),N576+Premissas!$B$21*30000*SQRT(N576/30000)),2)</f>
        <v/>
      </c>
      <c r="P576" s="24">
        <f>N576-I576</f>
        <v/>
      </c>
      <c r="Q576" s="26">
        <f>P576/I576</f>
        <v/>
      </c>
      <c r="R576" s="26">
        <f>(I576-L576-Premissas!$B$5*(I576-L576)-(Premissas!$B$6+Premissas!$B$7)*I576-M576)/I576</f>
        <v/>
      </c>
      <c r="S576" s="24">
        <f>ROUND((CEILING((L576*Premissas!$B$19/Premissas!$B$20-97)/100,1)*100+97)*Premissas!$B$20,2)</f>
        <v/>
      </c>
    </row>
    <row r="577">
      <c r="A577" s="17" t="inlineStr">
        <is>
          <t>KIT 136 MOD. 620W + MICROINVERSOR HOYMILES 2,25KW</t>
        </is>
      </c>
      <c r="B577" s="17" t="inlineStr">
        <is>
          <t>HOYMILES</t>
        </is>
      </c>
      <c r="C577" s="17" t="inlineStr">
        <is>
          <t>Micro</t>
        </is>
      </c>
      <c r="D577" s="21" t="n">
        <v>136</v>
      </c>
      <c r="E577" s="30" t="n">
        <v>84.31999999999999</v>
      </c>
      <c r="F577" s="20" t="inlineStr">
        <is>
          <t>Microinversor HOYMILES 2,25kW</t>
        </is>
      </c>
      <c r="G577" s="21" t="n">
        <v>34</v>
      </c>
      <c r="H577" s="17" t="inlineStr">
        <is>
          <t>Sim</t>
        </is>
      </c>
      <c r="I577" s="23" t="n">
        <v>220944.09</v>
      </c>
      <c r="J577" s="24">
        <f>(D577*Premissas!$B$24+(2*ROUNDUP(D577/2,0))*Premissas!$B$26+INT((2*ROUNDUP(D577/2,0))/4)*Premissas!$B$27+MOD((2*ROUNDUP(D577/2,0)),4)/2*Premissas!$B$28+2*IF(D577&lt;=19,3*D577,IF(D577&lt;=50,ROUNDUP(2.5*D577,0),2*D577))*Premissas!$B$29+IF(C577="Micro",G577*(Premissas!$B$31+Premissas!$B$32+4*Premissas!$B$30),G577*(INDEX(Premissas!$B$40:$B$71,MATCH(F577,Premissas!$A$40:$A$71,0))+INDEX(Premissas!$C$40:$C$71,MATCH(F577,Premissas!$A$40:$A$71,0))*Premissas!$B$30)))</f>
        <v/>
      </c>
      <c r="K577" s="24">
        <f>IF(J577&lt;Premissas!$B$36,MAX(Premissas!$B$33,J577*Premissas!$B$34),J577*Premissas!$B$35)</f>
        <v/>
      </c>
      <c r="L577" s="24">
        <f>ROUND(J577+K577,2)</f>
        <v/>
      </c>
      <c r="M577" s="24">
        <f>D577*Premissas!$B$8+Premissas!$B$9+Premissas!$B$10+Premissas!$B$11+Premissas!$B$12+ROUND(Premissas!$B$13*E577,2)</f>
        <v/>
      </c>
      <c r="N577" s="25">
        <f>ROUNDUP((L577+M577-Premissas!$B$5*L577)/(1-Premissas!$B$6-Premissas!$B$7-Premissas!$B$5-Premissas!$B$14),2)</f>
        <v/>
      </c>
      <c r="O577" s="24">
        <f>ROUND(IF(N577&lt;=30000,N577*(1+Premissas!$B$21),N577+Premissas!$B$21*30000*SQRT(N577/30000)),2)</f>
        <v/>
      </c>
      <c r="P577" s="24">
        <f>N577-I577</f>
        <v/>
      </c>
      <c r="Q577" s="26">
        <f>P577/I577</f>
        <v/>
      </c>
      <c r="R577" s="26">
        <f>(I577-L577-Premissas!$B$5*(I577-L577)-(Premissas!$B$6+Premissas!$B$7)*I577-M577)/I577</f>
        <v/>
      </c>
      <c r="S577" s="24">
        <f>ROUND((CEILING((L577*Premissas!$B$19/Premissas!$B$20-97)/100,1)*100+97)*Premissas!$B$20,2)</f>
        <v/>
      </c>
    </row>
    <row r="578">
      <c r="A578" s="17" t="inlineStr">
        <is>
          <t>KIT 137 MOD. 620W + MICROINVERSOR HOYMILES 2,25KW</t>
        </is>
      </c>
      <c r="B578" s="17" t="inlineStr">
        <is>
          <t>HOYMILES</t>
        </is>
      </c>
      <c r="C578" s="17" t="inlineStr">
        <is>
          <t>Micro</t>
        </is>
      </c>
      <c r="D578" s="21" t="n">
        <v>137</v>
      </c>
      <c r="E578" s="30" t="n">
        <v>84.94</v>
      </c>
      <c r="F578" s="20" t="inlineStr">
        <is>
          <t>Microinversor HOYMILES 2,25kW</t>
        </is>
      </c>
      <c r="G578" s="21" t="n">
        <v>35</v>
      </c>
      <c r="H578" s="17" t="inlineStr">
        <is>
          <t>Sim</t>
        </is>
      </c>
      <c r="I578" s="23" t="n">
        <v>224049.99</v>
      </c>
      <c r="J578" s="24">
        <f>(D578*Premissas!$B$24+(2*ROUNDUP(D578/2,0))*Premissas!$B$26+INT((2*ROUNDUP(D578/2,0))/4)*Premissas!$B$27+MOD((2*ROUNDUP(D578/2,0)),4)/2*Premissas!$B$28+2*IF(D578&lt;=19,3*D578,IF(D578&lt;=50,ROUNDUP(2.5*D578,0),2*D578))*Premissas!$B$29+IF(C578="Micro",G578*(Premissas!$B$31+Premissas!$B$32+4*Premissas!$B$30),G578*(INDEX(Premissas!$B$40:$B$71,MATCH(F578,Premissas!$A$40:$A$71,0))+INDEX(Premissas!$C$40:$C$71,MATCH(F578,Premissas!$A$40:$A$71,0))*Premissas!$B$30)))</f>
        <v/>
      </c>
      <c r="K578" s="24">
        <f>IF(J578&lt;Premissas!$B$36,MAX(Premissas!$B$33,J578*Premissas!$B$34),J578*Premissas!$B$35)</f>
        <v/>
      </c>
      <c r="L578" s="24">
        <f>ROUND(J578+K578,2)</f>
        <v/>
      </c>
      <c r="M578" s="24">
        <f>D578*Premissas!$B$8+Premissas!$B$9+Premissas!$B$10+Premissas!$B$11+Premissas!$B$12+ROUND(Premissas!$B$13*E578,2)</f>
        <v/>
      </c>
      <c r="N578" s="25">
        <f>ROUNDUP((L578+M578-Premissas!$B$5*L578)/(1-Premissas!$B$6-Premissas!$B$7-Premissas!$B$5-Premissas!$B$14),2)</f>
        <v/>
      </c>
      <c r="O578" s="24">
        <f>ROUND(IF(N578&lt;=30000,N578*(1+Premissas!$B$21),N578+Premissas!$B$21*30000*SQRT(N578/30000)),2)</f>
        <v/>
      </c>
      <c r="P578" s="24">
        <f>N578-I578</f>
        <v/>
      </c>
      <c r="Q578" s="26">
        <f>P578/I578</f>
        <v/>
      </c>
      <c r="R578" s="26">
        <f>(I578-L578-Premissas!$B$5*(I578-L578)-(Premissas!$B$6+Premissas!$B$7)*I578-M578)/I578</f>
        <v/>
      </c>
      <c r="S578" s="24">
        <f>ROUND((CEILING((L578*Premissas!$B$19/Premissas!$B$20-97)/100,1)*100+97)*Premissas!$B$20,2)</f>
        <v/>
      </c>
    </row>
    <row r="579">
      <c r="A579" s="17" t="inlineStr">
        <is>
          <t>KIT 138 MOD. 620W + MICROINVERSOR HOYMILES 2,25KW</t>
        </is>
      </c>
      <c r="B579" s="17" t="inlineStr">
        <is>
          <t>HOYMILES</t>
        </is>
      </c>
      <c r="C579" s="17" t="inlineStr">
        <is>
          <t>Micro</t>
        </is>
      </c>
      <c r="D579" s="21" t="n">
        <v>138</v>
      </c>
      <c r="E579" s="30" t="n">
        <v>85.56</v>
      </c>
      <c r="F579" s="20" t="inlineStr">
        <is>
          <t>Microinversor HOYMILES 2,25kW</t>
        </is>
      </c>
      <c r="G579" s="21" t="n">
        <v>35</v>
      </c>
      <c r="H579" s="17" t="inlineStr">
        <is>
          <t>Sim</t>
        </is>
      </c>
      <c r="I579" s="23" t="n">
        <v>225120.99</v>
      </c>
      <c r="J579" s="24">
        <f>(D579*Premissas!$B$24+(2*ROUNDUP(D579/2,0))*Premissas!$B$26+INT((2*ROUNDUP(D579/2,0))/4)*Premissas!$B$27+MOD((2*ROUNDUP(D579/2,0)),4)/2*Premissas!$B$28+2*IF(D579&lt;=19,3*D579,IF(D579&lt;=50,ROUNDUP(2.5*D579,0),2*D579))*Premissas!$B$29+IF(C579="Micro",G579*(Premissas!$B$31+Premissas!$B$32+4*Premissas!$B$30),G579*(INDEX(Premissas!$B$40:$B$71,MATCH(F579,Premissas!$A$40:$A$71,0))+INDEX(Premissas!$C$40:$C$71,MATCH(F579,Premissas!$A$40:$A$71,0))*Premissas!$B$30)))</f>
        <v/>
      </c>
      <c r="K579" s="24">
        <f>IF(J579&lt;Premissas!$B$36,MAX(Premissas!$B$33,J579*Premissas!$B$34),J579*Premissas!$B$35)</f>
        <v/>
      </c>
      <c r="L579" s="24">
        <f>ROUND(J579+K579,2)</f>
        <v/>
      </c>
      <c r="M579" s="24">
        <f>D579*Premissas!$B$8+Premissas!$B$9+Premissas!$B$10+Premissas!$B$11+Premissas!$B$12+ROUND(Premissas!$B$13*E579,2)</f>
        <v/>
      </c>
      <c r="N579" s="25">
        <f>ROUNDUP((L579+M579-Premissas!$B$5*L579)/(1-Premissas!$B$6-Premissas!$B$7-Premissas!$B$5-Premissas!$B$14),2)</f>
        <v/>
      </c>
      <c r="O579" s="24">
        <f>ROUND(IF(N579&lt;=30000,N579*(1+Premissas!$B$21),N579+Premissas!$B$21*30000*SQRT(N579/30000)),2)</f>
        <v/>
      </c>
      <c r="P579" s="24">
        <f>N579-I579</f>
        <v/>
      </c>
      <c r="Q579" s="26">
        <f>P579/I579</f>
        <v/>
      </c>
      <c r="R579" s="26">
        <f>(I579-L579-Premissas!$B$5*(I579-L579)-(Premissas!$B$6+Premissas!$B$7)*I579-M579)/I579</f>
        <v/>
      </c>
      <c r="S579" s="24">
        <f>ROUND((CEILING((L579*Premissas!$B$19/Premissas!$B$20-97)/100,1)*100+97)*Premissas!$B$20,2)</f>
        <v/>
      </c>
    </row>
    <row r="580">
      <c r="A580" s="17" t="inlineStr">
        <is>
          <t>KIT 139 MOD. 620W + MICROINVERSOR HOYMILES 2,25KW</t>
        </is>
      </c>
      <c r="B580" s="17" t="inlineStr">
        <is>
          <t>HOYMILES</t>
        </is>
      </c>
      <c r="C580" s="17" t="inlineStr">
        <is>
          <t>Micro</t>
        </is>
      </c>
      <c r="D580" s="21" t="n">
        <v>139</v>
      </c>
      <c r="E580" s="30" t="n">
        <v>86.18000000000001</v>
      </c>
      <c r="F580" s="20" t="inlineStr">
        <is>
          <t>Microinversor HOYMILES 2,25kW</t>
        </is>
      </c>
      <c r="G580" s="21" t="n">
        <v>35</v>
      </c>
      <c r="H580" s="17" t="inlineStr">
        <is>
          <t>Sim</t>
        </is>
      </c>
      <c r="I580" s="23" t="n">
        <v>226406.19</v>
      </c>
      <c r="J580" s="24">
        <f>(D580*Premissas!$B$24+(2*ROUNDUP(D580/2,0))*Premissas!$B$26+INT((2*ROUNDUP(D580/2,0))/4)*Premissas!$B$27+MOD((2*ROUNDUP(D580/2,0)),4)/2*Premissas!$B$28+2*IF(D580&lt;=19,3*D580,IF(D580&lt;=50,ROUNDUP(2.5*D580,0),2*D580))*Premissas!$B$29+IF(C580="Micro",G580*(Premissas!$B$31+Premissas!$B$32+4*Premissas!$B$30),G580*(INDEX(Premissas!$B$40:$B$71,MATCH(F580,Premissas!$A$40:$A$71,0))+INDEX(Premissas!$C$40:$C$71,MATCH(F580,Premissas!$A$40:$A$71,0))*Premissas!$B$30)))</f>
        <v/>
      </c>
      <c r="K580" s="24">
        <f>IF(J580&lt;Premissas!$B$36,MAX(Premissas!$B$33,J580*Premissas!$B$34),J580*Premissas!$B$35)</f>
        <v/>
      </c>
      <c r="L580" s="24">
        <f>ROUND(J580+K580,2)</f>
        <v/>
      </c>
      <c r="M580" s="24">
        <f>D580*Premissas!$B$8+Premissas!$B$9+Premissas!$B$10+Premissas!$B$11+Premissas!$B$12+ROUND(Premissas!$B$13*E580,2)</f>
        <v/>
      </c>
      <c r="N580" s="25">
        <f>ROUNDUP((L580+M580-Premissas!$B$5*L580)/(1-Premissas!$B$6-Premissas!$B$7-Premissas!$B$5-Premissas!$B$14),2)</f>
        <v/>
      </c>
      <c r="O580" s="24">
        <f>ROUND(IF(N580&lt;=30000,N580*(1+Premissas!$B$21),N580+Premissas!$B$21*30000*SQRT(N580/30000)),2)</f>
        <v/>
      </c>
      <c r="P580" s="24">
        <f>N580-I580</f>
        <v/>
      </c>
      <c r="Q580" s="26">
        <f>P580/I580</f>
        <v/>
      </c>
      <c r="R580" s="26">
        <f>(I580-L580-Premissas!$B$5*(I580-L580)-(Premissas!$B$6+Premissas!$B$7)*I580-M580)/I580</f>
        <v/>
      </c>
      <c r="S580" s="24">
        <f>ROUND((CEILING((L580*Premissas!$B$19/Premissas!$B$20-97)/100,1)*100+97)*Premissas!$B$20,2)</f>
        <v/>
      </c>
    </row>
    <row r="581">
      <c r="A581" s="17" t="inlineStr">
        <is>
          <t>KIT 140 MOD. 620W + MICROINVERSOR HOYMILES 2,25KW</t>
        </is>
      </c>
      <c r="B581" s="17" t="inlineStr">
        <is>
          <t>HOYMILES</t>
        </is>
      </c>
      <c r="C581" s="17" t="inlineStr">
        <is>
          <t>Micro</t>
        </is>
      </c>
      <c r="D581" s="21" t="n">
        <v>140</v>
      </c>
      <c r="E581" s="30" t="n">
        <v>86.8</v>
      </c>
      <c r="F581" s="20" t="inlineStr">
        <is>
          <t>Microinversor HOYMILES 2,25kW</t>
        </is>
      </c>
      <c r="G581" s="21" t="n">
        <v>35</v>
      </c>
      <c r="H581" s="17" t="inlineStr">
        <is>
          <t>Sim</t>
        </is>
      </c>
      <c r="I581" s="23" t="n">
        <v>227477.19</v>
      </c>
      <c r="J581" s="24">
        <f>(D581*Premissas!$B$24+(2*ROUNDUP(D581/2,0))*Premissas!$B$26+INT((2*ROUNDUP(D581/2,0))/4)*Premissas!$B$27+MOD((2*ROUNDUP(D581/2,0)),4)/2*Premissas!$B$28+2*IF(D581&lt;=19,3*D581,IF(D581&lt;=50,ROUNDUP(2.5*D581,0),2*D581))*Premissas!$B$29+IF(C581="Micro",G581*(Premissas!$B$31+Premissas!$B$32+4*Premissas!$B$30),G581*(INDEX(Premissas!$B$40:$B$71,MATCH(F581,Premissas!$A$40:$A$71,0))+INDEX(Premissas!$C$40:$C$71,MATCH(F581,Premissas!$A$40:$A$71,0))*Premissas!$B$30)))</f>
        <v/>
      </c>
      <c r="K581" s="24">
        <f>IF(J581&lt;Premissas!$B$36,MAX(Premissas!$B$33,J581*Premissas!$B$34),J581*Premissas!$B$35)</f>
        <v/>
      </c>
      <c r="L581" s="24">
        <f>ROUND(J581+K581,2)</f>
        <v/>
      </c>
      <c r="M581" s="24">
        <f>D581*Premissas!$B$8+Premissas!$B$9+Premissas!$B$10+Premissas!$B$11+Premissas!$B$12+ROUND(Premissas!$B$13*E581,2)</f>
        <v/>
      </c>
      <c r="N581" s="25">
        <f>ROUNDUP((L581+M581-Premissas!$B$5*L581)/(1-Premissas!$B$6-Premissas!$B$7-Premissas!$B$5-Premissas!$B$14),2)</f>
        <v/>
      </c>
      <c r="O581" s="24">
        <f>ROUND(IF(N581&lt;=30000,N581*(1+Premissas!$B$21),N581+Premissas!$B$21*30000*SQRT(N581/30000)),2)</f>
        <v/>
      </c>
      <c r="P581" s="24">
        <f>N581-I581</f>
        <v/>
      </c>
      <c r="Q581" s="26">
        <f>P581/I581</f>
        <v/>
      </c>
      <c r="R581" s="26">
        <f>(I581-L581-Premissas!$B$5*(I581-L581)-(Premissas!$B$6+Premissas!$B$7)*I581-M581)/I581</f>
        <v/>
      </c>
      <c r="S581" s="24">
        <f>ROUND((CEILING((L581*Premissas!$B$19/Premissas!$B$20-97)/100,1)*100+97)*Premissas!$B$20,2)</f>
        <v/>
      </c>
    </row>
    <row r="582">
      <c r="A582" s="17" t="inlineStr">
        <is>
          <t>KIT 141 MOD. 620W + MICROINVERSOR HOYMILES 2,25KW</t>
        </is>
      </c>
      <c r="B582" s="17" t="inlineStr">
        <is>
          <t>HOYMILES</t>
        </is>
      </c>
      <c r="C582" s="17" t="inlineStr">
        <is>
          <t>Micro</t>
        </is>
      </c>
      <c r="D582" s="21" t="n">
        <v>141</v>
      </c>
      <c r="E582" s="30" t="n">
        <v>87.42</v>
      </c>
      <c r="F582" s="20" t="inlineStr">
        <is>
          <t>Microinversor HOYMILES 2,25kW</t>
        </is>
      </c>
      <c r="G582" s="21" t="n">
        <v>36</v>
      </c>
      <c r="H582" s="17" t="inlineStr">
        <is>
          <t>Sim</t>
        </is>
      </c>
      <c r="I582" s="23" t="n">
        <v>230583.09</v>
      </c>
      <c r="J582" s="24">
        <f>(D582*Premissas!$B$24+(2*ROUNDUP(D582/2,0))*Premissas!$B$26+INT((2*ROUNDUP(D582/2,0))/4)*Premissas!$B$27+MOD((2*ROUNDUP(D582/2,0)),4)/2*Premissas!$B$28+2*IF(D582&lt;=19,3*D582,IF(D582&lt;=50,ROUNDUP(2.5*D582,0),2*D582))*Premissas!$B$29+IF(C582="Micro",G582*(Premissas!$B$31+Premissas!$B$32+4*Premissas!$B$30),G582*(INDEX(Premissas!$B$40:$B$71,MATCH(F582,Premissas!$A$40:$A$71,0))+INDEX(Premissas!$C$40:$C$71,MATCH(F582,Premissas!$A$40:$A$71,0))*Premissas!$B$30)))</f>
        <v/>
      </c>
      <c r="K582" s="24">
        <f>IF(J582&lt;Premissas!$B$36,MAX(Premissas!$B$33,J582*Premissas!$B$34),J582*Premissas!$B$35)</f>
        <v/>
      </c>
      <c r="L582" s="24">
        <f>ROUND(J582+K582,2)</f>
        <v/>
      </c>
      <c r="M582" s="24">
        <f>D582*Premissas!$B$8+Premissas!$B$9+Premissas!$B$10+Premissas!$B$11+Premissas!$B$12+ROUND(Premissas!$B$13*E582,2)</f>
        <v/>
      </c>
      <c r="N582" s="25">
        <f>ROUNDUP((L582+M582-Premissas!$B$5*L582)/(1-Premissas!$B$6-Premissas!$B$7-Premissas!$B$5-Premissas!$B$14),2)</f>
        <v/>
      </c>
      <c r="O582" s="24">
        <f>ROUND(IF(N582&lt;=30000,N582*(1+Premissas!$B$21),N582+Premissas!$B$21*30000*SQRT(N582/30000)),2)</f>
        <v/>
      </c>
      <c r="P582" s="24">
        <f>N582-I582</f>
        <v/>
      </c>
      <c r="Q582" s="26">
        <f>P582/I582</f>
        <v/>
      </c>
      <c r="R582" s="26">
        <f>(I582-L582-Premissas!$B$5*(I582-L582)-(Premissas!$B$6+Premissas!$B$7)*I582-M582)/I582</f>
        <v/>
      </c>
      <c r="S582" s="24">
        <f>ROUND((CEILING((L582*Premissas!$B$19/Premissas!$B$20-97)/100,1)*100+97)*Premissas!$B$20,2)</f>
        <v/>
      </c>
    </row>
    <row r="583">
      <c r="A583" s="17" t="inlineStr">
        <is>
          <t>KIT 142 MOD. 620W + MICROINVERSOR HOYMILES 2,25KW</t>
        </is>
      </c>
      <c r="B583" s="17" t="inlineStr">
        <is>
          <t>HOYMILES</t>
        </is>
      </c>
      <c r="C583" s="17" t="inlineStr">
        <is>
          <t>Micro</t>
        </is>
      </c>
      <c r="D583" s="21" t="n">
        <v>142</v>
      </c>
      <c r="E583" s="30" t="n">
        <v>88.04000000000001</v>
      </c>
      <c r="F583" s="20" t="inlineStr">
        <is>
          <t>Microinversor HOYMILES 2,25kW</t>
        </is>
      </c>
      <c r="G583" s="21" t="n">
        <v>36</v>
      </c>
      <c r="H583" s="17" t="inlineStr">
        <is>
          <t>Sim</t>
        </is>
      </c>
      <c r="I583" s="23" t="n">
        <v>231546.99</v>
      </c>
      <c r="J583" s="24">
        <f>(D583*Premissas!$B$24+(2*ROUNDUP(D583/2,0))*Premissas!$B$26+INT((2*ROUNDUP(D583/2,0))/4)*Premissas!$B$27+MOD((2*ROUNDUP(D583/2,0)),4)/2*Premissas!$B$28+2*IF(D583&lt;=19,3*D583,IF(D583&lt;=50,ROUNDUP(2.5*D583,0),2*D583))*Premissas!$B$29+IF(C583="Micro",G583*(Premissas!$B$31+Premissas!$B$32+4*Premissas!$B$30),G583*(INDEX(Premissas!$B$40:$B$71,MATCH(F583,Premissas!$A$40:$A$71,0))+INDEX(Premissas!$C$40:$C$71,MATCH(F583,Premissas!$A$40:$A$71,0))*Premissas!$B$30)))</f>
        <v/>
      </c>
      <c r="K583" s="24">
        <f>IF(J583&lt;Premissas!$B$36,MAX(Premissas!$B$33,J583*Premissas!$B$34),J583*Premissas!$B$35)</f>
        <v/>
      </c>
      <c r="L583" s="24">
        <f>ROUND(J583+K583,2)</f>
        <v/>
      </c>
      <c r="M583" s="24">
        <f>D583*Premissas!$B$8+Premissas!$B$9+Premissas!$B$10+Premissas!$B$11+Premissas!$B$12+ROUND(Premissas!$B$13*E583,2)</f>
        <v/>
      </c>
      <c r="N583" s="25">
        <f>ROUNDUP((L583+M583-Premissas!$B$5*L583)/(1-Premissas!$B$6-Premissas!$B$7-Premissas!$B$5-Premissas!$B$14),2)</f>
        <v/>
      </c>
      <c r="O583" s="24">
        <f>ROUND(IF(N583&lt;=30000,N583*(1+Premissas!$B$21),N583+Premissas!$B$21*30000*SQRT(N583/30000)),2)</f>
        <v/>
      </c>
      <c r="P583" s="24">
        <f>N583-I583</f>
        <v/>
      </c>
      <c r="Q583" s="26">
        <f>P583/I583</f>
        <v/>
      </c>
      <c r="R583" s="26">
        <f>(I583-L583-Premissas!$B$5*(I583-L583)-(Premissas!$B$6+Premissas!$B$7)*I583-M583)/I583</f>
        <v/>
      </c>
      <c r="S583" s="24">
        <f>ROUND((CEILING((L583*Premissas!$B$19/Premissas!$B$20-97)/100,1)*100+97)*Premissas!$B$20,2)</f>
        <v/>
      </c>
    </row>
    <row r="584">
      <c r="A584" s="17" t="inlineStr">
        <is>
          <t>KIT 143 MOD. 620W + MICROINVERSOR HOYMILES 2,25KW</t>
        </is>
      </c>
      <c r="B584" s="17" t="inlineStr">
        <is>
          <t>HOYMILES</t>
        </is>
      </c>
      <c r="C584" s="17" t="inlineStr">
        <is>
          <t>Micro</t>
        </is>
      </c>
      <c r="D584" s="21" t="n">
        <v>143</v>
      </c>
      <c r="E584" s="30" t="n">
        <v>88.66</v>
      </c>
      <c r="F584" s="20" t="inlineStr">
        <is>
          <t>Microinversor HOYMILES 2,25kW</t>
        </is>
      </c>
      <c r="G584" s="21" t="n">
        <v>36</v>
      </c>
      <c r="H584" s="17" t="inlineStr">
        <is>
          <t>Sim</t>
        </is>
      </c>
      <c r="I584" s="23" t="n">
        <v>232939.29</v>
      </c>
      <c r="J584" s="24">
        <f>(D584*Premissas!$B$24+(2*ROUNDUP(D584/2,0))*Premissas!$B$26+INT((2*ROUNDUP(D584/2,0))/4)*Premissas!$B$27+MOD((2*ROUNDUP(D584/2,0)),4)/2*Premissas!$B$28+2*IF(D584&lt;=19,3*D584,IF(D584&lt;=50,ROUNDUP(2.5*D584,0),2*D584))*Premissas!$B$29+IF(C584="Micro",G584*(Premissas!$B$31+Premissas!$B$32+4*Premissas!$B$30),G584*(INDEX(Premissas!$B$40:$B$71,MATCH(F584,Premissas!$A$40:$A$71,0))+INDEX(Premissas!$C$40:$C$71,MATCH(F584,Premissas!$A$40:$A$71,0))*Premissas!$B$30)))</f>
        <v/>
      </c>
      <c r="K584" s="24">
        <f>IF(J584&lt;Premissas!$B$36,MAX(Premissas!$B$33,J584*Premissas!$B$34),J584*Premissas!$B$35)</f>
        <v/>
      </c>
      <c r="L584" s="24">
        <f>ROUND(J584+K584,2)</f>
        <v/>
      </c>
      <c r="M584" s="24">
        <f>D584*Premissas!$B$8+Premissas!$B$9+Premissas!$B$10+Premissas!$B$11+Premissas!$B$12+ROUND(Premissas!$B$13*E584,2)</f>
        <v/>
      </c>
      <c r="N584" s="25">
        <f>ROUNDUP((L584+M584-Premissas!$B$5*L584)/(1-Premissas!$B$6-Premissas!$B$7-Premissas!$B$5-Premissas!$B$14),2)</f>
        <v/>
      </c>
      <c r="O584" s="24">
        <f>ROUND(IF(N584&lt;=30000,N584*(1+Premissas!$B$21),N584+Premissas!$B$21*30000*SQRT(N584/30000)),2)</f>
        <v/>
      </c>
      <c r="P584" s="24">
        <f>N584-I584</f>
        <v/>
      </c>
      <c r="Q584" s="26">
        <f>P584/I584</f>
        <v/>
      </c>
      <c r="R584" s="26">
        <f>(I584-L584-Premissas!$B$5*(I584-L584)-(Premissas!$B$6+Premissas!$B$7)*I584-M584)/I584</f>
        <v/>
      </c>
      <c r="S584" s="24">
        <f>ROUND((CEILING((L584*Premissas!$B$19/Premissas!$B$20-97)/100,1)*100+97)*Premissas!$B$20,2)</f>
        <v/>
      </c>
    </row>
    <row r="585">
      <c r="A585" s="17" t="inlineStr">
        <is>
          <t>KIT 144 MOD. 620W + MICROINVERSOR HOYMILES 2,25KW</t>
        </is>
      </c>
      <c r="B585" s="17" t="inlineStr">
        <is>
          <t>HOYMILES</t>
        </is>
      </c>
      <c r="C585" s="17" t="inlineStr">
        <is>
          <t>Micro</t>
        </is>
      </c>
      <c r="D585" s="21" t="n">
        <v>144</v>
      </c>
      <c r="E585" s="30" t="n">
        <v>89.28</v>
      </c>
      <c r="F585" s="20" t="inlineStr">
        <is>
          <t>Microinversor HOYMILES 2,25kW</t>
        </is>
      </c>
      <c r="G585" s="21" t="n">
        <v>36</v>
      </c>
      <c r="H585" s="17" t="inlineStr">
        <is>
          <t>Sim</t>
        </is>
      </c>
      <c r="I585" s="23" t="n">
        <v>233903.19</v>
      </c>
      <c r="J585" s="24">
        <f>(D585*Premissas!$B$24+(2*ROUNDUP(D585/2,0))*Premissas!$B$26+INT((2*ROUNDUP(D585/2,0))/4)*Premissas!$B$27+MOD((2*ROUNDUP(D585/2,0)),4)/2*Premissas!$B$28+2*IF(D585&lt;=19,3*D585,IF(D585&lt;=50,ROUNDUP(2.5*D585,0),2*D585))*Premissas!$B$29+IF(C585="Micro",G585*(Premissas!$B$31+Premissas!$B$32+4*Premissas!$B$30),G585*(INDEX(Premissas!$B$40:$B$71,MATCH(F585,Premissas!$A$40:$A$71,0))+INDEX(Premissas!$C$40:$C$71,MATCH(F585,Premissas!$A$40:$A$71,0))*Premissas!$B$30)))</f>
        <v/>
      </c>
      <c r="K585" s="24">
        <f>IF(J585&lt;Premissas!$B$36,MAX(Premissas!$B$33,J585*Premissas!$B$34),J585*Premissas!$B$35)</f>
        <v/>
      </c>
      <c r="L585" s="24">
        <f>ROUND(J585+K585,2)</f>
        <v/>
      </c>
      <c r="M585" s="24">
        <f>D585*Premissas!$B$8+Premissas!$B$9+Premissas!$B$10+Premissas!$B$11+Premissas!$B$12+ROUND(Premissas!$B$13*E585,2)</f>
        <v/>
      </c>
      <c r="N585" s="25">
        <f>ROUNDUP((L585+M585-Premissas!$B$5*L585)/(1-Premissas!$B$6-Premissas!$B$7-Premissas!$B$5-Premissas!$B$14),2)</f>
        <v/>
      </c>
      <c r="O585" s="24">
        <f>ROUND(IF(N585&lt;=30000,N585*(1+Premissas!$B$21),N585+Premissas!$B$21*30000*SQRT(N585/30000)),2)</f>
        <v/>
      </c>
      <c r="P585" s="24">
        <f>N585-I585</f>
        <v/>
      </c>
      <c r="Q585" s="26">
        <f>P585/I585</f>
        <v/>
      </c>
      <c r="R585" s="26">
        <f>(I585-L585-Premissas!$B$5*(I585-L585)-(Premissas!$B$6+Premissas!$B$7)*I585-M585)/I585</f>
        <v/>
      </c>
      <c r="S585" s="24">
        <f>ROUND((CEILING((L585*Premissas!$B$19/Premissas!$B$20-97)/100,1)*100+97)*Premissas!$B$20,2)</f>
        <v/>
      </c>
    </row>
    <row r="586">
      <c r="A586" s="17" t="inlineStr">
        <is>
          <t>KIT 145 MOD. 620W + MICROINVERSOR HOYMILES 2,25KW</t>
        </is>
      </c>
      <c r="B586" s="17" t="inlineStr">
        <is>
          <t>HOYMILES</t>
        </is>
      </c>
      <c r="C586" s="17" t="inlineStr">
        <is>
          <t>Micro</t>
        </is>
      </c>
      <c r="D586" s="21" t="n">
        <v>145</v>
      </c>
      <c r="E586" s="30" t="n">
        <v>89.90000000000001</v>
      </c>
      <c r="F586" s="20" t="inlineStr">
        <is>
          <t>Microinversor HOYMILES 2,25kW</t>
        </is>
      </c>
      <c r="G586" s="21" t="n">
        <v>37</v>
      </c>
      <c r="H586" s="17" t="inlineStr">
        <is>
          <t>Sim</t>
        </is>
      </c>
      <c r="I586" s="23" t="n">
        <v>237009.09</v>
      </c>
      <c r="J586" s="24">
        <f>(D586*Premissas!$B$24+(2*ROUNDUP(D586/2,0))*Premissas!$B$26+INT((2*ROUNDUP(D586/2,0))/4)*Premissas!$B$27+MOD((2*ROUNDUP(D586/2,0)),4)/2*Premissas!$B$28+2*IF(D586&lt;=19,3*D586,IF(D586&lt;=50,ROUNDUP(2.5*D586,0),2*D586))*Premissas!$B$29+IF(C586="Micro",G586*(Premissas!$B$31+Premissas!$B$32+4*Premissas!$B$30),G586*(INDEX(Premissas!$B$40:$B$71,MATCH(F586,Premissas!$A$40:$A$71,0))+INDEX(Premissas!$C$40:$C$71,MATCH(F586,Premissas!$A$40:$A$71,0))*Premissas!$B$30)))</f>
        <v/>
      </c>
      <c r="K586" s="24">
        <f>IF(J586&lt;Premissas!$B$36,MAX(Premissas!$B$33,J586*Premissas!$B$34),J586*Premissas!$B$35)</f>
        <v/>
      </c>
      <c r="L586" s="24">
        <f>ROUND(J586+K586,2)</f>
        <v/>
      </c>
      <c r="M586" s="24">
        <f>D586*Premissas!$B$8+Premissas!$B$9+Premissas!$B$10+Premissas!$B$11+Premissas!$B$12+ROUND(Premissas!$B$13*E586,2)</f>
        <v/>
      </c>
      <c r="N586" s="25">
        <f>ROUNDUP((L586+M586-Premissas!$B$5*L586)/(1-Premissas!$B$6-Premissas!$B$7-Premissas!$B$5-Premissas!$B$14),2)</f>
        <v/>
      </c>
      <c r="O586" s="24">
        <f>ROUND(IF(N586&lt;=30000,N586*(1+Premissas!$B$21),N586+Premissas!$B$21*30000*SQRT(N586/30000)),2)</f>
        <v/>
      </c>
      <c r="P586" s="24">
        <f>N586-I586</f>
        <v/>
      </c>
      <c r="Q586" s="26">
        <f>P586/I586</f>
        <v/>
      </c>
      <c r="R586" s="26">
        <f>(I586-L586-Premissas!$B$5*(I586-L586)-(Premissas!$B$6+Premissas!$B$7)*I586-M586)/I586</f>
        <v/>
      </c>
      <c r="S586" s="24">
        <f>ROUND((CEILING((L586*Premissas!$B$19/Premissas!$B$20-97)/100,1)*100+97)*Premissas!$B$20,2)</f>
        <v/>
      </c>
    </row>
    <row r="587">
      <c r="A587" s="17" t="inlineStr">
        <is>
          <t>KIT 146 MOD. 620W + MICROINVERSOR HOYMILES 2,25KW</t>
        </is>
      </c>
      <c r="B587" s="17" t="inlineStr">
        <is>
          <t>HOYMILES</t>
        </is>
      </c>
      <c r="C587" s="17" t="inlineStr">
        <is>
          <t>Micro</t>
        </is>
      </c>
      <c r="D587" s="21" t="n">
        <v>146</v>
      </c>
      <c r="E587" s="30" t="n">
        <v>90.52</v>
      </c>
      <c r="F587" s="20" t="inlineStr">
        <is>
          <t>Microinversor HOYMILES 2,25kW</t>
        </is>
      </c>
      <c r="G587" s="21" t="n">
        <v>37</v>
      </c>
      <c r="H587" s="17" t="inlineStr">
        <is>
          <t>Sim</t>
        </is>
      </c>
      <c r="I587" s="23" t="n">
        <v>238080.09</v>
      </c>
      <c r="J587" s="24">
        <f>(D587*Premissas!$B$24+(2*ROUNDUP(D587/2,0))*Premissas!$B$26+INT((2*ROUNDUP(D587/2,0))/4)*Premissas!$B$27+MOD((2*ROUNDUP(D587/2,0)),4)/2*Premissas!$B$28+2*IF(D587&lt;=19,3*D587,IF(D587&lt;=50,ROUNDUP(2.5*D587,0),2*D587))*Premissas!$B$29+IF(C587="Micro",G587*(Premissas!$B$31+Premissas!$B$32+4*Premissas!$B$30),G587*(INDEX(Premissas!$B$40:$B$71,MATCH(F587,Premissas!$A$40:$A$71,0))+INDEX(Premissas!$C$40:$C$71,MATCH(F587,Premissas!$A$40:$A$71,0))*Premissas!$B$30)))</f>
        <v/>
      </c>
      <c r="K587" s="24">
        <f>IF(J587&lt;Premissas!$B$36,MAX(Premissas!$B$33,J587*Premissas!$B$34),J587*Premissas!$B$35)</f>
        <v/>
      </c>
      <c r="L587" s="24">
        <f>ROUND(J587+K587,2)</f>
        <v/>
      </c>
      <c r="M587" s="24">
        <f>D587*Premissas!$B$8+Premissas!$B$9+Premissas!$B$10+Premissas!$B$11+Premissas!$B$12+ROUND(Premissas!$B$13*E587,2)</f>
        <v/>
      </c>
      <c r="N587" s="25">
        <f>ROUNDUP((L587+M587-Premissas!$B$5*L587)/(1-Premissas!$B$6-Premissas!$B$7-Premissas!$B$5-Premissas!$B$14),2)</f>
        <v/>
      </c>
      <c r="O587" s="24">
        <f>ROUND(IF(N587&lt;=30000,N587*(1+Premissas!$B$21),N587+Premissas!$B$21*30000*SQRT(N587/30000)),2)</f>
        <v/>
      </c>
      <c r="P587" s="24">
        <f>N587-I587</f>
        <v/>
      </c>
      <c r="Q587" s="26">
        <f>P587/I587</f>
        <v/>
      </c>
      <c r="R587" s="26">
        <f>(I587-L587-Premissas!$B$5*(I587-L587)-(Premissas!$B$6+Premissas!$B$7)*I587-M587)/I587</f>
        <v/>
      </c>
      <c r="S587" s="24">
        <f>ROUND((CEILING((L587*Premissas!$B$19/Premissas!$B$20-97)/100,1)*100+97)*Premissas!$B$20,2)</f>
        <v/>
      </c>
    </row>
    <row r="588">
      <c r="A588" s="17" t="inlineStr">
        <is>
          <t>KIT 147 MOD. 620W + MICROINVERSOR HOYMILES 2,25KW</t>
        </is>
      </c>
      <c r="B588" s="17" t="inlineStr">
        <is>
          <t>HOYMILES</t>
        </is>
      </c>
      <c r="C588" s="17" t="inlineStr">
        <is>
          <t>Micro</t>
        </is>
      </c>
      <c r="D588" s="21" t="n">
        <v>147</v>
      </c>
      <c r="E588" s="30" t="n">
        <v>91.14</v>
      </c>
      <c r="F588" s="20" t="inlineStr">
        <is>
          <t>Microinversor HOYMILES 2,25kW</t>
        </is>
      </c>
      <c r="G588" s="21" t="n">
        <v>37</v>
      </c>
      <c r="H588" s="17" t="inlineStr">
        <is>
          <t>Sim</t>
        </is>
      </c>
      <c r="I588" s="23" t="n">
        <v>239365.29</v>
      </c>
      <c r="J588" s="24">
        <f>(D588*Premissas!$B$24+(2*ROUNDUP(D588/2,0))*Premissas!$B$26+INT((2*ROUNDUP(D588/2,0))/4)*Premissas!$B$27+MOD((2*ROUNDUP(D588/2,0)),4)/2*Premissas!$B$28+2*IF(D588&lt;=19,3*D588,IF(D588&lt;=50,ROUNDUP(2.5*D588,0),2*D588))*Premissas!$B$29+IF(C588="Micro",G588*(Premissas!$B$31+Premissas!$B$32+4*Premissas!$B$30),G588*(INDEX(Premissas!$B$40:$B$71,MATCH(F588,Premissas!$A$40:$A$71,0))+INDEX(Premissas!$C$40:$C$71,MATCH(F588,Premissas!$A$40:$A$71,0))*Premissas!$B$30)))</f>
        <v/>
      </c>
      <c r="K588" s="24">
        <f>IF(J588&lt;Premissas!$B$36,MAX(Premissas!$B$33,J588*Premissas!$B$34),J588*Premissas!$B$35)</f>
        <v/>
      </c>
      <c r="L588" s="24">
        <f>ROUND(J588+K588,2)</f>
        <v/>
      </c>
      <c r="M588" s="24">
        <f>D588*Premissas!$B$8+Premissas!$B$9+Premissas!$B$10+Premissas!$B$11+Premissas!$B$12+ROUND(Premissas!$B$13*E588,2)</f>
        <v/>
      </c>
      <c r="N588" s="25">
        <f>ROUNDUP((L588+M588-Premissas!$B$5*L588)/(1-Premissas!$B$6-Premissas!$B$7-Premissas!$B$5-Premissas!$B$14),2)</f>
        <v/>
      </c>
      <c r="O588" s="24">
        <f>ROUND(IF(N588&lt;=30000,N588*(1+Premissas!$B$21),N588+Premissas!$B$21*30000*SQRT(N588/30000)),2)</f>
        <v/>
      </c>
      <c r="P588" s="24">
        <f>N588-I588</f>
        <v/>
      </c>
      <c r="Q588" s="26">
        <f>P588/I588</f>
        <v/>
      </c>
      <c r="R588" s="26">
        <f>(I588-L588-Premissas!$B$5*(I588-L588)-(Premissas!$B$6+Premissas!$B$7)*I588-M588)/I588</f>
        <v/>
      </c>
      <c r="S588" s="24">
        <f>ROUND((CEILING((L588*Premissas!$B$19/Premissas!$B$20-97)/100,1)*100+97)*Premissas!$B$20,2)</f>
        <v/>
      </c>
    </row>
    <row r="589">
      <c r="A589" s="17" t="inlineStr">
        <is>
          <t>KIT 148 MOD. 620W + MICROINVERSOR HOYMILES 2,25KW</t>
        </is>
      </c>
      <c r="B589" s="17" t="inlineStr">
        <is>
          <t>HOYMILES</t>
        </is>
      </c>
      <c r="C589" s="17" t="inlineStr">
        <is>
          <t>Micro</t>
        </is>
      </c>
      <c r="D589" s="21" t="n">
        <v>148</v>
      </c>
      <c r="E589" s="30" t="n">
        <v>91.76000000000001</v>
      </c>
      <c r="F589" s="20" t="inlineStr">
        <is>
          <t>Microinversor HOYMILES 2,25kW</t>
        </is>
      </c>
      <c r="G589" s="21" t="n">
        <v>37</v>
      </c>
      <c r="H589" s="17" t="inlineStr">
        <is>
          <t>Sim</t>
        </is>
      </c>
      <c r="I589" s="23" t="n">
        <v>240436.29</v>
      </c>
      <c r="J589" s="24">
        <f>(D589*Premissas!$B$24+(2*ROUNDUP(D589/2,0))*Premissas!$B$26+INT((2*ROUNDUP(D589/2,0))/4)*Premissas!$B$27+MOD((2*ROUNDUP(D589/2,0)),4)/2*Premissas!$B$28+2*IF(D589&lt;=19,3*D589,IF(D589&lt;=50,ROUNDUP(2.5*D589,0),2*D589))*Premissas!$B$29+IF(C589="Micro",G589*(Premissas!$B$31+Premissas!$B$32+4*Premissas!$B$30),G589*(INDEX(Premissas!$B$40:$B$71,MATCH(F589,Premissas!$A$40:$A$71,0))+INDEX(Premissas!$C$40:$C$71,MATCH(F589,Premissas!$A$40:$A$71,0))*Premissas!$B$30)))</f>
        <v/>
      </c>
      <c r="K589" s="24">
        <f>IF(J589&lt;Premissas!$B$36,MAX(Premissas!$B$33,J589*Premissas!$B$34),J589*Premissas!$B$35)</f>
        <v/>
      </c>
      <c r="L589" s="24">
        <f>ROUND(J589+K589,2)</f>
        <v/>
      </c>
      <c r="M589" s="24">
        <f>D589*Premissas!$B$8+Premissas!$B$9+Premissas!$B$10+Premissas!$B$11+Premissas!$B$12+ROUND(Premissas!$B$13*E589,2)</f>
        <v/>
      </c>
      <c r="N589" s="25">
        <f>ROUNDUP((L589+M589-Premissas!$B$5*L589)/(1-Premissas!$B$6-Premissas!$B$7-Premissas!$B$5-Premissas!$B$14),2)</f>
        <v/>
      </c>
      <c r="O589" s="24">
        <f>ROUND(IF(N589&lt;=30000,N589*(1+Premissas!$B$21),N589+Premissas!$B$21*30000*SQRT(N589/30000)),2)</f>
        <v/>
      </c>
      <c r="P589" s="24">
        <f>N589-I589</f>
        <v/>
      </c>
      <c r="Q589" s="26">
        <f>P589/I589</f>
        <v/>
      </c>
      <c r="R589" s="26">
        <f>(I589-L589-Premissas!$B$5*(I589-L589)-(Premissas!$B$6+Premissas!$B$7)*I589-M589)/I589</f>
        <v/>
      </c>
      <c r="S589" s="24">
        <f>ROUND((CEILING((L589*Premissas!$B$19/Premissas!$B$20-97)/100,1)*100+97)*Premissas!$B$20,2)</f>
        <v/>
      </c>
    </row>
    <row r="590">
      <c r="A590" s="17" t="inlineStr">
        <is>
          <t>KIT 149 MOD. 620W + MICROINVERSOR HOYMILES 2,25KW</t>
        </is>
      </c>
      <c r="B590" s="17" t="inlineStr">
        <is>
          <t>HOYMILES</t>
        </is>
      </c>
      <c r="C590" s="17" t="inlineStr">
        <is>
          <t>Micro</t>
        </is>
      </c>
      <c r="D590" s="21" t="n">
        <v>149</v>
      </c>
      <c r="E590" s="30" t="n">
        <v>92.38</v>
      </c>
      <c r="F590" s="20" t="inlineStr">
        <is>
          <t>Microinversor HOYMILES 2,25kW</t>
        </is>
      </c>
      <c r="G590" s="21" t="n">
        <v>38</v>
      </c>
      <c r="H590" s="17" t="inlineStr">
        <is>
          <t>Sim</t>
        </is>
      </c>
      <c r="I590" s="23" t="n">
        <v>243542.19</v>
      </c>
      <c r="J590" s="24">
        <f>(D590*Premissas!$B$24+(2*ROUNDUP(D590/2,0))*Premissas!$B$26+INT((2*ROUNDUP(D590/2,0))/4)*Premissas!$B$27+MOD((2*ROUNDUP(D590/2,0)),4)/2*Premissas!$B$28+2*IF(D590&lt;=19,3*D590,IF(D590&lt;=50,ROUNDUP(2.5*D590,0),2*D590))*Premissas!$B$29+IF(C590="Micro",G590*(Premissas!$B$31+Premissas!$B$32+4*Premissas!$B$30),G590*(INDEX(Premissas!$B$40:$B$71,MATCH(F590,Premissas!$A$40:$A$71,0))+INDEX(Premissas!$C$40:$C$71,MATCH(F590,Premissas!$A$40:$A$71,0))*Premissas!$B$30)))</f>
        <v/>
      </c>
      <c r="K590" s="24">
        <f>IF(J590&lt;Premissas!$B$36,MAX(Premissas!$B$33,J590*Premissas!$B$34),J590*Premissas!$B$35)</f>
        <v/>
      </c>
      <c r="L590" s="24">
        <f>ROUND(J590+K590,2)</f>
        <v/>
      </c>
      <c r="M590" s="24">
        <f>D590*Premissas!$B$8+Premissas!$B$9+Premissas!$B$10+Premissas!$B$11+Premissas!$B$12+ROUND(Premissas!$B$13*E590,2)</f>
        <v/>
      </c>
      <c r="N590" s="25">
        <f>ROUNDUP((L590+M590-Premissas!$B$5*L590)/(1-Premissas!$B$6-Premissas!$B$7-Premissas!$B$5-Premissas!$B$14),2)</f>
        <v/>
      </c>
      <c r="O590" s="24">
        <f>ROUND(IF(N590&lt;=30000,N590*(1+Premissas!$B$21),N590+Premissas!$B$21*30000*SQRT(N590/30000)),2)</f>
        <v/>
      </c>
      <c r="P590" s="24">
        <f>N590-I590</f>
        <v/>
      </c>
      <c r="Q590" s="26">
        <f>P590/I590</f>
        <v/>
      </c>
      <c r="R590" s="26">
        <f>(I590-L590-Premissas!$B$5*(I590-L590)-(Premissas!$B$6+Premissas!$B$7)*I590-M590)/I590</f>
        <v/>
      </c>
      <c r="S590" s="24">
        <f>ROUND((CEILING((L590*Premissas!$B$19/Premissas!$B$20-97)/100,1)*100+97)*Premissas!$B$20,2)</f>
        <v/>
      </c>
    </row>
    <row r="591">
      <c r="A591" s="17" t="inlineStr">
        <is>
          <t>KIT 150 MOD. 620W + MICROINVERSOR HOYMILES 2,25KW</t>
        </is>
      </c>
      <c r="B591" s="17" t="inlineStr">
        <is>
          <t>HOYMILES</t>
        </is>
      </c>
      <c r="C591" s="17" t="inlineStr">
        <is>
          <t>Micro</t>
        </is>
      </c>
      <c r="D591" s="21" t="n">
        <v>150</v>
      </c>
      <c r="E591" s="30" t="n">
        <v>93</v>
      </c>
      <c r="F591" s="20" t="inlineStr">
        <is>
          <t>Microinversor HOYMILES 2,25kW</t>
        </is>
      </c>
      <c r="G591" s="21" t="n">
        <v>38</v>
      </c>
      <c r="H591" s="17" t="inlineStr">
        <is>
          <t>Sim</t>
        </is>
      </c>
      <c r="I591" s="23" t="n">
        <v>244613.19</v>
      </c>
      <c r="J591" s="24">
        <f>(D591*Premissas!$B$24+(2*ROUNDUP(D591/2,0))*Premissas!$B$26+INT((2*ROUNDUP(D591/2,0))/4)*Premissas!$B$27+MOD((2*ROUNDUP(D591/2,0)),4)/2*Premissas!$B$28+2*IF(D591&lt;=19,3*D591,IF(D591&lt;=50,ROUNDUP(2.5*D591,0),2*D591))*Premissas!$B$29+IF(C591="Micro",G591*(Premissas!$B$31+Premissas!$B$32+4*Premissas!$B$30),G591*(INDEX(Premissas!$B$40:$B$71,MATCH(F591,Premissas!$A$40:$A$71,0))+INDEX(Premissas!$C$40:$C$71,MATCH(F591,Premissas!$A$40:$A$71,0))*Premissas!$B$30)))</f>
        <v/>
      </c>
      <c r="K591" s="24">
        <f>IF(J591&lt;Premissas!$B$36,MAX(Premissas!$B$33,J591*Premissas!$B$34),J591*Premissas!$B$35)</f>
        <v/>
      </c>
      <c r="L591" s="24">
        <f>ROUND(J591+K591,2)</f>
        <v/>
      </c>
      <c r="M591" s="24">
        <f>D591*Premissas!$B$8+Premissas!$B$9+Premissas!$B$10+Premissas!$B$11+Premissas!$B$12+ROUND(Premissas!$B$13*E591,2)</f>
        <v/>
      </c>
      <c r="N591" s="25">
        <f>ROUNDUP((L591+M591-Premissas!$B$5*L591)/(1-Premissas!$B$6-Premissas!$B$7-Premissas!$B$5-Premissas!$B$14),2)</f>
        <v/>
      </c>
      <c r="O591" s="24">
        <f>ROUND(IF(N591&lt;=30000,N591*(1+Premissas!$B$21),N591+Premissas!$B$21*30000*SQRT(N591/30000)),2)</f>
        <v/>
      </c>
      <c r="P591" s="24">
        <f>N591-I591</f>
        <v/>
      </c>
      <c r="Q591" s="26">
        <f>P591/I591</f>
        <v/>
      </c>
      <c r="R591" s="26">
        <f>(I591-L591-Premissas!$B$5*(I591-L591)-(Premissas!$B$6+Premissas!$B$7)*I591-M591)/I591</f>
        <v/>
      </c>
      <c r="S591" s="24">
        <f>ROUND((CEILING((L591*Premissas!$B$19/Premissas!$B$20-97)/100,1)*100+97)*Premissas!$B$20,2)</f>
        <v/>
      </c>
    </row>
  </sheetData>
  <autoFilter ref="A4:S59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1" customWidth="1" min="3" max="3"/>
    <col width="8" customWidth="1" min="4" max="4"/>
    <col width="8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0" customWidth="1" min="11" max="11"/>
  </cols>
  <sheetData>
    <row r="1">
      <c r="A1" s="1" t="inlineStr">
        <is>
          <t>Cotação de distribuidora: markup × custos</t>
        </is>
      </c>
    </row>
    <row r="2">
      <c r="A2" s="2" t="inlineStr">
        <is>
          <t>Preencha em amarelo. Mesma conta que a plataforma faz na cotação da Belenus quando a unidade está no modo custos.</t>
        </is>
      </c>
    </row>
    <row r="4" ht="45" customHeight="1">
      <c r="A4" s="19" t="inlineStr">
        <is>
          <t>Distribuidora</t>
        </is>
      </c>
      <c r="B4" s="19" t="inlineStr">
        <is>
          <t>Descrição</t>
        </is>
      </c>
      <c r="C4" s="19" t="inlineStr">
        <is>
          <t>Tipo (Inversor/Micro)</t>
        </is>
      </c>
      <c r="D4" s="19" t="inlineStr">
        <is>
          <t>Módulos</t>
        </is>
      </c>
      <c r="E4" s="19" t="inlineStr">
        <is>
          <t>kWp</t>
        </is>
      </c>
      <c r="F4" s="19" t="inlineStr">
        <is>
          <t>Custo do kit c/ frete</t>
        </is>
      </c>
      <c r="G4" s="19" t="inlineStr">
        <is>
          <t>Preço markup</t>
        </is>
      </c>
      <c r="H4" s="19" t="inlineStr">
        <is>
          <t>Custos fixos da obra</t>
        </is>
      </c>
      <c r="I4" s="19" t="inlineStr">
        <is>
          <t>Preço por custos</t>
        </is>
      </c>
      <c r="J4" s="19" t="inlineStr">
        <is>
          <t>"De" por custos</t>
        </is>
      </c>
      <c r="K4" s="19" t="inlineStr">
        <is>
          <t>Diferença (%)</t>
        </is>
      </c>
    </row>
    <row r="5">
      <c r="A5" s="31" t="inlineStr">
        <is>
          <t>Belenus</t>
        </is>
      </c>
      <c r="B5" s="31" t="inlineStr">
        <is>
          <t>KIT 6 MOD. 580W + INV. GROWATT 3KW (cotação real 08/10)</t>
        </is>
      </c>
      <c r="C5" s="31" t="inlineStr">
        <is>
          <t>Inversor</t>
        </is>
      </c>
      <c r="D5" s="18" t="n">
        <v>6</v>
      </c>
      <c r="E5" s="15" t="n">
        <v>3.48</v>
      </c>
      <c r="F5" s="11" t="n">
        <v>6025.04</v>
      </c>
      <c r="G5" s="24">
        <f>IF(OR(D5="",E5="",F5=""),"",ROUND((CEILING((F5*IF(C5="Micro",Premissas!$B$19,Premissas!$B$17)/IF(C5="Micro",Premissas!$B$20,Premissas!$B$18)-97)/100,1)*100+97)*IF(C5="Micro",Premissas!$B$20,Premissas!$B$18),2))</f>
        <v/>
      </c>
      <c r="H5" s="24">
        <f>IF(OR(D5="",E5="",F5=""),"",D5*Premissas!$B$8+Premissas!$B$9+Premissas!$B$10+Premissas!$B$11+Premissas!$B$12+ROUND(Premissas!$B$13*E5,2))</f>
        <v/>
      </c>
      <c r="I5" s="25">
        <f>IF(OR(D5="",E5="",F5=""),"",ROUNDUP((F5+H5-Premissas!$B$5*F5)/(1-Premissas!$B$6-Premissas!$B$7-Premissas!$B$5-Premissas!$B$14),2))</f>
        <v/>
      </c>
      <c r="J5" s="24">
        <f>IF(I5="","",ROUND(IF(I5&lt;=30000,I5*(1+Premissas!$B$21),I5+Premissas!$B$21*30000*SQRT(I5/30000)),2))</f>
        <v/>
      </c>
      <c r="K5" s="26">
        <f>IF(I5="","",I5/G5-1)</f>
        <v/>
      </c>
    </row>
    <row r="6">
      <c r="A6" s="31" t="inlineStr">
        <is>
          <t>Belenus</t>
        </is>
      </c>
      <c r="B6" s="31" t="inlineStr">
        <is>
          <t>KIT 6 MOD. 580W + INV. SOLIS 3KW (cotação real 08/10)</t>
        </is>
      </c>
      <c r="C6" s="31" t="inlineStr">
        <is>
          <t>Inversor</t>
        </is>
      </c>
      <c r="D6" s="18" t="n">
        <v>6</v>
      </c>
      <c r="E6" s="15" t="n">
        <v>3.48</v>
      </c>
      <c r="F6" s="11" t="n">
        <v>6817.13</v>
      </c>
      <c r="G6" s="24">
        <f>IF(OR(D6="",E6="",F6=""),"",ROUND((CEILING((F6*IF(C6="Micro",Premissas!$B$19,Premissas!$B$17)/IF(C6="Micro",Premissas!$B$20,Premissas!$B$18)-97)/100,1)*100+97)*IF(C6="Micro",Premissas!$B$20,Premissas!$B$18),2))</f>
        <v/>
      </c>
      <c r="H6" s="24">
        <f>IF(OR(D6="",E6="",F6=""),"",D6*Premissas!$B$8+Premissas!$B$9+Premissas!$B$10+Premissas!$B$11+Premissas!$B$12+ROUND(Premissas!$B$13*E6,2))</f>
        <v/>
      </c>
      <c r="I6" s="25">
        <f>IF(OR(D6="",E6="",F6=""),"",ROUNDUP((F6+H6-Premissas!$B$5*F6)/(1-Premissas!$B$6-Premissas!$B$7-Premissas!$B$5-Premissas!$B$14),2))</f>
        <v/>
      </c>
      <c r="J6" s="24">
        <f>IF(I6="","",ROUND(IF(I6&lt;=30000,I6*(1+Premissas!$B$21),I6+Premissas!$B$21*30000*SQRT(I6/30000)),2))</f>
        <v/>
      </c>
      <c r="K6" s="26">
        <f>IF(I6="","",I6/G6-1)</f>
        <v/>
      </c>
    </row>
    <row r="7">
      <c r="A7" s="31" t="inlineStr">
        <is>
          <t>Helte</t>
        </is>
      </c>
      <c r="B7" s="31" t="inlineStr">
        <is>
          <t>KIT 9 MOD. 620W + INV. SOFAR 5KW (cotação real 08/10)</t>
        </is>
      </c>
      <c r="C7" s="31" t="inlineStr">
        <is>
          <t>Inversor</t>
        </is>
      </c>
      <c r="D7" s="18" t="n">
        <v>9</v>
      </c>
      <c r="E7" s="15" t="n">
        <v>5.58</v>
      </c>
      <c r="F7" s="11" t="n">
        <v>7965.87</v>
      </c>
      <c r="G7" s="24">
        <f>IF(OR(D7="",E7="",F7=""),"",ROUND((CEILING((F7*IF(C7="Micro",Premissas!$B$19,Premissas!$B$17)/IF(C7="Micro",Premissas!$B$20,Premissas!$B$18)-97)/100,1)*100+97)*IF(C7="Micro",Premissas!$B$20,Premissas!$B$18),2))</f>
        <v/>
      </c>
      <c r="H7" s="24">
        <f>IF(OR(D7="",E7="",F7=""),"",D7*Premissas!$B$8+Premissas!$B$9+Premissas!$B$10+Premissas!$B$11+Premissas!$B$12+ROUND(Premissas!$B$13*E7,2))</f>
        <v/>
      </c>
      <c r="I7" s="25">
        <f>IF(OR(D7="",E7="",F7=""),"",ROUNDUP((F7+H7-Premissas!$B$5*F7)/(1-Premissas!$B$6-Premissas!$B$7-Premissas!$B$5-Premissas!$B$14),2))</f>
        <v/>
      </c>
      <c r="J7" s="24">
        <f>IF(I7="","",ROUND(IF(I7&lt;=30000,I7*(1+Premissas!$B$21),I7+Premissas!$B$21*30000*SQRT(I7/30000)),2))</f>
        <v/>
      </c>
      <c r="K7" s="26">
        <f>IF(I7="","",I7/G7-1)</f>
        <v/>
      </c>
    </row>
    <row r="8">
      <c r="A8" s="31" t="inlineStr"/>
      <c r="B8" s="31" t="inlineStr"/>
      <c r="C8" s="31" t="inlineStr"/>
      <c r="D8" s="18" t="n"/>
      <c r="E8" s="15" t="n"/>
      <c r="F8" s="11" t="n"/>
      <c r="G8" s="24">
        <f>IF(OR(D8="",E8="",F8=""),"",ROUND((CEILING((F8*IF(C8="Micro",Premissas!$B$19,Premissas!$B$17)/IF(C8="Micro",Premissas!$B$20,Premissas!$B$18)-97)/100,1)*100+97)*IF(C8="Micro",Premissas!$B$20,Premissas!$B$18),2))</f>
        <v/>
      </c>
      <c r="H8" s="24">
        <f>IF(OR(D8="",E8="",F8=""),"",D8*Premissas!$B$8+Premissas!$B$9+Premissas!$B$10+Premissas!$B$11+Premissas!$B$12+ROUND(Premissas!$B$13*E8,2))</f>
        <v/>
      </c>
      <c r="I8" s="25">
        <f>IF(OR(D8="",E8="",F8=""),"",ROUNDUP((F8+H8-Premissas!$B$5*F8)/(1-Premissas!$B$6-Premissas!$B$7-Premissas!$B$5-Premissas!$B$14),2))</f>
        <v/>
      </c>
      <c r="J8" s="24">
        <f>IF(I8="","",ROUND(IF(I8&lt;=30000,I8*(1+Premissas!$B$21),I8+Premissas!$B$21*30000*SQRT(I8/30000)),2))</f>
        <v/>
      </c>
      <c r="K8" s="26">
        <f>IF(I8="","",I8/G8-1)</f>
        <v/>
      </c>
    </row>
    <row r="9">
      <c r="A9" s="31" t="inlineStr"/>
      <c r="B9" s="31" t="inlineStr"/>
      <c r="C9" s="31" t="inlineStr"/>
      <c r="D9" s="18" t="n"/>
      <c r="E9" s="15" t="n"/>
      <c r="F9" s="11" t="n"/>
      <c r="G9" s="24">
        <f>IF(OR(D9="",E9="",F9=""),"",ROUND((CEILING((F9*IF(C9="Micro",Premissas!$B$19,Premissas!$B$17)/IF(C9="Micro",Premissas!$B$20,Premissas!$B$18)-97)/100,1)*100+97)*IF(C9="Micro",Premissas!$B$20,Premissas!$B$18),2))</f>
        <v/>
      </c>
      <c r="H9" s="24">
        <f>IF(OR(D9="",E9="",F9=""),"",D9*Premissas!$B$8+Premissas!$B$9+Premissas!$B$10+Premissas!$B$11+Premissas!$B$12+ROUND(Premissas!$B$13*E9,2))</f>
        <v/>
      </c>
      <c r="I9" s="25">
        <f>IF(OR(D9="",E9="",F9=""),"",ROUNDUP((F9+H9-Premissas!$B$5*F9)/(1-Premissas!$B$6-Premissas!$B$7-Premissas!$B$5-Premissas!$B$14),2))</f>
        <v/>
      </c>
      <c r="J9" s="24">
        <f>IF(I9="","",ROUND(IF(I9&lt;=30000,I9*(1+Premissas!$B$21),I9+Premissas!$B$21*30000*SQRT(I9/30000)),2))</f>
        <v/>
      </c>
      <c r="K9" s="26">
        <f>IF(I9="","",I9/G9-1)</f>
        <v/>
      </c>
    </row>
    <row r="10">
      <c r="A10" s="31" t="inlineStr"/>
      <c r="B10" s="31" t="inlineStr"/>
      <c r="C10" s="31" t="inlineStr"/>
      <c r="D10" s="18" t="n"/>
      <c r="E10" s="15" t="n"/>
      <c r="F10" s="11" t="n"/>
      <c r="G10" s="24">
        <f>IF(OR(D10="",E10="",F10=""),"",ROUND((CEILING((F10*IF(C10="Micro",Premissas!$B$19,Premissas!$B$17)/IF(C10="Micro",Premissas!$B$20,Premissas!$B$18)-97)/100,1)*100+97)*IF(C10="Micro",Premissas!$B$20,Premissas!$B$18),2))</f>
        <v/>
      </c>
      <c r="H10" s="24">
        <f>IF(OR(D10="",E10="",F10=""),"",D10*Premissas!$B$8+Premissas!$B$9+Premissas!$B$10+Premissas!$B$11+Premissas!$B$12+ROUND(Premissas!$B$13*E10,2))</f>
        <v/>
      </c>
      <c r="I10" s="25">
        <f>IF(OR(D10="",E10="",F10=""),"",ROUNDUP((F10+H10-Premissas!$B$5*F10)/(1-Premissas!$B$6-Premissas!$B$7-Premissas!$B$5-Premissas!$B$14),2))</f>
        <v/>
      </c>
      <c r="J10" s="24">
        <f>IF(I10="","",ROUND(IF(I10&lt;=30000,I10*(1+Premissas!$B$21),I10+Premissas!$B$21*30000*SQRT(I10/30000)),2))</f>
        <v/>
      </c>
      <c r="K10" s="26">
        <f>IF(I10="","",I10/G10-1)</f>
        <v/>
      </c>
    </row>
    <row r="11">
      <c r="A11" s="31" t="inlineStr"/>
      <c r="B11" s="31" t="inlineStr"/>
      <c r="C11" s="31" t="inlineStr"/>
      <c r="D11" s="18" t="n"/>
      <c r="E11" s="15" t="n"/>
      <c r="F11" s="11" t="n"/>
      <c r="G11" s="24">
        <f>IF(OR(D11="",E11="",F11=""),"",ROUND((CEILING((F11*IF(C11="Micro",Premissas!$B$19,Premissas!$B$17)/IF(C11="Micro",Premissas!$B$20,Premissas!$B$18)-97)/100,1)*100+97)*IF(C11="Micro",Premissas!$B$20,Premissas!$B$18),2))</f>
        <v/>
      </c>
      <c r="H11" s="24">
        <f>IF(OR(D11="",E11="",F11=""),"",D11*Premissas!$B$8+Premissas!$B$9+Premissas!$B$10+Premissas!$B$11+Premissas!$B$12+ROUND(Premissas!$B$13*E11,2))</f>
        <v/>
      </c>
      <c r="I11" s="25">
        <f>IF(OR(D11="",E11="",F11=""),"",ROUNDUP((F11+H11-Premissas!$B$5*F11)/(1-Premissas!$B$6-Premissas!$B$7-Premissas!$B$5-Premissas!$B$14),2))</f>
        <v/>
      </c>
      <c r="J11" s="24">
        <f>IF(I11="","",ROUND(IF(I11&lt;=30000,I11*(1+Premissas!$B$21),I11+Premissas!$B$21*30000*SQRT(I11/30000)),2))</f>
        <v/>
      </c>
      <c r="K11" s="26">
        <f>IF(I11="","",I11/G11-1)</f>
        <v/>
      </c>
    </row>
    <row r="12">
      <c r="A12" s="31" t="inlineStr"/>
      <c r="B12" s="31" t="inlineStr"/>
      <c r="C12" s="31" t="inlineStr"/>
      <c r="D12" s="18" t="n"/>
      <c r="E12" s="15" t="n"/>
      <c r="F12" s="11" t="n"/>
      <c r="G12" s="24">
        <f>IF(OR(D12="",E12="",F12=""),"",ROUND((CEILING((F12*IF(C12="Micro",Premissas!$B$19,Premissas!$B$17)/IF(C12="Micro",Premissas!$B$20,Premissas!$B$18)-97)/100,1)*100+97)*IF(C12="Micro",Premissas!$B$20,Premissas!$B$18),2))</f>
        <v/>
      </c>
      <c r="H12" s="24">
        <f>IF(OR(D12="",E12="",F12=""),"",D12*Premissas!$B$8+Premissas!$B$9+Premissas!$B$10+Premissas!$B$11+Premissas!$B$12+ROUND(Premissas!$B$13*E12,2))</f>
        <v/>
      </c>
      <c r="I12" s="25">
        <f>IF(OR(D12="",E12="",F12=""),"",ROUNDUP((F12+H12-Premissas!$B$5*F12)/(1-Premissas!$B$6-Premissas!$B$7-Premissas!$B$5-Premissas!$B$14),2))</f>
        <v/>
      </c>
      <c r="J12" s="24">
        <f>IF(I12="","",ROUND(IF(I12&lt;=30000,I12*(1+Premissas!$B$21),I12+Premissas!$B$21*30000*SQRT(I12/30000)),2))</f>
        <v/>
      </c>
      <c r="K12" s="26">
        <f>IF(I12="","",I12/G12-1)</f>
        <v/>
      </c>
    </row>
    <row r="13">
      <c r="A13" s="31" t="inlineStr"/>
      <c r="B13" s="31" t="inlineStr"/>
      <c r="C13" s="31" t="inlineStr"/>
      <c r="D13" s="18" t="n"/>
      <c r="E13" s="15" t="n"/>
      <c r="F13" s="11" t="n"/>
      <c r="G13" s="24">
        <f>IF(OR(D13="",E13="",F13=""),"",ROUND((CEILING((F13*IF(C13="Micro",Premissas!$B$19,Premissas!$B$17)/IF(C13="Micro",Premissas!$B$20,Premissas!$B$18)-97)/100,1)*100+97)*IF(C13="Micro",Premissas!$B$20,Premissas!$B$18),2))</f>
        <v/>
      </c>
      <c r="H13" s="24">
        <f>IF(OR(D13="",E13="",F13=""),"",D13*Premissas!$B$8+Premissas!$B$9+Premissas!$B$10+Premissas!$B$11+Premissas!$B$12+ROUND(Premissas!$B$13*E13,2))</f>
        <v/>
      </c>
      <c r="I13" s="25">
        <f>IF(OR(D13="",E13="",F13=""),"",ROUNDUP((F13+H13-Premissas!$B$5*F13)/(1-Premissas!$B$6-Premissas!$B$7-Premissas!$B$5-Premissas!$B$14),2))</f>
        <v/>
      </c>
      <c r="J13" s="24">
        <f>IF(I13="","",ROUND(IF(I13&lt;=30000,I13*(1+Premissas!$B$21),I13+Premissas!$B$21*30000*SQRT(I13/30000)),2))</f>
        <v/>
      </c>
      <c r="K13" s="26">
        <f>IF(I13="","",I13/G13-1)</f>
        <v/>
      </c>
    </row>
    <row r="14">
      <c r="A14" s="31" t="inlineStr"/>
      <c r="B14" s="31" t="inlineStr"/>
      <c r="C14" s="31" t="inlineStr"/>
      <c r="D14" s="18" t="n"/>
      <c r="E14" s="15" t="n"/>
      <c r="F14" s="11" t="n"/>
      <c r="G14" s="24">
        <f>IF(OR(D14="",E14="",F14=""),"",ROUND((CEILING((F14*IF(C14="Micro",Premissas!$B$19,Premissas!$B$17)/IF(C14="Micro",Premissas!$B$20,Premissas!$B$18)-97)/100,1)*100+97)*IF(C14="Micro",Premissas!$B$20,Premissas!$B$18),2))</f>
        <v/>
      </c>
      <c r="H14" s="24">
        <f>IF(OR(D14="",E14="",F14=""),"",D14*Premissas!$B$8+Premissas!$B$9+Premissas!$B$10+Premissas!$B$11+Premissas!$B$12+ROUND(Premissas!$B$13*E14,2))</f>
        <v/>
      </c>
      <c r="I14" s="25">
        <f>IF(OR(D14="",E14="",F14=""),"",ROUNDUP((F14+H14-Premissas!$B$5*F14)/(1-Premissas!$B$6-Premissas!$B$7-Premissas!$B$5-Premissas!$B$14),2))</f>
        <v/>
      </c>
      <c r="J14" s="24">
        <f>IF(I14="","",ROUND(IF(I14&lt;=30000,I14*(1+Premissas!$B$21),I14+Premissas!$B$21*30000*SQRT(I14/30000)),2))</f>
        <v/>
      </c>
      <c r="K14" s="26">
        <f>IF(I14="","",I14/G14-1)</f>
        <v/>
      </c>
    </row>
    <row r="15">
      <c r="A15" s="31" t="inlineStr"/>
      <c r="B15" s="31" t="inlineStr"/>
      <c r="C15" s="31" t="inlineStr"/>
      <c r="D15" s="18" t="n"/>
      <c r="E15" s="15" t="n"/>
      <c r="F15" s="11" t="n"/>
      <c r="G15" s="24">
        <f>IF(OR(D15="",E15="",F15=""),"",ROUND((CEILING((F15*IF(C15="Micro",Premissas!$B$19,Premissas!$B$17)/IF(C15="Micro",Premissas!$B$20,Premissas!$B$18)-97)/100,1)*100+97)*IF(C15="Micro",Premissas!$B$20,Premissas!$B$18),2))</f>
        <v/>
      </c>
      <c r="H15" s="24">
        <f>IF(OR(D15="",E15="",F15=""),"",D15*Premissas!$B$8+Premissas!$B$9+Premissas!$B$10+Premissas!$B$11+Premissas!$B$12+ROUND(Premissas!$B$13*E15,2))</f>
        <v/>
      </c>
      <c r="I15" s="25">
        <f>IF(OR(D15="",E15="",F15=""),"",ROUNDUP((F15+H15-Premissas!$B$5*F15)/(1-Premissas!$B$6-Premissas!$B$7-Premissas!$B$5-Premissas!$B$14),2))</f>
        <v/>
      </c>
      <c r="J15" s="24">
        <f>IF(I15="","",ROUND(IF(I15&lt;=30000,I15*(1+Premissas!$B$21),I15+Premissas!$B$21*30000*SQRT(I15/30000)),2))</f>
        <v/>
      </c>
      <c r="K15" s="26">
        <f>IF(I15="","",I15/G15-1)</f>
        <v/>
      </c>
    </row>
    <row r="16">
      <c r="A16" s="31" t="inlineStr"/>
      <c r="B16" s="31" t="inlineStr"/>
      <c r="C16" s="31" t="inlineStr"/>
      <c r="D16" s="18" t="n"/>
      <c r="E16" s="15" t="n"/>
      <c r="F16" s="11" t="n"/>
      <c r="G16" s="24">
        <f>IF(OR(D16="",E16="",F16=""),"",ROUND((CEILING((F16*IF(C16="Micro",Premissas!$B$19,Premissas!$B$17)/IF(C16="Micro",Premissas!$B$20,Premissas!$B$18)-97)/100,1)*100+97)*IF(C16="Micro",Premissas!$B$20,Premissas!$B$18),2))</f>
        <v/>
      </c>
      <c r="H16" s="24">
        <f>IF(OR(D16="",E16="",F16=""),"",D16*Premissas!$B$8+Premissas!$B$9+Premissas!$B$10+Premissas!$B$11+Premissas!$B$12+ROUND(Premissas!$B$13*E16,2))</f>
        <v/>
      </c>
      <c r="I16" s="25">
        <f>IF(OR(D16="",E16="",F16=""),"",ROUNDUP((F16+H16-Premissas!$B$5*F16)/(1-Premissas!$B$6-Premissas!$B$7-Premissas!$B$5-Premissas!$B$14),2))</f>
        <v/>
      </c>
      <c r="J16" s="24">
        <f>IF(I16="","",ROUND(IF(I16&lt;=30000,I16*(1+Premissas!$B$21),I16+Premissas!$B$21*30000*SQRT(I16/30000)),2))</f>
        <v/>
      </c>
      <c r="K16" s="26">
        <f>IF(I16="","",I16/G16-1)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2026-10-09T14:46:15Z</dcterms:created>
  <dcterms:modified xsi:type="dcterms:W3CDTF">2026-10-09T14:46:15Z</dcterms:modified>
</cp:coreProperties>
</file>