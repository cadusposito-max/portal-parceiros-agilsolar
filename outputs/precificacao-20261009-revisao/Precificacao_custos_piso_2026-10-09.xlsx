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Premissas" sheetId="2" state="visible" r:id="rId2"/>
    <sheet name="Kits" sheetId="3" state="visible" r:id="rId3"/>
    <sheet name="Calibracao" sheetId="4" state="visible" r:id="rId4"/>
    <sheet name="Cotaca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;(R$ #,##0.00);&quot;-&quot;"/>
    <numFmt numFmtId="165" formatCode="0.00%;(0.00%);&quot;-&quot;"/>
    <numFmt numFmtId="166" formatCode="0.0%;(0.0%);&quot;-&quot;"/>
    <numFmt numFmtId="167" formatCode="0.0000"/>
    <numFmt numFmtId="168" formatCode="0.00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6" fillId="0" borderId="1" pivotButton="0" quotePrefix="0" xfId="0"/>
    <xf numFmtId="165" fontId="6" fillId="0" borderId="1" pivotButton="0" quotePrefix="0" xfId="0"/>
    <xf numFmtId="1" fontId="6" fillId="0" borderId="1" pivotButton="0" quotePrefix="0" xfId="0"/>
    <xf numFmtId="0" fontId="3" fillId="0" borderId="0" pivotButton="0" quotePrefix="0" xfId="0"/>
    <xf numFmtId="164" fontId="5" fillId="3" borderId="1" pivotButton="0" quotePrefix="0" xfId="0"/>
    <xf numFmtId="2" fontId="5" fillId="3" borderId="1" pivotButton="0" quotePrefix="0" xfId="0"/>
    <xf numFmtId="165" fontId="5" fillId="3" borderId="1" pivotButton="0" quotePrefix="0" xfId="0"/>
    <xf numFmtId="3" fontId="5" fillId="3" borderId="1" pivotButton="0" quotePrefix="0" xfId="0"/>
    <xf numFmtId="1" fontId="5" fillId="3" borderId="1" pivotButton="0" quotePrefix="0" xfId="0"/>
    <xf numFmtId="166" fontId="5" fillId="3" borderId="1" pivotButton="0" quotePrefix="0" xfId="0"/>
    <xf numFmtId="0" fontId="5" fillId="3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7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1" fontId="5" fillId="0" borderId="1" pivotButton="0" quotePrefix="0" xfId="0"/>
    <xf numFmtId="2" fontId="4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1" fontId="4" fillId="0" borderId="1" pivotButton="0" quotePrefix="0" xfId="0"/>
    <xf numFmtId="164" fontId="3" fillId="5" borderId="1" pivotButton="0" quotePrefix="0" xfId="0"/>
    <xf numFmtId="166" fontId="4" fillId="0" borderId="1" pivotButton="0" quotePrefix="0" xfId="0"/>
    <xf numFmtId="0" fontId="4" fillId="0" borderId="1" pivotButton="0" quotePrefix="0" xfId="0"/>
    <xf numFmtId="164" fontId="3" fillId="0" borderId="1" pivotButton="0" quotePrefix="0" xfId="0"/>
    <xf numFmtId="166" fontId="3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5" fontId="4" fillId="0" borderId="1" pivotButton="0" quotePrefix="0" xfId="0"/>
    <xf numFmtId="0" fontId="7" fillId="4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Claude</author>
  </authors>
  <commentList>
    <comment ref="F4" authorId="0" shapeId="0">
      <text>
        <t>produtos.price: preço base do kit. A primeira calibração usou esta coluna por engano. O vendedor vê a coluna G.</t>
      </text>
    </comment>
    <comment ref="G4" authorId="0" shapeId="0">
      <text>
        <t>precos_franquia da Matriz (igual nas 8 unidades), consultado em 09/10/2026.</t>
      </text>
    </comment>
    <comment ref="AA4" authorId="0" shapeId="0">
      <text>
        <t>Receita a mais para o preço final não ficar abaixo do promocional. Não é despesa: imposto, comissão e margem são recalculados no preço final.</t>
      </text>
    </comment>
    <comment ref="AH4" authorId="0" shapeId="0">
      <text>
        <t>Valores calculados pela plataforma (assets/js/centro-custo-calc.js via scripts/calibrar-centro-custo.cjs) em 09/10/2026, com reserva de R$ 139,83/kWp. Colados como número para conferência.</t>
      </text>
    </comment>
    <comment ref="AI38" authorId="0" shapeId="0">
      <text>
        <t>Amplitude da diferença. A plataforma arredonda cada linha em centavos e sobe o preço centavo a centavo para garantir a margem; o Excel usa a fórmula fechada. Diferenças de poucos centavos são esperadas.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8" customWidth="1" min="2" max="2"/>
    <col width="62" customWidth="1" min="3" max="3"/>
  </cols>
  <sheetData>
    <row r="1">
      <c r="A1" s="1" t="inlineStr">
        <is>
          <t>Precificação por custos + margem alvo — revisão de 09/10/2026</t>
        </is>
      </c>
    </row>
    <row r="2">
      <c r="A2" s="2" t="inlineStr">
        <is>
          <t>Matriz, módulo RONMA 620W, telha cerâmica, frete para Araçatuba-SP. Números recalculam a partir da aba Premissas.</t>
        </is>
      </c>
    </row>
    <row r="4">
      <c r="A4" s="3" t="inlineStr">
        <is>
          <t>Números principais</t>
        </is>
      </c>
      <c r="B4" s="4" t="n"/>
      <c r="C4" s="4" t="n"/>
    </row>
    <row r="5">
      <c r="A5" s="5" t="inlineStr">
        <is>
          <t>Reserva de elétrica calibrada (R$ por kWp)</t>
        </is>
      </c>
      <c r="B5" s="6">
        <f>Calibracao!B6</f>
        <v/>
      </c>
      <c r="C5" s="2" t="inlineStr">
        <is>
          <t>Antes (repasse): R$ 48,24. Subiu porque agora compara com o preço que o vendedor vê.</t>
        </is>
      </c>
    </row>
    <row r="6">
      <c r="A6" s="5" t="inlineStr">
        <is>
          <t>Margem média dos promocionais (com a reserva)</t>
        </is>
      </c>
      <c r="B6" s="7">
        <f>Calibracao!B9</f>
        <v/>
      </c>
      <c r="C6" s="2" t="inlineStr">
        <is>
          <t>Igual à referência de 19,5% por construção.</t>
        </is>
      </c>
    </row>
    <row r="7">
      <c r="A7" s="5" t="inlineStr">
        <is>
          <t>Promocionais abaixo da margem mínima</t>
        </is>
      </c>
      <c r="B7" s="8">
        <f>Calibracao!B11</f>
        <v/>
      </c>
      <c r="C7" s="2" t="inlineStr">
        <is>
          <t>Mínima da Matriz: 18%.</t>
        </is>
      </c>
    </row>
    <row r="8">
      <c r="A8" s="5" t="inlineStr">
        <is>
          <t>Promocionais acima do preço por custos</t>
        </is>
      </c>
      <c r="B8" s="8">
        <f>Calibracao!B12</f>
        <v/>
      </c>
      <c r="C8" s="2" t="inlineStr">
        <is>
          <t>Só nesses o piso entra (ajuste comercial).</t>
        </is>
      </c>
    </row>
    <row r="9">
      <c r="A9" s="5" t="inlineStr">
        <is>
          <t>Ajuste comercial somado nos 33 kits</t>
        </is>
      </c>
      <c r="B9" s="6">
        <f>Kits!AA38</f>
        <v/>
      </c>
      <c r="C9" s="2" t="inlineStr">
        <is>
          <t>Receita a mais para empatar com o promocional; não é despesa.</t>
        </is>
      </c>
    </row>
    <row r="10">
      <c r="A10" s="5" t="inlineStr">
        <is>
          <t>Diferença máxima Excel × plataforma</t>
        </is>
      </c>
      <c r="B10" s="6">
        <f>Kits!AI38</f>
        <v/>
      </c>
      <c r="C10" s="2" t="inlineStr">
        <is>
          <t>Arredondamento de centavos (a plataforma arredonda linha a linha).</t>
        </is>
      </c>
    </row>
    <row r="12">
      <c r="A12" s="3" t="inlineStr">
        <is>
          <t>Regra do preço</t>
        </is>
      </c>
      <c r="B12" s="4" t="n"/>
      <c r="C12" s="4" t="n"/>
    </row>
    <row r="13">
      <c r="A13" s="5" t="inlineStr">
        <is>
          <t>• Custos fixos = instalação × módulos + ART + placas + projeto da Rede + reserva × kWp</t>
        </is>
      </c>
    </row>
    <row r="14">
      <c r="A14" s="5" t="inlineStr">
        <is>
          <t>• Preço por custos = (kit + custos fixos − imposto × kit) ÷ (1 − comissão − imposto − margem alvo)</t>
        </is>
      </c>
    </row>
    <row r="15">
      <c r="A15" s="5" t="inlineStr">
        <is>
          <t>• Piso = preço do promocional do MESMO tipo e MESMO número de placas, na unidade × (1 + adicional)</t>
        </is>
      </c>
    </row>
    <row r="16">
      <c r="A16" s="5" t="inlineStr">
        <is>
          <t>• Preço final = maior entre preço por custos e piso. A diferença é o "ajuste comercial".</t>
        </is>
      </c>
    </row>
    <row r="17">
      <c r="A17" s="5" t="inlineStr">
        <is>
          <t>• Sem promocional equivalente (ex.: mais de 20 placas) não há piso.</t>
        </is>
      </c>
    </row>
    <row r="19">
      <c r="A19" s="3" t="inlineStr">
        <is>
          <t>O que mudou em relação ao repasse do outro chat</t>
        </is>
      </c>
      <c r="B19" s="4" t="n"/>
      <c r="C19" s="4" t="n"/>
    </row>
    <row r="20">
      <c r="A20" s="5" t="inlineStr">
        <is>
          <t>Preço de referência</t>
        </is>
      </c>
      <c r="B20" s="2" t="inlineStr">
        <is>
          <t>Era o preço base do kit (produtos.price). Agora é o preço da Matriz, o que o vendedor vê (2% a 9% maior).</t>
        </is>
      </c>
    </row>
    <row r="21">
      <c r="A21" s="5" t="inlineStr">
        <is>
          <t>Cabo 4 mm</t>
        </is>
      </c>
      <c r="B21" s="2" t="inlineStr">
        <is>
          <t>De R$ 5,87 para R$ 4,25/m (Helte, 08/10).</t>
        </is>
      </c>
    </row>
    <row r="22">
      <c r="A22" s="5" t="inlineStr">
        <is>
          <t>ART</t>
        </is>
      </c>
      <c r="B22" s="2" t="inlineStr">
        <is>
          <t>Era suprimida quando a Rede cobra projeto. Agora soma sempre (decisão de 09/10).</t>
        </is>
      </c>
    </row>
    <row r="23">
      <c r="A23" s="5" t="inlineStr">
        <is>
          <t>Piso promocional</t>
        </is>
      </c>
      <c r="B23" s="2" t="inlineStr">
        <is>
          <t>Era só planilha. Agora está na cotação da plataforma (modo custos), com o ajuste comercial separado.</t>
        </is>
      </c>
    </row>
    <row r="24">
      <c r="A24" s="5" t="inlineStr">
        <is>
          <t>Kit 9 promocional</t>
        </is>
      </c>
      <c r="B24" s="2" t="inlineStr">
        <is>
          <t>SOFAR 4KW (sem estoque na Helte) trocado por SOFAR 5KW em 08/10.</t>
        </is>
      </c>
    </row>
    <row r="26">
      <c r="A26" s="3" t="inlineStr">
        <is>
          <t>Situação na plataforma</t>
        </is>
      </c>
      <c r="B26" s="4" t="n"/>
      <c r="C26" s="4" t="n"/>
    </row>
    <row r="27">
      <c r="A27" s="5" t="inlineStr">
        <is>
          <t>Código (commit 9bd774e no main)</t>
        </is>
      </c>
      <c r="B27" s="9" t="inlineStr">
        <is>
          <t>Pronto</t>
        </is>
      </c>
      <c r="C27" s="2" t="inlineStr">
        <is>
          <t>Falta o push.</t>
        </is>
      </c>
    </row>
    <row r="28">
      <c r="A28" s="5" t="inlineStr">
        <is>
          <t>Migration do centro de custo + edge function distribuidoras</t>
        </is>
      </c>
      <c r="B28" s="9" t="inlineStr">
        <is>
          <t>Não publicado</t>
        </is>
      </c>
      <c r="C28" s="2" t="inlineStr">
        <is>
          <t>Precisam subir juntas; sem isso o modo custos não funciona.</t>
        </is>
      </c>
    </row>
    <row r="29">
      <c r="A29" s="5" t="inlineStr">
        <is>
          <t>Reserva de R$ 139,83/kWp e instalação por módulo</t>
        </is>
      </c>
      <c r="B29" s="9" t="inlineStr">
        <is>
          <t>Não gravado</t>
        </is>
      </c>
      <c r="C29" s="2" t="inlineStr">
        <is>
          <t>É uma opção de teste no centro de custo; só vale depois de salvar.</t>
        </is>
      </c>
    </row>
    <row r="30">
      <c r="A30" s="5" t="inlineStr">
        <is>
          <t>Markup atual</t>
        </is>
      </c>
      <c r="B30" s="9" t="inlineStr">
        <is>
          <t>Continua padrão</t>
        </is>
      </c>
      <c r="C30" s="2" t="inlineStr">
        <is>
          <t>Nada muda para o vendedor até escolherem custos.</t>
        </is>
      </c>
    </row>
    <row r="32">
      <c r="A32" s="3" t="inlineStr">
        <is>
          <t>Abas</t>
        </is>
      </c>
      <c r="B32" s="4" t="n"/>
      <c r="C32" s="4" t="n"/>
    </row>
    <row r="33">
      <c r="A33" s="5" t="inlineStr">
        <is>
          <t>Premissas</t>
        </is>
      </c>
      <c r="B33" s="2" t="inlineStr">
        <is>
          <t>Todos os valores editáveis (preços Helte, centro de custo, margem, adicional do piso).</t>
        </is>
      </c>
    </row>
    <row r="34">
      <c r="A34" s="5" t="inlineStr">
        <is>
          <t>Kits</t>
        </is>
      </c>
      <c r="B34" s="2" t="inlineStr">
        <is>
          <t>Os 33 promocionais: custo, preço por custos, piso, preço final e margens.</t>
        </is>
      </c>
    </row>
    <row r="35">
      <c r="A35" s="5" t="inlineStr">
        <is>
          <t>Calibracao</t>
        </is>
      </c>
      <c r="B35" s="2" t="inlineStr">
        <is>
          <t>Como a reserva por kWp é calculada e a comparação com o repasse.</t>
        </is>
      </c>
    </row>
    <row r="36">
      <c r="A36" s="5" t="inlineStr">
        <is>
          <t>Cotacao</t>
        </is>
      </c>
      <c r="B36" s="2" t="inlineStr">
        <is>
          <t>Simulador para kits cotados (Belenus/Helte), com 3 cotações reais de 08/10.</t>
        </is>
      </c>
    </row>
  </sheetData>
  <mergeCells count="14">
    <mergeCell ref="B21:C21"/>
    <mergeCell ref="A13:C13"/>
    <mergeCell ref="B24:C24"/>
    <mergeCell ref="B33:C33"/>
    <mergeCell ref="A14:C14"/>
    <mergeCell ref="B20:C20"/>
    <mergeCell ref="B34:C34"/>
    <mergeCell ref="A17:C17"/>
    <mergeCell ref="B23:C23"/>
    <mergeCell ref="B22:C22"/>
    <mergeCell ref="B36:C36"/>
    <mergeCell ref="A15:C15"/>
    <mergeCell ref="B35:C3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Premissas do cálculo</t>
        </is>
      </c>
    </row>
    <row r="2">
      <c r="A2" s="2" t="inlineStr">
        <is>
          <t>Células em azul com fundo amarelo são editáveis. O resto da planilha recalcula sozinho.</t>
        </is>
      </c>
    </row>
    <row r="4">
      <c r="A4" s="3" t="inlineStr">
        <is>
          <t>Preços Helte (tabela de 06/10, cabo atualizado em 08/10)</t>
        </is>
      </c>
      <c r="B4" s="4" t="n"/>
      <c r="C4" s="4" t="n"/>
    </row>
    <row r="5">
      <c r="A5" s="5" t="inlineStr">
        <is>
          <t>Módulo RONMA 620W (R$/un)</t>
        </is>
      </c>
      <c r="B5" s="10" t="n">
        <v>548</v>
      </c>
      <c r="C5" s="2" t="inlineStr">
        <is>
          <t>Helte, delta de preço em orçamento de teste (06/10).</t>
        </is>
      </c>
    </row>
    <row r="6">
      <c r="A6" s="5" t="inlineStr">
        <is>
          <t>Potência do módulo (kW)</t>
        </is>
      </c>
      <c r="B6" s="11" t="n">
        <v>0.62</v>
      </c>
      <c r="C6" s="2" t="inlineStr">
        <is>
          <t>RONMA RM-182R/132TB 620W.</t>
        </is>
      </c>
    </row>
    <row r="7">
      <c r="A7" s="5" t="inlineStr">
        <is>
          <t>Perfil 2,40 m (R$/un)</t>
        </is>
      </c>
      <c r="B7" s="10" t="n">
        <v>44.64</v>
      </c>
      <c r="C7" s="2" t="inlineStr">
        <is>
          <t>Helte (06/10).</t>
        </is>
      </c>
    </row>
    <row r="8">
      <c r="A8" s="5" t="inlineStr">
        <is>
          <t>Kit fixação cerâmico 4 módulos (R$)</t>
        </is>
      </c>
      <c r="B8" s="10" t="n">
        <v>135.65</v>
      </c>
      <c r="C8" s="2" t="inlineStr">
        <is>
          <t>Helte (06/10).</t>
        </is>
      </c>
    </row>
    <row r="9">
      <c r="A9" s="5" t="inlineStr">
        <is>
          <t>Kit fixação cerâmico 2 módulos (R$)</t>
        </is>
      </c>
      <c r="B9" s="10" t="n">
        <v>72.72</v>
      </c>
      <c r="C9" s="2" t="inlineStr">
        <is>
          <t>Helte (06/10).</t>
        </is>
      </c>
    </row>
    <row r="10">
      <c r="A10" s="5" t="inlineStr">
        <is>
          <t>Cabo 4 mm (R$/m, por cor)</t>
        </is>
      </c>
      <c r="B10" s="10" t="n">
        <v>4.25</v>
      </c>
      <c r="C10" s="2" t="inlineStr">
        <is>
          <t>Helte baixou de 5,87 para 4,25 em 08/10 (45 cotações conferidas).</t>
        </is>
      </c>
    </row>
    <row r="11">
      <c r="A11" s="5" t="inlineStr">
        <is>
          <t>Par de conectores (R$)</t>
        </is>
      </c>
      <c r="B11" s="10" t="n">
        <v>12</v>
      </c>
      <c r="C11" s="2" t="inlineStr">
        <is>
          <t>Helte (06/10).</t>
        </is>
      </c>
    </row>
    <row r="12">
      <c r="A12" s="5" t="inlineStr">
        <is>
          <t>Microinversor Hoymiles 2,25 kW (R$/un)</t>
        </is>
      </c>
      <c r="B12" s="10" t="n">
        <v>942.49</v>
      </c>
      <c r="C12" s="2" t="inlineStr">
        <is>
          <t>Preço dentro do kit (06/10). 1 micro a cada 4 módulos.</t>
        </is>
      </c>
    </row>
    <row r="13">
      <c r="A13" s="5" t="inlineStr">
        <is>
          <t>Fixação do micro (R$/un)</t>
        </is>
      </c>
      <c r="B13" s="10" t="n">
        <v>9</v>
      </c>
      <c r="C13" s="2" t="inlineStr">
        <is>
          <t>Helte (06/10).</t>
        </is>
      </c>
    </row>
    <row r="14">
      <c r="A14" s="5" t="inlineStr">
        <is>
          <t>Frete mínimo (R$)</t>
        </is>
      </c>
      <c r="B14" s="10" t="n">
        <v>400</v>
      </c>
      <c r="C14" s="2" t="inlineStr">
        <is>
          <t>Regra levantada em 64 cotações (erro máx. R$ 0,07).</t>
        </is>
      </c>
    </row>
    <row r="15">
      <c r="A15" s="5" t="inlineStr">
        <is>
          <t>Frete % (materiais abaixo do limite)</t>
        </is>
      </c>
      <c r="B15" s="12" t="n">
        <v>0.038494</v>
      </c>
      <c r="C15" s="2" t="inlineStr">
        <is>
          <t>Maior entre o mínimo e este %.</t>
        </is>
      </c>
    </row>
    <row r="16">
      <c r="A16" s="5" t="inlineStr">
        <is>
          <t>Frete % (materiais a partir do limite)</t>
        </is>
      </c>
      <c r="B16" s="12" t="n">
        <v>0.031394</v>
      </c>
      <c r="C16" s="2" t="inlineStr"/>
    </row>
    <row r="17">
      <c r="A17" s="5" t="inlineStr">
        <is>
          <t>Limite de materiais para o frete (R$)</t>
        </is>
      </c>
      <c r="B17" s="10" t="n">
        <v>25000</v>
      </c>
      <c r="C17" s="2" t="inlineStr">
        <is>
          <t>Comparado com as peças, sem frete.</t>
        </is>
      </c>
    </row>
    <row r="19">
      <c r="A19" s="3" t="inlineStr">
        <is>
          <t>Inversores SOFAR (Helte)</t>
        </is>
      </c>
      <c r="B19" s="4" t="n"/>
      <c r="C19" s="4" t="n"/>
    </row>
    <row r="20">
      <c r="A20" s="9" t="inlineStr">
        <is>
          <t>Potência (W)</t>
        </is>
      </c>
      <c r="B20" s="9" t="inlineStr">
        <is>
          <t>Preço (R$)</t>
        </is>
      </c>
      <c r="C20" s="9" t="inlineStr">
        <is>
          <t>Pares de conectores</t>
        </is>
      </c>
    </row>
    <row r="21">
      <c r="A21" s="13" t="n">
        <v>3300</v>
      </c>
      <c r="B21" s="10" t="n">
        <v>1399</v>
      </c>
      <c r="C21" s="14" t="n">
        <v>1</v>
      </c>
    </row>
    <row r="22">
      <c r="A22" s="13" t="n">
        <v>5000</v>
      </c>
      <c r="B22" s="10" t="n">
        <v>1590</v>
      </c>
      <c r="C22" s="14" t="n">
        <v>2</v>
      </c>
    </row>
    <row r="23">
      <c r="A23" s="13" t="n">
        <v>6000</v>
      </c>
      <c r="B23" s="10" t="n">
        <v>1690</v>
      </c>
      <c r="C23" s="14" t="n">
        <v>2</v>
      </c>
    </row>
    <row r="24">
      <c r="A24" s="13" t="n">
        <v>7500</v>
      </c>
      <c r="B24" s="10" t="n">
        <v>2600</v>
      </c>
      <c r="C24" s="14" t="n">
        <v>2</v>
      </c>
    </row>
    <row r="26">
      <c r="A26" s="3" t="inlineStr">
        <is>
          <t>Centro de custo da Matriz (Financeiro → Config)</t>
        </is>
      </c>
      <c r="B26" s="4" t="n"/>
      <c r="C26" s="4" t="n"/>
    </row>
    <row r="27">
      <c r="A27" s="5" t="inlineStr">
        <is>
          <t>Imposto (% sobre venda menos kit)</t>
        </is>
      </c>
      <c r="B27" s="15" t="n">
        <v>0.138</v>
      </c>
      <c r="C27" s="2" t="inlineStr">
        <is>
          <t>Cadastro atual da Matriz.</t>
        </is>
      </c>
    </row>
    <row r="28">
      <c r="A28" s="5" t="inlineStr">
        <is>
          <t>Comissão (% sobre a venda)</t>
        </is>
      </c>
      <c r="B28" s="15" t="n">
        <v>0.08</v>
      </c>
      <c r="C28" s="2" t="inlineStr">
        <is>
          <t>Cadastro atual da Matriz (a planilha antiga da Helte usava 6%).</t>
        </is>
      </c>
    </row>
    <row r="29">
      <c r="A29" s="5" t="inlineStr">
        <is>
          <t>Instalação (R$ por módulo)</t>
        </is>
      </c>
      <c r="B29" s="10" t="n">
        <v>70</v>
      </c>
      <c r="C29" s="2" t="inlineStr">
        <is>
          <t>Decisão do usuário: instaladores cobram por módulo.</t>
        </is>
      </c>
    </row>
    <row r="30">
      <c r="A30" s="5" t="inlineStr">
        <is>
          <t>ART (R$ por venda)</t>
        </is>
      </c>
      <c r="B30" s="10" t="n">
        <v>110</v>
      </c>
      <c r="C30" s="2" t="inlineStr">
        <is>
          <t>Decisão de 09/10: a ART é À PARTE do projeto da Rede e soma sempre.</t>
        </is>
      </c>
    </row>
    <row r="31">
      <c r="A31" s="5" t="inlineStr">
        <is>
          <t>Placas de advertência (R$ por venda)</t>
        </is>
      </c>
      <c r="B31" s="10" t="n">
        <v>30</v>
      </c>
      <c r="C31" s="2" t="inlineStr">
        <is>
          <t>Cadastro atual da Matriz.</t>
        </is>
      </c>
    </row>
    <row r="32">
      <c r="A32" s="5" t="inlineStr">
        <is>
          <t>Projeto da Rede (R$ por venda)</t>
        </is>
      </c>
      <c r="B32" s="10" t="n">
        <v>0</v>
      </c>
      <c r="C32" s="2" t="inlineStr">
        <is>
          <t>A Matriz não paga projeto à Rede. Nas franquias vem da tabela por kWp (Rede → Unidades).</t>
        </is>
      </c>
    </row>
    <row r="33">
      <c r="A33" s="5" t="inlineStr">
        <is>
          <t>Margem alvo</t>
        </is>
      </c>
      <c r="B33" s="15" t="n">
        <v>0.22</v>
      </c>
      <c r="C33" s="2" t="inlineStr">
        <is>
          <t>Cadastro atual da Matriz.</t>
        </is>
      </c>
    </row>
    <row r="34">
      <c r="A34" s="5" t="inlineStr">
        <is>
          <t>Margem mínima</t>
        </is>
      </c>
      <c r="B34" s="15" t="n">
        <v>0.18</v>
      </c>
      <c r="C34" s="2" t="inlineStr">
        <is>
          <t>Cadastro atual da Matriz (só sinaliza).</t>
        </is>
      </c>
    </row>
    <row r="36">
      <c r="A36" s="3" t="inlineStr">
        <is>
          <t>Calibração e piso</t>
        </is>
      </c>
      <c r="B36" s="4" t="n"/>
      <c r="C36" s="4" t="n"/>
    </row>
    <row r="37">
      <c r="A37" s="5" t="inlineStr">
        <is>
          <t>Margem média de referência dos promocionais</t>
        </is>
      </c>
      <c r="B37" s="15" t="n">
        <v>0.195</v>
      </c>
      <c r="C37" s="2" t="inlineStr">
        <is>
          <t>Informada pelo usuário (hipótese comercial, não margem auditada).</t>
        </is>
      </c>
    </row>
    <row r="38">
      <c r="A38" s="5" t="inlineStr">
        <is>
          <t>Reserva de elétrica (R$ por kWp)</t>
        </is>
      </c>
      <c r="B38" s="6">
        <f>Calibracao!$B$6</f>
        <v/>
      </c>
      <c r="C38" s="2" t="inlineStr">
        <is>
          <t>Vem da aba Calibracao. Para testar outro valor, digite um número por cima.</t>
        </is>
      </c>
    </row>
    <row r="39">
      <c r="A39" s="5" t="inlineStr">
        <is>
          <t>Adicional mínimo sobre o promocional (piso)</t>
        </is>
      </c>
      <c r="B39" s="15" t="n">
        <v>0</v>
      </c>
      <c r="C39" s="2" t="inlineStr">
        <is>
          <t>Plataforma: 0% (PISO_ADICIONAL_PCT). Ex.: 5% deixa o preço final pelo menos 5% acima do promocional.</t>
        </is>
      </c>
    </row>
    <row r="41">
      <c r="A41" s="9" t="inlineStr">
        <is>
          <t>Legenda:</t>
        </is>
      </c>
    </row>
    <row r="42">
      <c r="A42" s="16" t="inlineStr">
        <is>
          <t>Azul com fundo amarelo</t>
        </is>
      </c>
      <c r="B42" s="5" t="inlineStr">
        <is>
          <t>valor editável</t>
        </is>
      </c>
    </row>
    <row r="43">
      <c r="A43" s="17" t="inlineStr">
        <is>
          <t>Verde</t>
        </is>
      </c>
      <c r="B43" s="5" t="inlineStr">
        <is>
          <t>vem de outra aba</t>
        </is>
      </c>
    </row>
    <row r="44">
      <c r="A44" s="5" t="inlineStr">
        <is>
          <t>Preto</t>
        </is>
      </c>
      <c r="B44" s="5" t="inlineStr">
        <is>
          <t>fórmula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8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7" customWidth="1" min="3" max="3"/>
    <col width="10" customWidth="1" min="4" max="4"/>
    <col width="9" customWidth="1" min="5" max="5"/>
    <col width="13" customWidth="1" min="6" max="6"/>
    <col width="13" customWidth="1" min="7" max="7"/>
    <col width="12" customWidth="1" min="8" max="8"/>
    <col width="12" customWidth="1" min="9" max="9"/>
    <col width="10" customWidth="1" min="10" max="10"/>
    <col width="8" customWidth="1" min="11" max="11"/>
    <col width="10" customWidth="1" min="12" max="12"/>
    <col width="10" customWidth="1" min="13" max="13"/>
    <col width="9" customWidth="1" min="14" max="14"/>
    <col width="10" customWidth="1" min="15" max="15"/>
    <col width="12" customWidth="1" min="16" max="16"/>
    <col width="10" customWidth="1" min="17" max="17"/>
    <col width="13" customWidth="1" min="18" max="18"/>
    <col width="10" customWidth="1" min="19" max="19"/>
    <col width="8" customWidth="1" min="20" max="20"/>
    <col width="8" customWidth="1" min="21" max="21"/>
    <col width="9" customWidth="1" min="22" max="22"/>
    <col width="10" customWidth="1" min="23" max="23"/>
    <col width="11" customWidth="1" min="24" max="24"/>
    <col width="13" customWidth="1" min="25" max="25"/>
    <col width="13" customWidth="1" min="26" max="26"/>
    <col width="12" customWidth="1" min="27" max="27"/>
    <col width="13" customWidth="1" min="28" max="28"/>
    <col width="12" customWidth="1" min="29" max="29"/>
    <col width="10" customWidth="1" min="30" max="30"/>
    <col width="10" customWidth="1" min="31" max="31"/>
    <col width="11" customWidth="1" min="32" max="32"/>
    <col width="10" customWidth="1" min="33" max="33"/>
    <col width="13" customWidth="1" min="34" max="34"/>
    <col width="10" customWidth="1" min="35" max="35"/>
  </cols>
  <sheetData>
    <row r="1">
      <c r="A1" s="1" t="inlineStr">
        <is>
          <t>Os 33 kits promocionais: custo, preço por custos e piso</t>
        </is>
      </c>
    </row>
    <row r="2">
      <c r="A2" s="2" t="inlineStr">
        <is>
          <t>Custo Helte reconstruído pela conta exata; preço promocional = o que o vendedor vê na Matriz (precos_franquia).</t>
        </is>
      </c>
    </row>
    <row r="3">
      <c r="A3" s="18" t="inlineStr">
        <is>
          <t>Kit</t>
        </is>
      </c>
      <c r="H3" s="18" t="inlineStr">
        <is>
          <t>Custo Helte (conta exata)</t>
        </is>
      </c>
      <c r="S3" s="18" t="inlineStr">
        <is>
          <t>Centro de custo</t>
        </is>
      </c>
      <c r="Y3" s="18" t="inlineStr">
        <is>
          <t>Preço</t>
        </is>
      </c>
      <c r="AD3" s="18" t="inlineStr">
        <is>
          <t>Margens</t>
        </is>
      </c>
      <c r="AH3" s="18" t="inlineStr">
        <is>
          <t>Conferência</t>
        </is>
      </c>
    </row>
    <row r="4" ht="48" customHeight="1">
      <c r="A4" s="19" t="inlineStr">
        <is>
          <t>Tipo</t>
        </is>
      </c>
      <c r="B4" s="19" t="inlineStr">
        <is>
          <t>Módulos</t>
        </is>
      </c>
      <c r="C4" s="19" t="inlineStr">
        <is>
          <t>kWp</t>
        </is>
      </c>
      <c r="D4" s="19" t="inlineStr">
        <is>
          <t>Inversor (W)</t>
        </is>
      </c>
      <c r="E4" s="19" t="inlineStr">
        <is>
          <t>Qtd inversores</t>
        </is>
      </c>
      <c r="F4" s="19" t="inlineStr">
        <is>
          <t>Preço base antigo (não usar)</t>
        </is>
      </c>
      <c r="G4" s="19" t="inlineStr">
        <is>
          <t>Promocional na Matriz</t>
        </is>
      </c>
      <c r="H4" s="19" t="inlineStr">
        <is>
          <t>Módulos (R$)</t>
        </is>
      </c>
      <c r="I4" s="19" t="inlineStr">
        <is>
          <t>Inversor / micros (R$)</t>
        </is>
      </c>
      <c r="J4" s="19" t="inlineStr">
        <is>
          <t>Conectores (R$)</t>
        </is>
      </c>
      <c r="K4" s="19" t="inlineStr">
        <is>
          <t>Perfis (qtd)</t>
        </is>
      </c>
      <c r="L4" s="19" t="inlineStr">
        <is>
          <t>Perfis (R$)</t>
        </is>
      </c>
      <c r="M4" s="19" t="inlineStr">
        <is>
          <t>Fixações (R$)</t>
        </is>
      </c>
      <c r="N4" s="19" t="inlineStr">
        <is>
          <t>Cabo por cor (m)</t>
        </is>
      </c>
      <c r="O4" s="19" t="inlineStr">
        <is>
          <t>Cabo (R$)</t>
        </is>
      </c>
      <c r="P4" s="19" t="inlineStr">
        <is>
          <t>Materiais (R$)</t>
        </is>
      </c>
      <c r="Q4" s="19" t="inlineStr">
        <is>
          <t>Frete (R$)</t>
        </is>
      </c>
      <c r="R4" s="19" t="inlineStr">
        <is>
          <t>Custo do kit c/ frete</t>
        </is>
      </c>
      <c r="S4" s="19" t="inlineStr">
        <is>
          <t>Instalação</t>
        </is>
      </c>
      <c r="T4" s="19" t="inlineStr">
        <is>
          <t>ART</t>
        </is>
      </c>
      <c r="U4" s="19" t="inlineStr">
        <is>
          <t>Placas</t>
        </is>
      </c>
      <c r="V4" s="19" t="inlineStr">
        <is>
          <t>Projeto Rede</t>
        </is>
      </c>
      <c r="W4" s="19" t="inlineStr">
        <is>
          <t>Reserva elétrica</t>
        </is>
      </c>
      <c r="X4" s="19" t="inlineStr">
        <is>
          <t>Custos fixos</t>
        </is>
      </c>
      <c r="Y4" s="19" t="inlineStr">
        <is>
          <t>Preço por custos (alvo)</t>
        </is>
      </c>
      <c r="Z4" s="19" t="inlineStr">
        <is>
          <t>Piso promocional</t>
        </is>
      </c>
      <c r="AA4" s="19" t="inlineStr">
        <is>
          <t>Ajuste comercial</t>
        </is>
      </c>
      <c r="AB4" s="19" t="inlineStr">
        <is>
          <t>Preço final</t>
        </is>
      </c>
      <c r="AC4" s="19" t="inlineStr">
        <is>
          <t>Final − promocional</t>
        </is>
      </c>
      <c r="AD4" s="19" t="inlineStr">
        <is>
          <t>Margem no preço final</t>
        </is>
      </c>
      <c r="AE4" s="19" t="inlineStr">
        <is>
          <t>Margem no promocional</t>
        </is>
      </c>
      <c r="AF4" s="19" t="inlineStr">
        <is>
          <t>Margem no promo. sem reserva</t>
        </is>
      </c>
      <c r="AG4" s="19" t="inlineStr">
        <is>
          <t>Abaixo da mínima?</t>
        </is>
      </c>
      <c r="AH4" s="19" t="inlineStr">
        <is>
          <t>Plataforma (JS): preço por custos</t>
        </is>
      </c>
      <c r="AI4" s="19" t="inlineStr">
        <is>
          <t>Excel − plataforma</t>
        </is>
      </c>
    </row>
    <row r="5">
      <c r="A5" s="20" t="inlineStr">
        <is>
          <t>Inversor</t>
        </is>
      </c>
      <c r="B5" s="21" t="n">
        <v>5</v>
      </c>
      <c r="C5" s="22">
        <f>B5*Premissas!$B$6</f>
        <v/>
      </c>
      <c r="D5" s="23" t="n">
        <v>3300</v>
      </c>
      <c r="E5" s="21" t="n">
        <v>1</v>
      </c>
      <c r="F5" s="24" t="n">
        <v>8997</v>
      </c>
      <c r="G5" s="24" t="n">
        <v>9236.85</v>
      </c>
      <c r="H5" s="25">
        <f>B5*Premissas!$B$5</f>
        <v/>
      </c>
      <c r="I5" s="25">
        <f>IF(A5="Micro",E5*(Premissas!$B$12+Premissas!$B$13),E5*INDEX(Premissas!$B$21:$B$24,MATCH(D5,Premissas!$A$21:$A$24,0)))</f>
        <v/>
      </c>
      <c r="J5" s="25">
        <f>E5*IF(A5="Micro",4,INDEX(Premissas!$C$21:$C$24,MATCH(D5,Premissas!$A$21:$A$24,0)))*Premissas!$B$11</f>
        <v/>
      </c>
      <c r="K5" s="26">
        <f>2*ROUNDUP(B5/2,0)</f>
        <v/>
      </c>
      <c r="L5" s="25">
        <f>K5*Premissas!$B$7</f>
        <v/>
      </c>
      <c r="M5" s="25">
        <f>INT(K5/4)*Premissas!$B$8+MOD(K5,4)/2*Premissas!$B$9</f>
        <v/>
      </c>
      <c r="N5" s="26">
        <f>IF(B5&lt;=19,3*B5,IF(B5&lt;=50,ROUNDUP(2.5*B5,0),2*B5))</f>
        <v/>
      </c>
      <c r="O5" s="25">
        <f>2*N5*Premissas!$B$10</f>
        <v/>
      </c>
      <c r="P5" s="25">
        <f>H5+I5+J5+L5+M5+O5</f>
        <v/>
      </c>
      <c r="Q5" s="25">
        <f>IF(P5&lt;Premissas!$B$17,MAX(Premissas!$B$14,P5*Premissas!$B$15),P5*Premissas!$B$16)</f>
        <v/>
      </c>
      <c r="R5" s="25">
        <f>ROUND(P5+Q5,2)</f>
        <v/>
      </c>
      <c r="S5" s="25">
        <f>B5*Premissas!$B$29</f>
        <v/>
      </c>
      <c r="T5" s="6">
        <f>Premissas!$B$30</f>
        <v/>
      </c>
      <c r="U5" s="6">
        <f>Premissas!$B$31</f>
        <v/>
      </c>
      <c r="V5" s="6">
        <f>Premissas!$B$32</f>
        <v/>
      </c>
      <c r="W5" s="25">
        <f>ROUND(Premissas!$B$38*C5,2)</f>
        <v/>
      </c>
      <c r="X5" s="25">
        <f>S5+T5+U5+V5+W5</f>
        <v/>
      </c>
      <c r="Y5" s="25">
        <f>ROUNDUP((R5+X5-Premissas!$B$27*R5)/(1-Premissas!$B$28-Premissas!$B$27-Premissas!$B$33),2)</f>
        <v/>
      </c>
      <c r="Z5" s="25">
        <f>ROUNDUP(G5*(1+Premissas!$B$39),2)</f>
        <v/>
      </c>
      <c r="AA5" s="25">
        <f>MAX(0,Z5-Y5)</f>
        <v/>
      </c>
      <c r="AB5" s="27">
        <f>Y5+AA5</f>
        <v/>
      </c>
      <c r="AC5" s="25">
        <f>AB5-G5</f>
        <v/>
      </c>
      <c r="AD5" s="28">
        <f>(AB5-R5-Premissas!$B$27*(AB5-R5)-Premissas!$B$28*AB5-X5)/AB5</f>
        <v/>
      </c>
      <c r="AE5" s="28">
        <f>(G5-R5-Premissas!$B$27*(G5-R5)-Premissas!$B$28*G5-X5)/G5</f>
        <v/>
      </c>
      <c r="AF5" s="28">
        <f>(G5-R5-Premissas!$B$27*(G5-R5)-Premissas!$B$28*G5-(S5+T5+U5+V5))/G5</f>
        <v/>
      </c>
      <c r="AG5" s="29">
        <f>IF(AE5&lt;Premissas!$B$34,"Sim","Não")</f>
        <v/>
      </c>
      <c r="AH5" s="24" t="n">
        <v>9549.52</v>
      </c>
      <c r="AI5" s="25">
        <f>Y5-AH5</f>
        <v/>
      </c>
    </row>
    <row r="6">
      <c r="A6" s="20" t="inlineStr">
        <is>
          <t>Inversor</t>
        </is>
      </c>
      <c r="B6" s="21" t="n">
        <v>6</v>
      </c>
      <c r="C6" s="22">
        <f>B6*Premissas!$B$6</f>
        <v/>
      </c>
      <c r="D6" s="23" t="n">
        <v>3300</v>
      </c>
      <c r="E6" s="21" t="n">
        <v>1</v>
      </c>
      <c r="F6" s="24" t="n">
        <v>9897</v>
      </c>
      <c r="G6" s="24" t="n">
        <v>10286.85</v>
      </c>
      <c r="H6" s="25">
        <f>B6*Premissas!$B$5</f>
        <v/>
      </c>
      <c r="I6" s="25">
        <f>IF(A6="Micro",E6*(Premissas!$B$12+Premissas!$B$13),E6*INDEX(Premissas!$B$21:$B$24,MATCH(D6,Premissas!$A$21:$A$24,0)))</f>
        <v/>
      </c>
      <c r="J6" s="25">
        <f>E6*IF(A6="Micro",4,INDEX(Premissas!$C$21:$C$24,MATCH(D6,Premissas!$A$21:$A$24,0)))*Premissas!$B$11</f>
        <v/>
      </c>
      <c r="K6" s="26">
        <f>2*ROUNDUP(B6/2,0)</f>
        <v/>
      </c>
      <c r="L6" s="25">
        <f>K6*Premissas!$B$7</f>
        <v/>
      </c>
      <c r="M6" s="25">
        <f>INT(K6/4)*Premissas!$B$8+MOD(K6,4)/2*Premissas!$B$9</f>
        <v/>
      </c>
      <c r="N6" s="26">
        <f>IF(B6&lt;=19,3*B6,IF(B6&lt;=50,ROUNDUP(2.5*B6,0),2*B6))</f>
        <v/>
      </c>
      <c r="O6" s="25">
        <f>2*N6*Premissas!$B$10</f>
        <v/>
      </c>
      <c r="P6" s="25">
        <f>H6+I6+J6+L6+M6+O6</f>
        <v/>
      </c>
      <c r="Q6" s="25">
        <f>IF(P6&lt;Premissas!$B$17,MAX(Premissas!$B$14,P6*Premissas!$B$15),P6*Premissas!$B$16)</f>
        <v/>
      </c>
      <c r="R6" s="25">
        <f>ROUND(P6+Q6,2)</f>
        <v/>
      </c>
      <c r="S6" s="25">
        <f>B6*Premissas!$B$29</f>
        <v/>
      </c>
      <c r="T6" s="6">
        <f>Premissas!$B$30</f>
        <v/>
      </c>
      <c r="U6" s="6">
        <f>Premissas!$B$31</f>
        <v/>
      </c>
      <c r="V6" s="6">
        <f>Premissas!$B$32</f>
        <v/>
      </c>
      <c r="W6" s="25">
        <f>ROUND(Premissas!$B$38*C6,2)</f>
        <v/>
      </c>
      <c r="X6" s="25">
        <f>S6+T6+U6+V6+W6</f>
        <v/>
      </c>
      <c r="Y6" s="25">
        <f>ROUNDUP((R6+X6-Premissas!$B$27*R6)/(1-Premissas!$B$28-Premissas!$B$27-Premissas!$B$33),2)</f>
        <v/>
      </c>
      <c r="Z6" s="25">
        <f>ROUNDUP(G6*(1+Premissas!$B$39),2)</f>
        <v/>
      </c>
      <c r="AA6" s="25">
        <f>MAX(0,Z6-Y6)</f>
        <v/>
      </c>
      <c r="AB6" s="27">
        <f>Y6+AA6</f>
        <v/>
      </c>
      <c r="AC6" s="25">
        <f>AB6-G6</f>
        <v/>
      </c>
      <c r="AD6" s="28">
        <f>(AB6-R6-Premissas!$B$27*(AB6-R6)-Premissas!$B$28*AB6-X6)/AB6</f>
        <v/>
      </c>
      <c r="AE6" s="28">
        <f>(G6-R6-Premissas!$B$27*(G6-R6)-Premissas!$B$28*G6-X6)/G6</f>
        <v/>
      </c>
      <c r="AF6" s="28">
        <f>(G6-R6-Premissas!$B$27*(G6-R6)-Premissas!$B$28*G6-(S6+T6+U6+V6))/G6</f>
        <v/>
      </c>
      <c r="AG6" s="29">
        <f>IF(AE6&lt;Premissas!$B$34,"Sim","Não")</f>
        <v/>
      </c>
      <c r="AH6" s="24" t="n">
        <v>10707.99</v>
      </c>
      <c r="AI6" s="25">
        <f>Y6-AH6</f>
        <v/>
      </c>
    </row>
    <row r="7">
      <c r="A7" s="20" t="inlineStr">
        <is>
          <t>Inversor</t>
        </is>
      </c>
      <c r="B7" s="21" t="n">
        <v>7</v>
      </c>
      <c r="C7" s="22">
        <f>B7*Premissas!$B$6</f>
        <v/>
      </c>
      <c r="D7" s="23" t="n">
        <v>3300</v>
      </c>
      <c r="E7" s="21" t="n">
        <v>1</v>
      </c>
      <c r="F7" s="24" t="n">
        <v>10897</v>
      </c>
      <c r="G7" s="24" t="n">
        <v>11651.85</v>
      </c>
      <c r="H7" s="25">
        <f>B7*Premissas!$B$5</f>
        <v/>
      </c>
      <c r="I7" s="25">
        <f>IF(A7="Micro",E7*(Premissas!$B$12+Premissas!$B$13),E7*INDEX(Premissas!$B$21:$B$24,MATCH(D7,Premissas!$A$21:$A$24,0)))</f>
        <v/>
      </c>
      <c r="J7" s="25">
        <f>E7*IF(A7="Micro",4,INDEX(Premissas!$C$21:$C$24,MATCH(D7,Premissas!$A$21:$A$24,0)))*Premissas!$B$11</f>
        <v/>
      </c>
      <c r="K7" s="26">
        <f>2*ROUNDUP(B7/2,0)</f>
        <v/>
      </c>
      <c r="L7" s="25">
        <f>K7*Premissas!$B$7</f>
        <v/>
      </c>
      <c r="M7" s="25">
        <f>INT(K7/4)*Premissas!$B$8+MOD(K7,4)/2*Premissas!$B$9</f>
        <v/>
      </c>
      <c r="N7" s="26">
        <f>IF(B7&lt;=19,3*B7,IF(B7&lt;=50,ROUNDUP(2.5*B7,0),2*B7))</f>
        <v/>
      </c>
      <c r="O7" s="25">
        <f>2*N7*Premissas!$B$10</f>
        <v/>
      </c>
      <c r="P7" s="25">
        <f>H7+I7+J7+L7+M7+O7</f>
        <v/>
      </c>
      <c r="Q7" s="25">
        <f>IF(P7&lt;Premissas!$B$17,MAX(Premissas!$B$14,P7*Premissas!$B$15),P7*Premissas!$B$16)</f>
        <v/>
      </c>
      <c r="R7" s="25">
        <f>ROUND(P7+Q7,2)</f>
        <v/>
      </c>
      <c r="S7" s="25">
        <f>B7*Premissas!$B$29</f>
        <v/>
      </c>
      <c r="T7" s="6">
        <f>Premissas!$B$30</f>
        <v/>
      </c>
      <c r="U7" s="6">
        <f>Premissas!$B$31</f>
        <v/>
      </c>
      <c r="V7" s="6">
        <f>Premissas!$B$32</f>
        <v/>
      </c>
      <c r="W7" s="25">
        <f>ROUND(Premissas!$B$38*C7,2)</f>
        <v/>
      </c>
      <c r="X7" s="25">
        <f>S7+T7+U7+V7+W7</f>
        <v/>
      </c>
      <c r="Y7" s="25">
        <f>ROUNDUP((R7+X7-Premissas!$B$27*R7)/(1-Premissas!$B$28-Premissas!$B$27-Premissas!$B$33),2)</f>
        <v/>
      </c>
      <c r="Z7" s="25">
        <f>ROUNDUP(G7*(1+Premissas!$B$39),2)</f>
        <v/>
      </c>
      <c r="AA7" s="25">
        <f>MAX(0,Z7-Y7)</f>
        <v/>
      </c>
      <c r="AB7" s="27">
        <f>Y7+AA7</f>
        <v/>
      </c>
      <c r="AC7" s="25">
        <f>AB7-G7</f>
        <v/>
      </c>
      <c r="AD7" s="28">
        <f>(AB7-R7-Premissas!$B$27*(AB7-R7)-Premissas!$B$28*AB7-X7)/AB7</f>
        <v/>
      </c>
      <c r="AE7" s="28">
        <f>(G7-R7-Premissas!$B$27*(G7-R7)-Premissas!$B$28*G7-X7)/G7</f>
        <v/>
      </c>
      <c r="AF7" s="28">
        <f>(G7-R7-Premissas!$B$27*(G7-R7)-Premissas!$B$28*G7-(S7+T7+U7+V7))/G7</f>
        <v/>
      </c>
      <c r="AG7" s="29">
        <f>IF(AE7&lt;Premissas!$B$34,"Sim","Não")</f>
        <v/>
      </c>
      <c r="AH7" s="24" t="n">
        <v>12099.9</v>
      </c>
      <c r="AI7" s="25">
        <f>Y7-AH7</f>
        <v/>
      </c>
    </row>
    <row r="8">
      <c r="A8" s="20" t="inlineStr">
        <is>
          <t>Inversor</t>
        </is>
      </c>
      <c r="B8" s="21" t="n">
        <v>8</v>
      </c>
      <c r="C8" s="22">
        <f>B8*Premissas!$B$6</f>
        <v/>
      </c>
      <c r="D8" s="23" t="n">
        <v>3300</v>
      </c>
      <c r="E8" s="21" t="n">
        <v>1</v>
      </c>
      <c r="F8" s="24" t="n">
        <v>11897</v>
      </c>
      <c r="G8" s="24" t="n">
        <v>13016.85</v>
      </c>
      <c r="H8" s="25">
        <f>B8*Premissas!$B$5</f>
        <v/>
      </c>
      <c r="I8" s="25">
        <f>IF(A8="Micro",E8*(Premissas!$B$12+Premissas!$B$13),E8*INDEX(Premissas!$B$21:$B$24,MATCH(D8,Premissas!$A$21:$A$24,0)))</f>
        <v/>
      </c>
      <c r="J8" s="25">
        <f>E8*IF(A8="Micro",4,INDEX(Premissas!$C$21:$C$24,MATCH(D8,Premissas!$A$21:$A$24,0)))*Premissas!$B$11</f>
        <v/>
      </c>
      <c r="K8" s="26">
        <f>2*ROUNDUP(B8/2,0)</f>
        <v/>
      </c>
      <c r="L8" s="25">
        <f>K8*Premissas!$B$7</f>
        <v/>
      </c>
      <c r="M8" s="25">
        <f>INT(K8/4)*Premissas!$B$8+MOD(K8,4)/2*Premissas!$B$9</f>
        <v/>
      </c>
      <c r="N8" s="26">
        <f>IF(B8&lt;=19,3*B8,IF(B8&lt;=50,ROUNDUP(2.5*B8,0),2*B8))</f>
        <v/>
      </c>
      <c r="O8" s="25">
        <f>2*N8*Premissas!$B$10</f>
        <v/>
      </c>
      <c r="P8" s="25">
        <f>H8+I8+J8+L8+M8+O8</f>
        <v/>
      </c>
      <c r="Q8" s="25">
        <f>IF(P8&lt;Premissas!$B$17,MAX(Premissas!$B$14,P8*Premissas!$B$15),P8*Premissas!$B$16)</f>
        <v/>
      </c>
      <c r="R8" s="25">
        <f>ROUND(P8+Q8,2)</f>
        <v/>
      </c>
      <c r="S8" s="25">
        <f>B8*Premissas!$B$29</f>
        <v/>
      </c>
      <c r="T8" s="6">
        <f>Premissas!$B$30</f>
        <v/>
      </c>
      <c r="U8" s="6">
        <f>Premissas!$B$31</f>
        <v/>
      </c>
      <c r="V8" s="6">
        <f>Premissas!$B$32</f>
        <v/>
      </c>
      <c r="W8" s="25">
        <f>ROUND(Premissas!$B$38*C8,2)</f>
        <v/>
      </c>
      <c r="X8" s="25">
        <f>S8+T8+U8+V8+W8</f>
        <v/>
      </c>
      <c r="Y8" s="25">
        <f>ROUNDUP((R8+X8-Premissas!$B$27*R8)/(1-Premissas!$B$28-Premissas!$B$27-Premissas!$B$33),2)</f>
        <v/>
      </c>
      <c r="Z8" s="25">
        <f>ROUNDUP(G8*(1+Premissas!$B$39),2)</f>
        <v/>
      </c>
      <c r="AA8" s="25">
        <f>MAX(0,Z8-Y8)</f>
        <v/>
      </c>
      <c r="AB8" s="27">
        <f>Y8+AA8</f>
        <v/>
      </c>
      <c r="AC8" s="25">
        <f>AB8-G8</f>
        <v/>
      </c>
      <c r="AD8" s="28">
        <f>(AB8-R8-Premissas!$B$27*(AB8-R8)-Premissas!$B$28*AB8-X8)/AB8</f>
        <v/>
      </c>
      <c r="AE8" s="28">
        <f>(G8-R8-Premissas!$B$27*(G8-R8)-Premissas!$B$28*G8-X8)/G8</f>
        <v/>
      </c>
      <c r="AF8" s="28">
        <f>(G8-R8-Premissas!$B$27*(G8-R8)-Premissas!$B$28*G8-(S8+T8+U8+V8))/G8</f>
        <v/>
      </c>
      <c r="AG8" s="29">
        <f>IF(AE8&lt;Premissas!$B$34,"Sim","Não")</f>
        <v/>
      </c>
      <c r="AH8" s="24" t="n">
        <v>13258.36</v>
      </c>
      <c r="AI8" s="25">
        <f>Y8-AH8</f>
        <v/>
      </c>
    </row>
    <row r="9">
      <c r="A9" s="20" t="inlineStr">
        <is>
          <t>Inversor</t>
        </is>
      </c>
      <c r="B9" s="21" t="n">
        <v>9</v>
      </c>
      <c r="C9" s="22">
        <f>B9*Premissas!$B$6</f>
        <v/>
      </c>
      <c r="D9" s="23" t="n">
        <v>5000</v>
      </c>
      <c r="E9" s="21" t="n">
        <v>1</v>
      </c>
      <c r="F9" s="24" t="n">
        <v>13997</v>
      </c>
      <c r="G9" s="24" t="n">
        <v>14276.85</v>
      </c>
      <c r="H9" s="25">
        <f>B9*Premissas!$B$5</f>
        <v/>
      </c>
      <c r="I9" s="25">
        <f>IF(A9="Micro",E9*(Premissas!$B$12+Premissas!$B$13),E9*INDEX(Premissas!$B$21:$B$24,MATCH(D9,Premissas!$A$21:$A$24,0)))</f>
        <v/>
      </c>
      <c r="J9" s="25">
        <f>E9*IF(A9="Micro",4,INDEX(Premissas!$C$21:$C$24,MATCH(D9,Premissas!$A$21:$A$24,0)))*Premissas!$B$11</f>
        <v/>
      </c>
      <c r="K9" s="26">
        <f>2*ROUNDUP(B9/2,0)</f>
        <v/>
      </c>
      <c r="L9" s="25">
        <f>K9*Premissas!$B$7</f>
        <v/>
      </c>
      <c r="M9" s="25">
        <f>INT(K9/4)*Premissas!$B$8+MOD(K9,4)/2*Premissas!$B$9</f>
        <v/>
      </c>
      <c r="N9" s="26">
        <f>IF(B9&lt;=19,3*B9,IF(B9&lt;=50,ROUNDUP(2.5*B9,0),2*B9))</f>
        <v/>
      </c>
      <c r="O9" s="25">
        <f>2*N9*Premissas!$B$10</f>
        <v/>
      </c>
      <c r="P9" s="25">
        <f>H9+I9+J9+L9+M9+O9</f>
        <v/>
      </c>
      <c r="Q9" s="25">
        <f>IF(P9&lt;Premissas!$B$17,MAX(Premissas!$B$14,P9*Premissas!$B$15),P9*Premissas!$B$16)</f>
        <v/>
      </c>
      <c r="R9" s="25">
        <f>ROUND(P9+Q9,2)</f>
        <v/>
      </c>
      <c r="S9" s="25">
        <f>B9*Premissas!$B$29</f>
        <v/>
      </c>
      <c r="T9" s="6">
        <f>Premissas!$B$30</f>
        <v/>
      </c>
      <c r="U9" s="6">
        <f>Premissas!$B$31</f>
        <v/>
      </c>
      <c r="V9" s="6">
        <f>Premissas!$B$32</f>
        <v/>
      </c>
      <c r="W9" s="25">
        <f>ROUND(Premissas!$B$38*C9,2)</f>
        <v/>
      </c>
      <c r="X9" s="25">
        <f>S9+T9+U9+V9+W9</f>
        <v/>
      </c>
      <c r="Y9" s="25">
        <f>ROUNDUP((R9+X9-Premissas!$B$27*R9)/(1-Premissas!$B$28-Premissas!$B$27-Premissas!$B$33),2)</f>
        <v/>
      </c>
      <c r="Z9" s="25">
        <f>ROUNDUP(G9*(1+Premissas!$B$39),2)</f>
        <v/>
      </c>
      <c r="AA9" s="25">
        <f>MAX(0,Z9-Y9)</f>
        <v/>
      </c>
      <c r="AB9" s="27">
        <f>Y9+AA9</f>
        <v/>
      </c>
      <c r="AC9" s="25">
        <f>AB9-G9</f>
        <v/>
      </c>
      <c r="AD9" s="28">
        <f>(AB9-R9-Premissas!$B$27*(AB9-R9)-Premissas!$B$28*AB9-X9)/AB9</f>
        <v/>
      </c>
      <c r="AE9" s="28">
        <f>(G9-R9-Premissas!$B$27*(G9-R9)-Premissas!$B$28*G9-X9)/G9</f>
        <v/>
      </c>
      <c r="AF9" s="28">
        <f>(G9-R9-Premissas!$B$27*(G9-R9)-Premissas!$B$28*G9-(S9+T9+U9+V9))/G9</f>
        <v/>
      </c>
      <c r="AG9" s="29">
        <f>IF(AE9&lt;Premissas!$B$34,"Sim","Não")</f>
        <v/>
      </c>
      <c r="AH9" s="24" t="n">
        <v>14976.65</v>
      </c>
      <c r="AI9" s="25">
        <f>Y9-AH9</f>
        <v/>
      </c>
    </row>
    <row r="10">
      <c r="A10" s="20" t="inlineStr">
        <is>
          <t>Inversor</t>
        </is>
      </c>
      <c r="B10" s="21" t="n">
        <v>10</v>
      </c>
      <c r="C10" s="22">
        <f>B10*Premissas!$B$6</f>
        <v/>
      </c>
      <c r="D10" s="23" t="n">
        <v>5000</v>
      </c>
      <c r="E10" s="21" t="n">
        <v>1</v>
      </c>
      <c r="F10" s="24" t="n">
        <v>14997</v>
      </c>
      <c r="G10" s="24" t="n">
        <v>15326.85</v>
      </c>
      <c r="H10" s="25">
        <f>B10*Premissas!$B$5</f>
        <v/>
      </c>
      <c r="I10" s="25">
        <f>IF(A10="Micro",E10*(Premissas!$B$12+Premissas!$B$13),E10*INDEX(Premissas!$B$21:$B$24,MATCH(D10,Premissas!$A$21:$A$24,0)))</f>
        <v/>
      </c>
      <c r="J10" s="25">
        <f>E10*IF(A10="Micro",4,INDEX(Premissas!$C$21:$C$24,MATCH(D10,Premissas!$A$21:$A$24,0)))*Premissas!$B$11</f>
        <v/>
      </c>
      <c r="K10" s="26">
        <f>2*ROUNDUP(B10/2,0)</f>
        <v/>
      </c>
      <c r="L10" s="25">
        <f>K10*Premissas!$B$7</f>
        <v/>
      </c>
      <c r="M10" s="25">
        <f>INT(K10/4)*Premissas!$B$8+MOD(K10,4)/2*Premissas!$B$9</f>
        <v/>
      </c>
      <c r="N10" s="26">
        <f>IF(B10&lt;=19,3*B10,IF(B10&lt;=50,ROUNDUP(2.5*B10,0),2*B10))</f>
        <v/>
      </c>
      <c r="O10" s="25">
        <f>2*N10*Premissas!$B$10</f>
        <v/>
      </c>
      <c r="P10" s="25">
        <f>H10+I10+J10+L10+M10+O10</f>
        <v/>
      </c>
      <c r="Q10" s="25">
        <f>IF(P10&lt;Premissas!$B$17,MAX(Premissas!$B$14,P10*Premissas!$B$15),P10*Premissas!$B$16)</f>
        <v/>
      </c>
      <c r="R10" s="25">
        <f>ROUND(P10+Q10,2)</f>
        <v/>
      </c>
      <c r="S10" s="25">
        <f>B10*Premissas!$B$29</f>
        <v/>
      </c>
      <c r="T10" s="6">
        <f>Premissas!$B$30</f>
        <v/>
      </c>
      <c r="U10" s="6">
        <f>Premissas!$B$31</f>
        <v/>
      </c>
      <c r="V10" s="6">
        <f>Premissas!$B$32</f>
        <v/>
      </c>
      <c r="W10" s="25">
        <f>ROUND(Premissas!$B$38*C10,2)</f>
        <v/>
      </c>
      <c r="X10" s="25">
        <f>S10+T10+U10+V10+W10</f>
        <v/>
      </c>
      <c r="Y10" s="25">
        <f>ROUNDUP((R10+X10-Premissas!$B$27*R10)/(1-Premissas!$B$28-Premissas!$B$27-Premissas!$B$33),2)</f>
        <v/>
      </c>
      <c r="Z10" s="25">
        <f>ROUNDUP(G10*(1+Premissas!$B$39),2)</f>
        <v/>
      </c>
      <c r="AA10" s="25">
        <f>MAX(0,Z10-Y10)</f>
        <v/>
      </c>
      <c r="AB10" s="27">
        <f>Y10+AA10</f>
        <v/>
      </c>
      <c r="AC10" s="25">
        <f>AB10-G10</f>
        <v/>
      </c>
      <c r="AD10" s="28">
        <f>(AB10-R10-Premissas!$B$27*(AB10-R10)-Premissas!$B$28*AB10-X10)/AB10</f>
        <v/>
      </c>
      <c r="AE10" s="28">
        <f>(G10-R10-Premissas!$B$27*(G10-R10)-Premissas!$B$28*G10-X10)/G10</f>
        <v/>
      </c>
      <c r="AF10" s="28">
        <f>(G10-R10-Premissas!$B$27*(G10-R10)-Premissas!$B$28*G10-(S10+T10+U10+V10))/G10</f>
        <v/>
      </c>
      <c r="AG10" s="29">
        <f>IF(AE10&lt;Premissas!$B$34,"Sim","Não")</f>
        <v/>
      </c>
      <c r="AH10" s="24" t="n">
        <v>16135.12</v>
      </c>
      <c r="AI10" s="25">
        <f>Y10-AH10</f>
        <v/>
      </c>
    </row>
    <row r="11">
      <c r="A11" s="20" t="inlineStr">
        <is>
          <t>Inversor</t>
        </is>
      </c>
      <c r="B11" s="21" t="n">
        <v>11</v>
      </c>
      <c r="C11" s="22">
        <f>B11*Premissas!$B$6</f>
        <v/>
      </c>
      <c r="D11" s="23" t="n">
        <v>5000</v>
      </c>
      <c r="E11" s="21" t="n">
        <v>1</v>
      </c>
      <c r="F11" s="24" t="n">
        <v>15997</v>
      </c>
      <c r="G11" s="24" t="n">
        <v>16691.85</v>
      </c>
      <c r="H11" s="25">
        <f>B11*Premissas!$B$5</f>
        <v/>
      </c>
      <c r="I11" s="25">
        <f>IF(A11="Micro",E11*(Premissas!$B$12+Premissas!$B$13),E11*INDEX(Premissas!$B$21:$B$24,MATCH(D11,Premissas!$A$21:$A$24,0)))</f>
        <v/>
      </c>
      <c r="J11" s="25">
        <f>E11*IF(A11="Micro",4,INDEX(Premissas!$C$21:$C$24,MATCH(D11,Premissas!$A$21:$A$24,0)))*Premissas!$B$11</f>
        <v/>
      </c>
      <c r="K11" s="26">
        <f>2*ROUNDUP(B11/2,0)</f>
        <v/>
      </c>
      <c r="L11" s="25">
        <f>K11*Premissas!$B$7</f>
        <v/>
      </c>
      <c r="M11" s="25">
        <f>INT(K11/4)*Premissas!$B$8+MOD(K11,4)/2*Premissas!$B$9</f>
        <v/>
      </c>
      <c r="N11" s="26">
        <f>IF(B11&lt;=19,3*B11,IF(B11&lt;=50,ROUNDUP(2.5*B11,0),2*B11))</f>
        <v/>
      </c>
      <c r="O11" s="25">
        <f>2*N11*Premissas!$B$10</f>
        <v/>
      </c>
      <c r="P11" s="25">
        <f>H11+I11+J11+L11+M11+O11</f>
        <v/>
      </c>
      <c r="Q11" s="25">
        <f>IF(P11&lt;Premissas!$B$17,MAX(Premissas!$B$14,P11*Premissas!$B$15),P11*Premissas!$B$16)</f>
        <v/>
      </c>
      <c r="R11" s="25">
        <f>ROUND(P11+Q11,2)</f>
        <v/>
      </c>
      <c r="S11" s="25">
        <f>B11*Premissas!$B$29</f>
        <v/>
      </c>
      <c r="T11" s="6">
        <f>Premissas!$B$30</f>
        <v/>
      </c>
      <c r="U11" s="6">
        <f>Premissas!$B$31</f>
        <v/>
      </c>
      <c r="V11" s="6">
        <f>Premissas!$B$32</f>
        <v/>
      </c>
      <c r="W11" s="25">
        <f>ROUND(Premissas!$B$38*C11,2)</f>
        <v/>
      </c>
      <c r="X11" s="25">
        <f>S11+T11+U11+V11+W11</f>
        <v/>
      </c>
      <c r="Y11" s="25">
        <f>ROUNDUP((R11+X11-Premissas!$B$27*R11)/(1-Premissas!$B$28-Premissas!$B$27-Premissas!$B$33),2)</f>
        <v/>
      </c>
      <c r="Z11" s="25">
        <f>ROUNDUP(G11*(1+Premissas!$B$39),2)</f>
        <v/>
      </c>
      <c r="AA11" s="25">
        <f>MAX(0,Z11-Y11)</f>
        <v/>
      </c>
      <c r="AB11" s="27">
        <f>Y11+AA11</f>
        <v/>
      </c>
      <c r="AC11" s="25">
        <f>AB11-G11</f>
        <v/>
      </c>
      <c r="AD11" s="28">
        <f>(AB11-R11-Premissas!$B$27*(AB11-R11)-Premissas!$B$28*AB11-X11)/AB11</f>
        <v/>
      </c>
      <c r="AE11" s="28">
        <f>(G11-R11-Premissas!$B$27*(G11-R11)-Premissas!$B$28*G11-X11)/G11</f>
        <v/>
      </c>
      <c r="AF11" s="28">
        <f>(G11-R11-Premissas!$B$27*(G11-R11)-Premissas!$B$28*G11-(S11+T11+U11+V11))/G11</f>
        <v/>
      </c>
      <c r="AG11" s="29">
        <f>IF(AE11&lt;Premissas!$B$34,"Sim","Não")</f>
        <v/>
      </c>
      <c r="AH11" s="24" t="n">
        <v>17527.02</v>
      </c>
      <c r="AI11" s="25">
        <f>Y11-AH11</f>
        <v/>
      </c>
    </row>
    <row r="12">
      <c r="A12" s="20" t="inlineStr">
        <is>
          <t>Inversor</t>
        </is>
      </c>
      <c r="B12" s="21" t="n">
        <v>12</v>
      </c>
      <c r="C12" s="22">
        <f>B12*Premissas!$B$6</f>
        <v/>
      </c>
      <c r="D12" s="23" t="n">
        <v>5000</v>
      </c>
      <c r="E12" s="21" t="n">
        <v>1</v>
      </c>
      <c r="F12" s="24" t="n">
        <v>16997</v>
      </c>
      <c r="G12" s="24" t="n">
        <v>17741.85</v>
      </c>
      <c r="H12" s="25">
        <f>B12*Premissas!$B$5</f>
        <v/>
      </c>
      <c r="I12" s="25">
        <f>IF(A12="Micro",E12*(Premissas!$B$12+Premissas!$B$13),E12*INDEX(Premissas!$B$21:$B$24,MATCH(D12,Premissas!$A$21:$A$24,0)))</f>
        <v/>
      </c>
      <c r="J12" s="25">
        <f>E12*IF(A12="Micro",4,INDEX(Premissas!$C$21:$C$24,MATCH(D12,Premissas!$A$21:$A$24,0)))*Premissas!$B$11</f>
        <v/>
      </c>
      <c r="K12" s="26">
        <f>2*ROUNDUP(B12/2,0)</f>
        <v/>
      </c>
      <c r="L12" s="25">
        <f>K12*Premissas!$B$7</f>
        <v/>
      </c>
      <c r="M12" s="25">
        <f>INT(K12/4)*Premissas!$B$8+MOD(K12,4)/2*Premissas!$B$9</f>
        <v/>
      </c>
      <c r="N12" s="26">
        <f>IF(B12&lt;=19,3*B12,IF(B12&lt;=50,ROUNDUP(2.5*B12,0),2*B12))</f>
        <v/>
      </c>
      <c r="O12" s="25">
        <f>2*N12*Premissas!$B$10</f>
        <v/>
      </c>
      <c r="P12" s="25">
        <f>H12+I12+J12+L12+M12+O12</f>
        <v/>
      </c>
      <c r="Q12" s="25">
        <f>IF(P12&lt;Premissas!$B$17,MAX(Premissas!$B$14,P12*Premissas!$B$15),P12*Premissas!$B$16)</f>
        <v/>
      </c>
      <c r="R12" s="25">
        <f>ROUND(P12+Q12,2)</f>
        <v/>
      </c>
      <c r="S12" s="25">
        <f>B12*Premissas!$B$29</f>
        <v/>
      </c>
      <c r="T12" s="6">
        <f>Premissas!$B$30</f>
        <v/>
      </c>
      <c r="U12" s="6">
        <f>Premissas!$B$31</f>
        <v/>
      </c>
      <c r="V12" s="6">
        <f>Premissas!$B$32</f>
        <v/>
      </c>
      <c r="W12" s="25">
        <f>ROUND(Premissas!$B$38*C12,2)</f>
        <v/>
      </c>
      <c r="X12" s="25">
        <f>S12+T12+U12+V12+W12</f>
        <v/>
      </c>
      <c r="Y12" s="25">
        <f>ROUNDUP((R12+X12-Premissas!$B$27*R12)/(1-Premissas!$B$28-Premissas!$B$27-Premissas!$B$33),2)</f>
        <v/>
      </c>
      <c r="Z12" s="25">
        <f>ROUNDUP(G12*(1+Premissas!$B$39),2)</f>
        <v/>
      </c>
      <c r="AA12" s="25">
        <f>MAX(0,Z12-Y12)</f>
        <v/>
      </c>
      <c r="AB12" s="27">
        <f>Y12+AA12</f>
        <v/>
      </c>
      <c r="AC12" s="25">
        <f>AB12-G12</f>
        <v/>
      </c>
      <c r="AD12" s="28">
        <f>(AB12-R12-Premissas!$B$27*(AB12-R12)-Premissas!$B$28*AB12-X12)/AB12</f>
        <v/>
      </c>
      <c r="AE12" s="28">
        <f>(G12-R12-Premissas!$B$27*(G12-R12)-Premissas!$B$28*G12-X12)/G12</f>
        <v/>
      </c>
      <c r="AF12" s="28">
        <f>(G12-R12-Premissas!$B$27*(G12-R12)-Premissas!$B$28*G12-(S12+T12+U12+V12))/G12</f>
        <v/>
      </c>
      <c r="AG12" s="29">
        <f>IF(AE12&lt;Premissas!$B$34,"Sim","Não")</f>
        <v/>
      </c>
      <c r="AH12" s="24" t="n">
        <v>18685.49</v>
      </c>
      <c r="AI12" s="25">
        <f>Y12-AH12</f>
        <v/>
      </c>
    </row>
    <row r="13">
      <c r="A13" s="20" t="inlineStr">
        <is>
          <t>Inversor</t>
        </is>
      </c>
      <c r="B13" s="21" t="n">
        <v>13</v>
      </c>
      <c r="C13" s="22">
        <f>B13*Premissas!$B$6</f>
        <v/>
      </c>
      <c r="D13" s="23" t="n">
        <v>6000</v>
      </c>
      <c r="E13" s="21" t="n">
        <v>1</v>
      </c>
      <c r="F13" s="24" t="n">
        <v>18197</v>
      </c>
      <c r="G13" s="24" t="n">
        <v>19001.85</v>
      </c>
      <c r="H13" s="25">
        <f>B13*Premissas!$B$5</f>
        <v/>
      </c>
      <c r="I13" s="25">
        <f>IF(A13="Micro",E13*(Premissas!$B$12+Premissas!$B$13),E13*INDEX(Premissas!$B$21:$B$24,MATCH(D13,Premissas!$A$21:$A$24,0)))</f>
        <v/>
      </c>
      <c r="J13" s="25">
        <f>E13*IF(A13="Micro",4,INDEX(Premissas!$C$21:$C$24,MATCH(D13,Premissas!$A$21:$A$24,0)))*Premissas!$B$11</f>
        <v/>
      </c>
      <c r="K13" s="26">
        <f>2*ROUNDUP(B13/2,0)</f>
        <v/>
      </c>
      <c r="L13" s="25">
        <f>K13*Premissas!$B$7</f>
        <v/>
      </c>
      <c r="M13" s="25">
        <f>INT(K13/4)*Premissas!$B$8+MOD(K13,4)/2*Premissas!$B$9</f>
        <v/>
      </c>
      <c r="N13" s="26">
        <f>IF(B13&lt;=19,3*B13,IF(B13&lt;=50,ROUNDUP(2.5*B13,0),2*B13))</f>
        <v/>
      </c>
      <c r="O13" s="25">
        <f>2*N13*Premissas!$B$10</f>
        <v/>
      </c>
      <c r="P13" s="25">
        <f>H13+I13+J13+L13+M13+O13</f>
        <v/>
      </c>
      <c r="Q13" s="25">
        <f>IF(P13&lt;Premissas!$B$17,MAX(Premissas!$B$14,P13*Premissas!$B$15),P13*Premissas!$B$16)</f>
        <v/>
      </c>
      <c r="R13" s="25">
        <f>ROUND(P13+Q13,2)</f>
        <v/>
      </c>
      <c r="S13" s="25">
        <f>B13*Premissas!$B$29</f>
        <v/>
      </c>
      <c r="T13" s="6">
        <f>Premissas!$B$30</f>
        <v/>
      </c>
      <c r="U13" s="6">
        <f>Premissas!$B$31</f>
        <v/>
      </c>
      <c r="V13" s="6">
        <f>Premissas!$B$32</f>
        <v/>
      </c>
      <c r="W13" s="25">
        <f>ROUND(Premissas!$B$38*C13,2)</f>
        <v/>
      </c>
      <c r="X13" s="25">
        <f>S13+T13+U13+V13+W13</f>
        <v/>
      </c>
      <c r="Y13" s="25">
        <f>ROUNDUP((R13+X13-Premissas!$B$27*R13)/(1-Premissas!$B$28-Premissas!$B$27-Premissas!$B$33),2)</f>
        <v/>
      </c>
      <c r="Z13" s="25">
        <f>ROUNDUP(G13*(1+Premissas!$B$39),2)</f>
        <v/>
      </c>
      <c r="AA13" s="25">
        <f>MAX(0,Z13-Y13)</f>
        <v/>
      </c>
      <c r="AB13" s="27">
        <f>Y13+AA13</f>
        <v/>
      </c>
      <c r="AC13" s="25">
        <f>AB13-G13</f>
        <v/>
      </c>
      <c r="AD13" s="28">
        <f>(AB13-R13-Premissas!$B$27*(AB13-R13)-Premissas!$B$28*AB13-X13)/AB13</f>
        <v/>
      </c>
      <c r="AE13" s="28">
        <f>(G13-R13-Premissas!$B$27*(G13-R13)-Premissas!$B$28*G13-X13)/G13</f>
        <v/>
      </c>
      <c r="AF13" s="28">
        <f>(G13-R13-Premissas!$B$27*(G13-R13)-Premissas!$B$28*G13-(S13+T13+U13+V13))/G13</f>
        <v/>
      </c>
      <c r="AG13" s="29">
        <f>IF(AE13&lt;Premissas!$B$34,"Sim","Não")</f>
        <v/>
      </c>
      <c r="AH13" s="24" t="n">
        <v>20245.79</v>
      </c>
      <c r="AI13" s="25">
        <f>Y13-AH13</f>
        <v/>
      </c>
    </row>
    <row r="14">
      <c r="A14" s="20" t="inlineStr">
        <is>
          <t>Inversor</t>
        </is>
      </c>
      <c r="B14" s="21" t="n">
        <v>14</v>
      </c>
      <c r="C14" s="22">
        <f>B14*Premissas!$B$6</f>
        <v/>
      </c>
      <c r="D14" s="23" t="n">
        <v>6000</v>
      </c>
      <c r="E14" s="21" t="n">
        <v>1</v>
      </c>
      <c r="F14" s="24" t="n">
        <v>19897</v>
      </c>
      <c r="G14" s="24" t="n">
        <v>20261.85</v>
      </c>
      <c r="H14" s="25">
        <f>B14*Premissas!$B$5</f>
        <v/>
      </c>
      <c r="I14" s="25">
        <f>IF(A14="Micro",E14*(Premissas!$B$12+Premissas!$B$13),E14*INDEX(Premissas!$B$21:$B$24,MATCH(D14,Premissas!$A$21:$A$24,0)))</f>
        <v/>
      </c>
      <c r="J14" s="25">
        <f>E14*IF(A14="Micro",4,INDEX(Premissas!$C$21:$C$24,MATCH(D14,Premissas!$A$21:$A$24,0)))*Premissas!$B$11</f>
        <v/>
      </c>
      <c r="K14" s="26">
        <f>2*ROUNDUP(B14/2,0)</f>
        <v/>
      </c>
      <c r="L14" s="25">
        <f>K14*Premissas!$B$7</f>
        <v/>
      </c>
      <c r="M14" s="25">
        <f>INT(K14/4)*Premissas!$B$8+MOD(K14,4)/2*Premissas!$B$9</f>
        <v/>
      </c>
      <c r="N14" s="26">
        <f>IF(B14&lt;=19,3*B14,IF(B14&lt;=50,ROUNDUP(2.5*B14,0),2*B14))</f>
        <v/>
      </c>
      <c r="O14" s="25">
        <f>2*N14*Premissas!$B$10</f>
        <v/>
      </c>
      <c r="P14" s="25">
        <f>H14+I14+J14+L14+M14+O14</f>
        <v/>
      </c>
      <c r="Q14" s="25">
        <f>IF(P14&lt;Premissas!$B$17,MAX(Premissas!$B$14,P14*Premissas!$B$15),P14*Premissas!$B$16)</f>
        <v/>
      </c>
      <c r="R14" s="25">
        <f>ROUND(P14+Q14,2)</f>
        <v/>
      </c>
      <c r="S14" s="25">
        <f>B14*Premissas!$B$29</f>
        <v/>
      </c>
      <c r="T14" s="6">
        <f>Premissas!$B$30</f>
        <v/>
      </c>
      <c r="U14" s="6">
        <f>Premissas!$B$31</f>
        <v/>
      </c>
      <c r="V14" s="6">
        <f>Premissas!$B$32</f>
        <v/>
      </c>
      <c r="W14" s="25">
        <f>ROUND(Premissas!$B$38*C14,2)</f>
        <v/>
      </c>
      <c r="X14" s="25">
        <f>S14+T14+U14+V14+W14</f>
        <v/>
      </c>
      <c r="Y14" s="25">
        <f>ROUNDUP((R14+X14-Premissas!$B$27*R14)/(1-Premissas!$B$28-Premissas!$B$27-Premissas!$B$33),2)</f>
        <v/>
      </c>
      <c r="Z14" s="25">
        <f>ROUNDUP(G14*(1+Premissas!$B$39),2)</f>
        <v/>
      </c>
      <c r="AA14" s="25">
        <f>MAX(0,Z14-Y14)</f>
        <v/>
      </c>
      <c r="AB14" s="27">
        <f>Y14+AA14</f>
        <v/>
      </c>
      <c r="AC14" s="25">
        <f>AB14-G14</f>
        <v/>
      </c>
      <c r="AD14" s="28">
        <f>(AB14-R14-Premissas!$B$27*(AB14-R14)-Premissas!$B$28*AB14-X14)/AB14</f>
        <v/>
      </c>
      <c r="AE14" s="28">
        <f>(G14-R14-Premissas!$B$27*(G14-R14)-Premissas!$B$28*G14-X14)/G14</f>
        <v/>
      </c>
      <c r="AF14" s="28">
        <f>(G14-R14-Premissas!$B$27*(G14-R14)-Premissas!$B$28*G14-(S14+T14+U14+V14))/G14</f>
        <v/>
      </c>
      <c r="AG14" s="29">
        <f>IF(AE14&lt;Premissas!$B$34,"Sim","Não")</f>
        <v/>
      </c>
      <c r="AH14" s="24" t="n">
        <v>21431.18</v>
      </c>
      <c r="AI14" s="25">
        <f>Y14-AH14</f>
        <v/>
      </c>
    </row>
    <row r="15">
      <c r="A15" s="20" t="inlineStr">
        <is>
          <t>Inversor</t>
        </is>
      </c>
      <c r="B15" s="21" t="n">
        <v>15</v>
      </c>
      <c r="C15" s="22">
        <f>B15*Premissas!$B$6</f>
        <v/>
      </c>
      <c r="D15" s="23" t="n">
        <v>6000</v>
      </c>
      <c r="E15" s="21" t="n">
        <v>1</v>
      </c>
      <c r="F15" s="24" t="n">
        <v>20597</v>
      </c>
      <c r="G15" s="24" t="n">
        <v>21626.85</v>
      </c>
      <c r="H15" s="25">
        <f>B15*Premissas!$B$5</f>
        <v/>
      </c>
      <c r="I15" s="25">
        <f>IF(A15="Micro",E15*(Premissas!$B$12+Premissas!$B$13),E15*INDEX(Premissas!$B$21:$B$24,MATCH(D15,Premissas!$A$21:$A$24,0)))</f>
        <v/>
      </c>
      <c r="J15" s="25">
        <f>E15*IF(A15="Micro",4,INDEX(Premissas!$C$21:$C$24,MATCH(D15,Premissas!$A$21:$A$24,0)))*Premissas!$B$11</f>
        <v/>
      </c>
      <c r="K15" s="26">
        <f>2*ROUNDUP(B15/2,0)</f>
        <v/>
      </c>
      <c r="L15" s="25">
        <f>K15*Premissas!$B$7</f>
        <v/>
      </c>
      <c r="M15" s="25">
        <f>INT(K15/4)*Premissas!$B$8+MOD(K15,4)/2*Premissas!$B$9</f>
        <v/>
      </c>
      <c r="N15" s="26">
        <f>IF(B15&lt;=19,3*B15,IF(B15&lt;=50,ROUNDUP(2.5*B15,0),2*B15))</f>
        <v/>
      </c>
      <c r="O15" s="25">
        <f>2*N15*Premissas!$B$10</f>
        <v/>
      </c>
      <c r="P15" s="25">
        <f>H15+I15+J15+L15+M15+O15</f>
        <v/>
      </c>
      <c r="Q15" s="25">
        <f>IF(P15&lt;Premissas!$B$17,MAX(Premissas!$B$14,P15*Premissas!$B$15),P15*Premissas!$B$16)</f>
        <v/>
      </c>
      <c r="R15" s="25">
        <f>ROUND(P15+Q15,2)</f>
        <v/>
      </c>
      <c r="S15" s="25">
        <f>B15*Premissas!$B$29</f>
        <v/>
      </c>
      <c r="T15" s="6">
        <f>Premissas!$B$30</f>
        <v/>
      </c>
      <c r="U15" s="6">
        <f>Premissas!$B$31</f>
        <v/>
      </c>
      <c r="V15" s="6">
        <f>Premissas!$B$32</f>
        <v/>
      </c>
      <c r="W15" s="25">
        <f>ROUND(Premissas!$B$38*C15,2)</f>
        <v/>
      </c>
      <c r="X15" s="25">
        <f>S15+T15+U15+V15+W15</f>
        <v/>
      </c>
      <c r="Y15" s="25">
        <f>ROUNDUP((R15+X15-Premissas!$B$27*R15)/(1-Premissas!$B$28-Premissas!$B$27-Premissas!$B$33),2)</f>
        <v/>
      </c>
      <c r="Z15" s="25">
        <f>ROUNDUP(G15*(1+Premissas!$B$39),2)</f>
        <v/>
      </c>
      <c r="AA15" s="25">
        <f>MAX(0,Z15-Y15)</f>
        <v/>
      </c>
      <c r="AB15" s="27">
        <f>Y15+AA15</f>
        <v/>
      </c>
      <c r="AC15" s="25">
        <f>AB15-G15</f>
        <v/>
      </c>
      <c r="AD15" s="28">
        <f>(AB15-R15-Premissas!$B$27*(AB15-R15)-Premissas!$B$28*AB15-X15)/AB15</f>
        <v/>
      </c>
      <c r="AE15" s="28">
        <f>(G15-R15-Premissas!$B$27*(G15-R15)-Premissas!$B$28*G15-X15)/G15</f>
        <v/>
      </c>
      <c r="AF15" s="28">
        <f>(G15-R15-Premissas!$B$27*(G15-R15)-Premissas!$B$28*G15-(S15+T15+U15+V15))/G15</f>
        <v/>
      </c>
      <c r="AG15" s="29">
        <f>IF(AE15&lt;Premissas!$B$34,"Sim","Não")</f>
        <v/>
      </c>
      <c r="AH15" s="24" t="n">
        <v>22865.95</v>
      </c>
      <c r="AI15" s="25">
        <f>Y15-AH15</f>
        <v/>
      </c>
    </row>
    <row r="16">
      <c r="A16" s="20" t="inlineStr">
        <is>
          <t>Inversor</t>
        </is>
      </c>
      <c r="B16" s="21" t="n">
        <v>16</v>
      </c>
      <c r="C16" s="22">
        <f>B16*Premissas!$B$6</f>
        <v/>
      </c>
      <c r="D16" s="23" t="n">
        <v>6000</v>
      </c>
      <c r="E16" s="21" t="n">
        <v>1</v>
      </c>
      <c r="F16" s="24" t="n">
        <v>21697</v>
      </c>
      <c r="G16" s="24" t="n">
        <v>22676.85</v>
      </c>
      <c r="H16" s="25">
        <f>B16*Premissas!$B$5</f>
        <v/>
      </c>
      <c r="I16" s="25">
        <f>IF(A16="Micro",E16*(Premissas!$B$12+Premissas!$B$13),E16*INDEX(Premissas!$B$21:$B$24,MATCH(D16,Premissas!$A$21:$A$24,0)))</f>
        <v/>
      </c>
      <c r="J16" s="25">
        <f>E16*IF(A16="Micro",4,INDEX(Premissas!$C$21:$C$24,MATCH(D16,Premissas!$A$21:$A$24,0)))*Premissas!$B$11</f>
        <v/>
      </c>
      <c r="K16" s="26">
        <f>2*ROUNDUP(B16/2,0)</f>
        <v/>
      </c>
      <c r="L16" s="25">
        <f>K16*Premissas!$B$7</f>
        <v/>
      </c>
      <c r="M16" s="25">
        <f>INT(K16/4)*Premissas!$B$8+MOD(K16,4)/2*Premissas!$B$9</f>
        <v/>
      </c>
      <c r="N16" s="26">
        <f>IF(B16&lt;=19,3*B16,IF(B16&lt;=50,ROUNDUP(2.5*B16,0),2*B16))</f>
        <v/>
      </c>
      <c r="O16" s="25">
        <f>2*N16*Premissas!$B$10</f>
        <v/>
      </c>
      <c r="P16" s="25">
        <f>H16+I16+J16+L16+M16+O16</f>
        <v/>
      </c>
      <c r="Q16" s="25">
        <f>IF(P16&lt;Premissas!$B$17,MAX(Premissas!$B$14,P16*Premissas!$B$15),P16*Premissas!$B$16)</f>
        <v/>
      </c>
      <c r="R16" s="25">
        <f>ROUND(P16+Q16,2)</f>
        <v/>
      </c>
      <c r="S16" s="25">
        <f>B16*Premissas!$B$29</f>
        <v/>
      </c>
      <c r="T16" s="6">
        <f>Premissas!$B$30</f>
        <v/>
      </c>
      <c r="U16" s="6">
        <f>Premissas!$B$31</f>
        <v/>
      </c>
      <c r="V16" s="6">
        <f>Premissas!$B$32</f>
        <v/>
      </c>
      <c r="W16" s="25">
        <f>ROUND(Premissas!$B$38*C16,2)</f>
        <v/>
      </c>
      <c r="X16" s="25">
        <f>S16+T16+U16+V16+W16</f>
        <v/>
      </c>
      <c r="Y16" s="25">
        <f>ROUNDUP((R16+X16-Premissas!$B$27*R16)/(1-Premissas!$B$28-Premissas!$B$27-Premissas!$B$33),2)</f>
        <v/>
      </c>
      <c r="Z16" s="25">
        <f>ROUNDUP(G16*(1+Premissas!$B$39),2)</f>
        <v/>
      </c>
      <c r="AA16" s="25">
        <f>MAX(0,Z16-Y16)</f>
        <v/>
      </c>
      <c r="AB16" s="27">
        <f>Y16+AA16</f>
        <v/>
      </c>
      <c r="AC16" s="25">
        <f>AB16-G16</f>
        <v/>
      </c>
      <c r="AD16" s="28">
        <f>(AB16-R16-Premissas!$B$27*(AB16-R16)-Premissas!$B$28*AB16-X16)/AB16</f>
        <v/>
      </c>
      <c r="AE16" s="28">
        <f>(G16-R16-Premissas!$B$27*(G16-R16)-Premissas!$B$28*G16-X16)/G16</f>
        <v/>
      </c>
      <c r="AF16" s="28">
        <f>(G16-R16-Premissas!$B$27*(G16-R16)-Premissas!$B$28*G16-(S16+T16+U16+V16))/G16</f>
        <v/>
      </c>
      <c r="AG16" s="29">
        <f>IF(AE16&lt;Premissas!$B$34,"Sim","Não")</f>
        <v/>
      </c>
      <c r="AH16" s="24" t="n">
        <v>24058.26</v>
      </c>
      <c r="AI16" s="25">
        <f>Y16-AH16</f>
        <v/>
      </c>
    </row>
    <row r="17">
      <c r="A17" s="20" t="inlineStr">
        <is>
          <t>Inversor</t>
        </is>
      </c>
      <c r="B17" s="21" t="n">
        <v>17</v>
      </c>
      <c r="C17" s="22">
        <f>B17*Premissas!$B$6</f>
        <v/>
      </c>
      <c r="D17" s="23" t="n">
        <v>6000</v>
      </c>
      <c r="E17" s="21" t="n">
        <v>1</v>
      </c>
      <c r="F17" s="24" t="n">
        <v>23897</v>
      </c>
      <c r="G17" s="24" t="n">
        <v>25721.85</v>
      </c>
      <c r="H17" s="25">
        <f>B17*Premissas!$B$5</f>
        <v/>
      </c>
      <c r="I17" s="25">
        <f>IF(A17="Micro",E17*(Premissas!$B$12+Premissas!$B$13),E17*INDEX(Premissas!$B$21:$B$24,MATCH(D17,Premissas!$A$21:$A$24,0)))</f>
        <v/>
      </c>
      <c r="J17" s="25">
        <f>E17*IF(A17="Micro",4,INDEX(Premissas!$C$21:$C$24,MATCH(D17,Premissas!$A$21:$A$24,0)))*Premissas!$B$11</f>
        <v/>
      </c>
      <c r="K17" s="26">
        <f>2*ROUNDUP(B17/2,0)</f>
        <v/>
      </c>
      <c r="L17" s="25">
        <f>K17*Premissas!$B$7</f>
        <v/>
      </c>
      <c r="M17" s="25">
        <f>INT(K17/4)*Premissas!$B$8+MOD(K17,4)/2*Premissas!$B$9</f>
        <v/>
      </c>
      <c r="N17" s="26">
        <f>IF(B17&lt;=19,3*B17,IF(B17&lt;=50,ROUNDUP(2.5*B17,0),2*B17))</f>
        <v/>
      </c>
      <c r="O17" s="25">
        <f>2*N17*Premissas!$B$10</f>
        <v/>
      </c>
      <c r="P17" s="25">
        <f>H17+I17+J17+L17+M17+O17</f>
        <v/>
      </c>
      <c r="Q17" s="25">
        <f>IF(P17&lt;Premissas!$B$17,MAX(Premissas!$B$14,P17*Premissas!$B$15),P17*Premissas!$B$16)</f>
        <v/>
      </c>
      <c r="R17" s="25">
        <f>ROUND(P17+Q17,2)</f>
        <v/>
      </c>
      <c r="S17" s="25">
        <f>B17*Premissas!$B$29</f>
        <v/>
      </c>
      <c r="T17" s="6">
        <f>Premissas!$B$30</f>
        <v/>
      </c>
      <c r="U17" s="6">
        <f>Premissas!$B$31</f>
        <v/>
      </c>
      <c r="V17" s="6">
        <f>Premissas!$B$32</f>
        <v/>
      </c>
      <c r="W17" s="25">
        <f>ROUND(Premissas!$B$38*C17,2)</f>
        <v/>
      </c>
      <c r="X17" s="25">
        <f>S17+T17+U17+V17+W17</f>
        <v/>
      </c>
      <c r="Y17" s="25">
        <f>ROUNDUP((R17+X17-Premissas!$B$27*R17)/(1-Premissas!$B$28-Premissas!$B$27-Premissas!$B$33),2)</f>
        <v/>
      </c>
      <c r="Z17" s="25">
        <f>ROUNDUP(G17*(1+Premissas!$B$39),2)</f>
        <v/>
      </c>
      <c r="AA17" s="25">
        <f>MAX(0,Z17-Y17)</f>
        <v/>
      </c>
      <c r="AB17" s="27">
        <f>Y17+AA17</f>
        <v/>
      </c>
      <c r="AC17" s="25">
        <f>AB17-G17</f>
        <v/>
      </c>
      <c r="AD17" s="28">
        <f>(AB17-R17-Premissas!$B$27*(AB17-R17)-Premissas!$B$28*AB17-X17)/AB17</f>
        <v/>
      </c>
      <c r="AE17" s="28">
        <f>(G17-R17-Premissas!$B$27*(G17-R17)-Premissas!$B$28*G17-X17)/G17</f>
        <v/>
      </c>
      <c r="AF17" s="28">
        <f>(G17-R17-Premissas!$B$27*(G17-R17)-Premissas!$B$28*G17-(S17+T17+U17+V17))/G17</f>
        <v/>
      </c>
      <c r="AG17" s="29">
        <f>IF(AE17&lt;Premissas!$B$34,"Sim","Não")</f>
        <v/>
      </c>
      <c r="AH17" s="24" t="n">
        <v>25508.62</v>
      </c>
      <c r="AI17" s="25">
        <f>Y17-AH17</f>
        <v/>
      </c>
    </row>
    <row r="18">
      <c r="A18" s="20" t="inlineStr">
        <is>
          <t>Inversor</t>
        </is>
      </c>
      <c r="B18" s="21" t="n">
        <v>18</v>
      </c>
      <c r="C18" s="22">
        <f>B18*Premissas!$B$6</f>
        <v/>
      </c>
      <c r="D18" s="23" t="n">
        <v>7500</v>
      </c>
      <c r="E18" s="21" t="n">
        <v>1</v>
      </c>
      <c r="F18" s="24" t="n">
        <v>24897</v>
      </c>
      <c r="G18" s="24" t="n">
        <v>26771.85</v>
      </c>
      <c r="H18" s="25">
        <f>B18*Premissas!$B$5</f>
        <v/>
      </c>
      <c r="I18" s="25">
        <f>IF(A18="Micro",E18*(Premissas!$B$12+Premissas!$B$13),E18*INDEX(Premissas!$B$21:$B$24,MATCH(D18,Premissas!$A$21:$A$24,0)))</f>
        <v/>
      </c>
      <c r="J18" s="25">
        <f>E18*IF(A18="Micro",4,INDEX(Premissas!$C$21:$C$24,MATCH(D18,Premissas!$A$21:$A$24,0)))*Premissas!$B$11</f>
        <v/>
      </c>
      <c r="K18" s="26">
        <f>2*ROUNDUP(B18/2,0)</f>
        <v/>
      </c>
      <c r="L18" s="25">
        <f>K18*Premissas!$B$7</f>
        <v/>
      </c>
      <c r="M18" s="25">
        <f>INT(K18/4)*Premissas!$B$8+MOD(K18,4)/2*Premissas!$B$9</f>
        <v/>
      </c>
      <c r="N18" s="26">
        <f>IF(B18&lt;=19,3*B18,IF(B18&lt;=50,ROUNDUP(2.5*B18,0),2*B18))</f>
        <v/>
      </c>
      <c r="O18" s="25">
        <f>2*N18*Premissas!$B$10</f>
        <v/>
      </c>
      <c r="P18" s="25">
        <f>H18+I18+J18+L18+M18+O18</f>
        <v/>
      </c>
      <c r="Q18" s="25">
        <f>IF(P18&lt;Premissas!$B$17,MAX(Premissas!$B$14,P18*Premissas!$B$15),P18*Premissas!$B$16)</f>
        <v/>
      </c>
      <c r="R18" s="25">
        <f>ROUND(P18+Q18,2)</f>
        <v/>
      </c>
      <c r="S18" s="25">
        <f>B18*Premissas!$B$29</f>
        <v/>
      </c>
      <c r="T18" s="6">
        <f>Premissas!$B$30</f>
        <v/>
      </c>
      <c r="U18" s="6">
        <f>Premissas!$B$31</f>
        <v/>
      </c>
      <c r="V18" s="6">
        <f>Premissas!$B$32</f>
        <v/>
      </c>
      <c r="W18" s="25">
        <f>ROUND(Premissas!$B$38*C18,2)</f>
        <v/>
      </c>
      <c r="X18" s="25">
        <f>S18+T18+U18+V18+W18</f>
        <v/>
      </c>
      <c r="Y18" s="25">
        <f>ROUNDUP((R18+X18-Premissas!$B$27*R18)/(1-Premissas!$B$28-Premissas!$B$27-Premissas!$B$33),2)</f>
        <v/>
      </c>
      <c r="Z18" s="25">
        <f>ROUNDUP(G18*(1+Premissas!$B$39),2)</f>
        <v/>
      </c>
      <c r="AA18" s="25">
        <f>MAX(0,Z18-Y18)</f>
        <v/>
      </c>
      <c r="AB18" s="27">
        <f>Y18+AA18</f>
        <v/>
      </c>
      <c r="AC18" s="25">
        <f>AB18-G18</f>
        <v/>
      </c>
      <c r="AD18" s="28">
        <f>(AB18-R18-Premissas!$B$27*(AB18-R18)-Premissas!$B$28*AB18-X18)/AB18</f>
        <v/>
      </c>
      <c r="AE18" s="28">
        <f>(G18-R18-Premissas!$B$27*(G18-R18)-Premissas!$B$28*G18-X18)/G18</f>
        <v/>
      </c>
      <c r="AF18" s="28">
        <f>(G18-R18-Premissas!$B$27*(G18-R18)-Premissas!$B$28*G18-(S18+T18+U18+V18))/G18</f>
        <v/>
      </c>
      <c r="AG18" s="29">
        <f>IF(AE18&lt;Premissas!$B$34,"Sim","Não")</f>
        <v/>
      </c>
      <c r="AH18" s="24" t="n">
        <v>28150.43</v>
      </c>
      <c r="AI18" s="25">
        <f>Y18-AH18</f>
        <v/>
      </c>
    </row>
    <row r="19">
      <c r="A19" s="20" t="inlineStr">
        <is>
          <t>Inversor</t>
        </is>
      </c>
      <c r="B19" s="21" t="n">
        <v>19</v>
      </c>
      <c r="C19" s="22">
        <f>B19*Premissas!$B$6</f>
        <v/>
      </c>
      <c r="D19" s="23" t="n">
        <v>7500</v>
      </c>
      <c r="E19" s="21" t="n">
        <v>1</v>
      </c>
      <c r="F19" s="24" t="n">
        <v>25997</v>
      </c>
      <c r="G19" s="24" t="n">
        <v>28136.85</v>
      </c>
      <c r="H19" s="25">
        <f>B19*Premissas!$B$5</f>
        <v/>
      </c>
      <c r="I19" s="25">
        <f>IF(A19="Micro",E19*(Premissas!$B$12+Premissas!$B$13),E19*INDEX(Premissas!$B$21:$B$24,MATCH(D19,Premissas!$A$21:$A$24,0)))</f>
        <v/>
      </c>
      <c r="J19" s="25">
        <f>E19*IF(A19="Micro",4,INDEX(Premissas!$C$21:$C$24,MATCH(D19,Premissas!$A$21:$A$24,0)))*Premissas!$B$11</f>
        <v/>
      </c>
      <c r="K19" s="26">
        <f>2*ROUNDUP(B19/2,0)</f>
        <v/>
      </c>
      <c r="L19" s="25">
        <f>K19*Premissas!$B$7</f>
        <v/>
      </c>
      <c r="M19" s="25">
        <f>INT(K19/4)*Premissas!$B$8+MOD(K19,4)/2*Premissas!$B$9</f>
        <v/>
      </c>
      <c r="N19" s="26">
        <f>IF(B19&lt;=19,3*B19,IF(B19&lt;=50,ROUNDUP(2.5*B19,0),2*B19))</f>
        <v/>
      </c>
      <c r="O19" s="25">
        <f>2*N19*Premissas!$B$10</f>
        <v/>
      </c>
      <c r="P19" s="25">
        <f>H19+I19+J19+L19+M19+O19</f>
        <v/>
      </c>
      <c r="Q19" s="25">
        <f>IF(P19&lt;Premissas!$B$17,MAX(Premissas!$B$14,P19*Premissas!$B$15),P19*Premissas!$B$16)</f>
        <v/>
      </c>
      <c r="R19" s="25">
        <f>ROUND(P19+Q19,2)</f>
        <v/>
      </c>
      <c r="S19" s="25">
        <f>B19*Premissas!$B$29</f>
        <v/>
      </c>
      <c r="T19" s="6">
        <f>Premissas!$B$30</f>
        <v/>
      </c>
      <c r="U19" s="6">
        <f>Premissas!$B$31</f>
        <v/>
      </c>
      <c r="V19" s="6">
        <f>Premissas!$B$32</f>
        <v/>
      </c>
      <c r="W19" s="25">
        <f>ROUND(Premissas!$B$38*C19,2)</f>
        <v/>
      </c>
      <c r="X19" s="25">
        <f>S19+T19+U19+V19+W19</f>
        <v/>
      </c>
      <c r="Y19" s="25">
        <f>ROUNDUP((R19+X19-Premissas!$B$27*R19)/(1-Premissas!$B$28-Premissas!$B$27-Premissas!$B$33),2)</f>
        <v/>
      </c>
      <c r="Z19" s="25">
        <f>ROUNDUP(G19*(1+Premissas!$B$39),2)</f>
        <v/>
      </c>
      <c r="AA19" s="25">
        <f>MAX(0,Z19-Y19)</f>
        <v/>
      </c>
      <c r="AB19" s="27">
        <f>Y19+AA19</f>
        <v/>
      </c>
      <c r="AC19" s="25">
        <f>AB19-G19</f>
        <v/>
      </c>
      <c r="AD19" s="28">
        <f>(AB19-R19-Premissas!$B$27*(AB19-R19)-Premissas!$B$28*AB19-X19)/AB19</f>
        <v/>
      </c>
      <c r="AE19" s="28">
        <f>(G19-R19-Premissas!$B$27*(G19-R19)-Premissas!$B$28*G19-X19)/G19</f>
        <v/>
      </c>
      <c r="AF19" s="28">
        <f>(G19-R19-Premissas!$B$27*(G19-R19)-Premissas!$B$28*G19-(S19+T19+U19+V19))/G19</f>
        <v/>
      </c>
      <c r="AG19" s="29">
        <f>IF(AE19&lt;Premissas!$B$34,"Sim","Não")</f>
        <v/>
      </c>
      <c r="AH19" s="24" t="n">
        <v>29585.21</v>
      </c>
      <c r="AI19" s="25">
        <f>Y19-AH19</f>
        <v/>
      </c>
    </row>
    <row r="20">
      <c r="A20" s="20" t="inlineStr">
        <is>
          <t>Inversor</t>
        </is>
      </c>
      <c r="B20" s="21" t="n">
        <v>20</v>
      </c>
      <c r="C20" s="22">
        <f>B20*Premissas!$B$6</f>
        <v/>
      </c>
      <c r="D20" s="23" t="n">
        <v>7500</v>
      </c>
      <c r="E20" s="21" t="n">
        <v>1</v>
      </c>
      <c r="F20" s="24" t="n">
        <v>26997</v>
      </c>
      <c r="G20" s="24" t="n">
        <v>28976.85</v>
      </c>
      <c r="H20" s="25">
        <f>B20*Premissas!$B$5</f>
        <v/>
      </c>
      <c r="I20" s="25">
        <f>IF(A20="Micro",E20*(Premissas!$B$12+Premissas!$B$13),E20*INDEX(Premissas!$B$21:$B$24,MATCH(D20,Premissas!$A$21:$A$24,0)))</f>
        <v/>
      </c>
      <c r="J20" s="25">
        <f>E20*IF(A20="Micro",4,INDEX(Premissas!$C$21:$C$24,MATCH(D20,Premissas!$A$21:$A$24,0)))*Premissas!$B$11</f>
        <v/>
      </c>
      <c r="K20" s="26">
        <f>2*ROUNDUP(B20/2,0)</f>
        <v/>
      </c>
      <c r="L20" s="25">
        <f>K20*Premissas!$B$7</f>
        <v/>
      </c>
      <c r="M20" s="25">
        <f>INT(K20/4)*Premissas!$B$8+MOD(K20,4)/2*Premissas!$B$9</f>
        <v/>
      </c>
      <c r="N20" s="26">
        <f>IF(B20&lt;=19,3*B20,IF(B20&lt;=50,ROUNDUP(2.5*B20,0),2*B20))</f>
        <v/>
      </c>
      <c r="O20" s="25">
        <f>2*N20*Premissas!$B$10</f>
        <v/>
      </c>
      <c r="P20" s="25">
        <f>H20+I20+J20+L20+M20+O20</f>
        <v/>
      </c>
      <c r="Q20" s="25">
        <f>IF(P20&lt;Premissas!$B$17,MAX(Premissas!$B$14,P20*Premissas!$B$15),P20*Premissas!$B$16)</f>
        <v/>
      </c>
      <c r="R20" s="25">
        <f>ROUND(P20+Q20,2)</f>
        <v/>
      </c>
      <c r="S20" s="25">
        <f>B20*Premissas!$B$29</f>
        <v/>
      </c>
      <c r="T20" s="6">
        <f>Premissas!$B$30</f>
        <v/>
      </c>
      <c r="U20" s="6">
        <f>Premissas!$B$31</f>
        <v/>
      </c>
      <c r="V20" s="6">
        <f>Premissas!$B$32</f>
        <v/>
      </c>
      <c r="W20" s="25">
        <f>ROUND(Premissas!$B$38*C20,2)</f>
        <v/>
      </c>
      <c r="X20" s="25">
        <f>S20+T20+U20+V20+W20</f>
        <v/>
      </c>
      <c r="Y20" s="25">
        <f>ROUNDUP((R20+X20-Premissas!$B$27*R20)/(1-Premissas!$B$28-Premissas!$B$27-Premissas!$B$33),2)</f>
        <v/>
      </c>
      <c r="Z20" s="25">
        <f>ROUNDUP(G20*(1+Premissas!$B$39),2)</f>
        <v/>
      </c>
      <c r="AA20" s="25">
        <f>MAX(0,Z20-Y20)</f>
        <v/>
      </c>
      <c r="AB20" s="27">
        <f>Y20+AA20</f>
        <v/>
      </c>
      <c r="AC20" s="25">
        <f>AB20-G20</f>
        <v/>
      </c>
      <c r="AD20" s="28">
        <f>(AB20-R20-Premissas!$B$27*(AB20-R20)-Premissas!$B$28*AB20-X20)/AB20</f>
        <v/>
      </c>
      <c r="AE20" s="28">
        <f>(G20-R20-Premissas!$B$27*(G20-R20)-Premissas!$B$28*G20-X20)/G20</f>
        <v/>
      </c>
      <c r="AF20" s="28">
        <f>(G20-R20-Premissas!$B$27*(G20-R20)-Premissas!$B$28*G20-(S20+T20+U20+V20))/G20</f>
        <v/>
      </c>
      <c r="AG20" s="29">
        <f>IF(AE20&lt;Premissas!$B$34,"Sim","Não")</f>
        <v/>
      </c>
      <c r="AH20" s="24" t="n">
        <v>30642.12</v>
      </c>
      <c r="AI20" s="25">
        <f>Y20-AH20</f>
        <v/>
      </c>
    </row>
    <row r="21">
      <c r="A21" s="20" t="inlineStr">
        <is>
          <t>Micro</t>
        </is>
      </c>
      <c r="B21" s="21" t="n">
        <v>4</v>
      </c>
      <c r="C21" s="22">
        <f>B21*Premissas!$B$6</f>
        <v/>
      </c>
      <c r="D21" s="23" t="n">
        <v>2250</v>
      </c>
      <c r="E21" s="21" t="n">
        <v>1</v>
      </c>
      <c r="F21" s="24" t="n">
        <v>8029.29</v>
      </c>
      <c r="G21" s="24" t="n">
        <v>8029.29</v>
      </c>
      <c r="H21" s="25">
        <f>B21*Premissas!$B$5</f>
        <v/>
      </c>
      <c r="I21" s="25">
        <f>IF(A21="Micro",E21*(Premissas!$B$12+Premissas!$B$13),E21*INDEX(Premissas!$B$21:$B$24,MATCH(D21,Premissas!$A$21:$A$24,0)))</f>
        <v/>
      </c>
      <c r="J21" s="25">
        <f>E21*IF(A21="Micro",4,INDEX(Premissas!$C$21:$C$24,MATCH(D21,Premissas!$A$21:$A$24,0)))*Premissas!$B$11</f>
        <v/>
      </c>
      <c r="K21" s="26">
        <f>2*ROUNDUP(B21/2,0)</f>
        <v/>
      </c>
      <c r="L21" s="25">
        <f>K21*Premissas!$B$7</f>
        <v/>
      </c>
      <c r="M21" s="25">
        <f>INT(K21/4)*Premissas!$B$8+MOD(K21,4)/2*Premissas!$B$9</f>
        <v/>
      </c>
      <c r="N21" s="26">
        <f>IF(B21&lt;=19,3*B21,IF(B21&lt;=50,ROUNDUP(2.5*B21,0),2*B21))</f>
        <v/>
      </c>
      <c r="O21" s="25">
        <f>2*N21*Premissas!$B$10</f>
        <v/>
      </c>
      <c r="P21" s="25">
        <f>H21+I21+J21+L21+M21+O21</f>
        <v/>
      </c>
      <c r="Q21" s="25">
        <f>IF(P21&lt;Premissas!$B$17,MAX(Premissas!$B$14,P21*Premissas!$B$15),P21*Premissas!$B$16)</f>
        <v/>
      </c>
      <c r="R21" s="25">
        <f>ROUND(P21+Q21,2)</f>
        <v/>
      </c>
      <c r="S21" s="25">
        <f>B21*Premissas!$B$29</f>
        <v/>
      </c>
      <c r="T21" s="6">
        <f>Premissas!$B$30</f>
        <v/>
      </c>
      <c r="U21" s="6">
        <f>Premissas!$B$31</f>
        <v/>
      </c>
      <c r="V21" s="6">
        <f>Premissas!$B$32</f>
        <v/>
      </c>
      <c r="W21" s="25">
        <f>ROUND(Premissas!$B$38*C21,2)</f>
        <v/>
      </c>
      <c r="X21" s="25">
        <f>S21+T21+U21+V21+W21</f>
        <v/>
      </c>
      <c r="Y21" s="25">
        <f>ROUNDUP((R21+X21-Premissas!$B$27*R21)/(1-Premissas!$B$28-Premissas!$B$27-Premissas!$B$33),2)</f>
        <v/>
      </c>
      <c r="Z21" s="25">
        <f>ROUNDUP(G21*(1+Premissas!$B$39),2)</f>
        <v/>
      </c>
      <c r="AA21" s="25">
        <f>MAX(0,Z21-Y21)</f>
        <v/>
      </c>
      <c r="AB21" s="27">
        <f>Y21+AA21</f>
        <v/>
      </c>
      <c r="AC21" s="25">
        <f>AB21-G21</f>
        <v/>
      </c>
      <c r="AD21" s="28">
        <f>(AB21-R21-Premissas!$B$27*(AB21-R21)-Premissas!$B$28*AB21-X21)/AB21</f>
        <v/>
      </c>
      <c r="AE21" s="28">
        <f>(G21-R21-Premissas!$B$27*(G21-R21)-Premissas!$B$28*G21-X21)/G21</f>
        <v/>
      </c>
      <c r="AF21" s="28">
        <f>(G21-R21-Premissas!$B$27*(G21-R21)-Premissas!$B$28*G21-(S21+T21+U21+V21))/G21</f>
        <v/>
      </c>
      <c r="AG21" s="29">
        <f>IF(AE21&lt;Premissas!$B$34,"Sim","Não")</f>
        <v/>
      </c>
      <c r="AH21" s="24" t="n">
        <v>7511.42</v>
      </c>
      <c r="AI21" s="25">
        <f>Y21-AH21</f>
        <v/>
      </c>
    </row>
    <row r="22">
      <c r="A22" s="20" t="inlineStr">
        <is>
          <t>Micro</t>
        </is>
      </c>
      <c r="B22" s="21" t="n">
        <v>5</v>
      </c>
      <c r="C22" s="22">
        <f>B22*Premissas!$B$6</f>
        <v/>
      </c>
      <c r="D22" s="23" t="n">
        <v>2250</v>
      </c>
      <c r="E22" s="21" t="n">
        <v>2</v>
      </c>
      <c r="F22" s="24" t="n">
        <v>10171.29</v>
      </c>
      <c r="G22" s="24" t="n">
        <v>10171.29</v>
      </c>
      <c r="H22" s="25">
        <f>B22*Premissas!$B$5</f>
        <v/>
      </c>
      <c r="I22" s="25">
        <f>IF(A22="Micro",E22*(Premissas!$B$12+Premissas!$B$13),E22*INDEX(Premissas!$B$21:$B$24,MATCH(D22,Premissas!$A$21:$A$24,0)))</f>
        <v/>
      </c>
      <c r="J22" s="25">
        <f>E22*IF(A22="Micro",4,INDEX(Premissas!$C$21:$C$24,MATCH(D22,Premissas!$A$21:$A$24,0)))*Premissas!$B$11</f>
        <v/>
      </c>
      <c r="K22" s="26">
        <f>2*ROUNDUP(B22/2,0)</f>
        <v/>
      </c>
      <c r="L22" s="25">
        <f>K22*Premissas!$B$7</f>
        <v/>
      </c>
      <c r="M22" s="25">
        <f>INT(K22/4)*Premissas!$B$8+MOD(K22,4)/2*Premissas!$B$9</f>
        <v/>
      </c>
      <c r="N22" s="26">
        <f>IF(B22&lt;=19,3*B22,IF(B22&lt;=50,ROUNDUP(2.5*B22,0),2*B22))</f>
        <v/>
      </c>
      <c r="O22" s="25">
        <f>2*N22*Premissas!$B$10</f>
        <v/>
      </c>
      <c r="P22" s="25">
        <f>H22+I22+J22+L22+M22+O22</f>
        <v/>
      </c>
      <c r="Q22" s="25">
        <f>IF(P22&lt;Premissas!$B$17,MAX(Premissas!$B$14,P22*Premissas!$B$15),P22*Premissas!$B$16)</f>
        <v/>
      </c>
      <c r="R22" s="25">
        <f>ROUND(P22+Q22,2)</f>
        <v/>
      </c>
      <c r="S22" s="25">
        <f>B22*Premissas!$B$29</f>
        <v/>
      </c>
      <c r="T22" s="6">
        <f>Premissas!$B$30</f>
        <v/>
      </c>
      <c r="U22" s="6">
        <f>Premissas!$B$31</f>
        <v/>
      </c>
      <c r="V22" s="6">
        <f>Premissas!$B$32</f>
        <v/>
      </c>
      <c r="W22" s="25">
        <f>ROUND(Premissas!$B$38*C22,2)</f>
        <v/>
      </c>
      <c r="X22" s="25">
        <f>S22+T22+U22+V22+W22</f>
        <v/>
      </c>
      <c r="Y22" s="25">
        <f>ROUNDUP((R22+X22-Premissas!$B$27*R22)/(1-Premissas!$B$28-Premissas!$B$27-Premissas!$B$33),2)</f>
        <v/>
      </c>
      <c r="Z22" s="25">
        <f>ROUNDUP(G22*(1+Premissas!$B$39),2)</f>
        <v/>
      </c>
      <c r="AA22" s="25">
        <f>MAX(0,Z22-Y22)</f>
        <v/>
      </c>
      <c r="AB22" s="27">
        <f>Y22+AA22</f>
        <v/>
      </c>
      <c r="AC22" s="25">
        <f>AB22-G22</f>
        <v/>
      </c>
      <c r="AD22" s="28">
        <f>(AB22-R22-Premissas!$B$27*(AB22-R22)-Premissas!$B$28*AB22-X22)/AB22</f>
        <v/>
      </c>
      <c r="AE22" s="28">
        <f>(G22-R22-Premissas!$B$27*(G22-R22)-Premissas!$B$28*G22-X22)/G22</f>
        <v/>
      </c>
      <c r="AF22" s="28">
        <f>(G22-R22-Premissas!$B$27*(G22-R22)-Premissas!$B$28*G22-(S22+T22+U22+V22))/G22</f>
        <v/>
      </c>
      <c r="AG22" s="29">
        <f>IF(AE22&lt;Premissas!$B$34,"Sim","Não")</f>
        <v/>
      </c>
      <c r="AH22" s="24" t="n">
        <v>10451.38</v>
      </c>
      <c r="AI22" s="25">
        <f>Y22-AH22</f>
        <v/>
      </c>
    </row>
    <row r="23">
      <c r="A23" s="20" t="inlineStr">
        <is>
          <t>Micro</t>
        </is>
      </c>
      <c r="B23" s="21" t="n">
        <v>6</v>
      </c>
      <c r="C23" s="22">
        <f>B23*Premissas!$B$6</f>
        <v/>
      </c>
      <c r="D23" s="23" t="n">
        <v>2250</v>
      </c>
      <c r="E23" s="21" t="n">
        <v>2</v>
      </c>
      <c r="F23" s="24" t="n">
        <v>11135.19</v>
      </c>
      <c r="G23" s="24" t="n">
        <v>11135.19</v>
      </c>
      <c r="H23" s="25">
        <f>B23*Premissas!$B$5</f>
        <v/>
      </c>
      <c r="I23" s="25">
        <f>IF(A23="Micro",E23*(Premissas!$B$12+Premissas!$B$13),E23*INDEX(Premissas!$B$21:$B$24,MATCH(D23,Premissas!$A$21:$A$24,0)))</f>
        <v/>
      </c>
      <c r="J23" s="25">
        <f>E23*IF(A23="Micro",4,INDEX(Premissas!$C$21:$C$24,MATCH(D23,Premissas!$A$21:$A$24,0)))*Premissas!$B$11</f>
        <v/>
      </c>
      <c r="K23" s="26">
        <f>2*ROUNDUP(B23/2,0)</f>
        <v/>
      </c>
      <c r="L23" s="25">
        <f>K23*Premissas!$B$7</f>
        <v/>
      </c>
      <c r="M23" s="25">
        <f>INT(K23/4)*Premissas!$B$8+MOD(K23,4)/2*Premissas!$B$9</f>
        <v/>
      </c>
      <c r="N23" s="26">
        <f>IF(B23&lt;=19,3*B23,IF(B23&lt;=50,ROUNDUP(2.5*B23,0),2*B23))</f>
        <v/>
      </c>
      <c r="O23" s="25">
        <f>2*N23*Premissas!$B$10</f>
        <v/>
      </c>
      <c r="P23" s="25">
        <f>H23+I23+J23+L23+M23+O23</f>
        <v/>
      </c>
      <c r="Q23" s="25">
        <f>IF(P23&lt;Premissas!$B$17,MAX(Premissas!$B$14,P23*Premissas!$B$15),P23*Premissas!$B$16)</f>
        <v/>
      </c>
      <c r="R23" s="25">
        <f>ROUND(P23+Q23,2)</f>
        <v/>
      </c>
      <c r="S23" s="25">
        <f>B23*Premissas!$B$29</f>
        <v/>
      </c>
      <c r="T23" s="6">
        <f>Premissas!$B$30</f>
        <v/>
      </c>
      <c r="U23" s="6">
        <f>Premissas!$B$31</f>
        <v/>
      </c>
      <c r="V23" s="6">
        <f>Premissas!$B$32</f>
        <v/>
      </c>
      <c r="W23" s="25">
        <f>ROUND(Premissas!$B$38*C23,2)</f>
        <v/>
      </c>
      <c r="X23" s="25">
        <f>S23+T23+U23+V23+W23</f>
        <v/>
      </c>
      <c r="Y23" s="25">
        <f>ROUNDUP((R23+X23-Premissas!$B$27*R23)/(1-Premissas!$B$28-Premissas!$B$27-Premissas!$B$33),2)</f>
        <v/>
      </c>
      <c r="Z23" s="25">
        <f>ROUNDUP(G23*(1+Premissas!$B$39),2)</f>
        <v/>
      </c>
      <c r="AA23" s="25">
        <f>MAX(0,Z23-Y23)</f>
        <v/>
      </c>
      <c r="AB23" s="27">
        <f>Y23+AA23</f>
        <v/>
      </c>
      <c r="AC23" s="25">
        <f>AB23-G23</f>
        <v/>
      </c>
      <c r="AD23" s="28">
        <f>(AB23-R23-Premissas!$B$27*(AB23-R23)-Premissas!$B$28*AB23-X23)/AB23</f>
        <v/>
      </c>
      <c r="AE23" s="28">
        <f>(G23-R23-Premissas!$B$27*(G23-R23)-Premissas!$B$28*G23-X23)/G23</f>
        <v/>
      </c>
      <c r="AF23" s="28">
        <f>(G23-R23-Premissas!$B$27*(G23-R23)-Premissas!$B$28*G23-(S23+T23+U23+V23))/G23</f>
        <v/>
      </c>
      <c r="AG23" s="29">
        <f>IF(AE23&lt;Premissas!$B$34,"Sim","Não")</f>
        <v/>
      </c>
      <c r="AH23" s="24" t="n">
        <v>11609.84</v>
      </c>
      <c r="AI23" s="25">
        <f>Y23-AH23</f>
        <v/>
      </c>
    </row>
    <row r="24">
      <c r="A24" s="20" t="inlineStr">
        <is>
          <t>Micro</t>
        </is>
      </c>
      <c r="B24" s="21" t="n">
        <v>7</v>
      </c>
      <c r="C24" s="22">
        <f>B24*Premissas!$B$6</f>
        <v/>
      </c>
      <c r="D24" s="23" t="n">
        <v>2250</v>
      </c>
      <c r="E24" s="21" t="n">
        <v>2</v>
      </c>
      <c r="F24" s="24" t="n">
        <v>12420.39</v>
      </c>
      <c r="G24" s="24" t="n">
        <v>12420.39</v>
      </c>
      <c r="H24" s="25">
        <f>B24*Premissas!$B$5</f>
        <v/>
      </c>
      <c r="I24" s="25">
        <f>IF(A24="Micro",E24*(Premissas!$B$12+Premissas!$B$13),E24*INDEX(Premissas!$B$21:$B$24,MATCH(D24,Premissas!$A$21:$A$24,0)))</f>
        <v/>
      </c>
      <c r="J24" s="25">
        <f>E24*IF(A24="Micro",4,INDEX(Premissas!$C$21:$C$24,MATCH(D24,Premissas!$A$21:$A$24,0)))*Premissas!$B$11</f>
        <v/>
      </c>
      <c r="K24" s="26">
        <f>2*ROUNDUP(B24/2,0)</f>
        <v/>
      </c>
      <c r="L24" s="25">
        <f>K24*Premissas!$B$7</f>
        <v/>
      </c>
      <c r="M24" s="25">
        <f>INT(K24/4)*Premissas!$B$8+MOD(K24,4)/2*Premissas!$B$9</f>
        <v/>
      </c>
      <c r="N24" s="26">
        <f>IF(B24&lt;=19,3*B24,IF(B24&lt;=50,ROUNDUP(2.5*B24,0),2*B24))</f>
        <v/>
      </c>
      <c r="O24" s="25">
        <f>2*N24*Premissas!$B$10</f>
        <v/>
      </c>
      <c r="P24" s="25">
        <f>H24+I24+J24+L24+M24+O24</f>
        <v/>
      </c>
      <c r="Q24" s="25">
        <f>IF(P24&lt;Premissas!$B$17,MAX(Premissas!$B$14,P24*Premissas!$B$15),P24*Premissas!$B$16)</f>
        <v/>
      </c>
      <c r="R24" s="25">
        <f>ROUND(P24+Q24,2)</f>
        <v/>
      </c>
      <c r="S24" s="25">
        <f>B24*Premissas!$B$29</f>
        <v/>
      </c>
      <c r="T24" s="6">
        <f>Premissas!$B$30</f>
        <v/>
      </c>
      <c r="U24" s="6">
        <f>Premissas!$B$31</f>
        <v/>
      </c>
      <c r="V24" s="6">
        <f>Premissas!$B$32</f>
        <v/>
      </c>
      <c r="W24" s="25">
        <f>ROUND(Premissas!$B$38*C24,2)</f>
        <v/>
      </c>
      <c r="X24" s="25">
        <f>S24+T24+U24+V24+W24</f>
        <v/>
      </c>
      <c r="Y24" s="25">
        <f>ROUNDUP((R24+X24-Premissas!$B$27*R24)/(1-Premissas!$B$28-Premissas!$B$27-Premissas!$B$33),2)</f>
        <v/>
      </c>
      <c r="Z24" s="25">
        <f>ROUNDUP(G24*(1+Premissas!$B$39),2)</f>
        <v/>
      </c>
      <c r="AA24" s="25">
        <f>MAX(0,Z24-Y24)</f>
        <v/>
      </c>
      <c r="AB24" s="27">
        <f>Y24+AA24</f>
        <v/>
      </c>
      <c r="AC24" s="25">
        <f>AB24-G24</f>
        <v/>
      </c>
      <c r="AD24" s="28">
        <f>(AB24-R24-Premissas!$B$27*(AB24-R24)-Premissas!$B$28*AB24-X24)/AB24</f>
        <v/>
      </c>
      <c r="AE24" s="28">
        <f>(G24-R24-Premissas!$B$27*(G24-R24)-Premissas!$B$28*G24-X24)/G24</f>
        <v/>
      </c>
      <c r="AF24" s="28">
        <f>(G24-R24-Premissas!$B$27*(G24-R24)-Premissas!$B$28*G24-(S24+T24+U24+V24))/G24</f>
        <v/>
      </c>
      <c r="AG24" s="29">
        <f>IF(AE24&lt;Premissas!$B$34,"Sim","Não")</f>
        <v/>
      </c>
      <c r="AH24" s="24" t="n">
        <v>13001.75</v>
      </c>
      <c r="AI24" s="25">
        <f>Y24-AH24</f>
        <v/>
      </c>
    </row>
    <row r="25">
      <c r="A25" s="20" t="inlineStr">
        <is>
          <t>Micro</t>
        </is>
      </c>
      <c r="B25" s="21" t="n">
        <v>8</v>
      </c>
      <c r="C25" s="22">
        <f>B25*Premissas!$B$6</f>
        <v/>
      </c>
      <c r="D25" s="23" t="n">
        <v>2250</v>
      </c>
      <c r="E25" s="21" t="n">
        <v>2</v>
      </c>
      <c r="F25" s="24" t="n">
        <v>12697</v>
      </c>
      <c r="G25" s="24" t="n">
        <v>13598.49</v>
      </c>
      <c r="H25" s="25">
        <f>B25*Premissas!$B$5</f>
        <v/>
      </c>
      <c r="I25" s="25">
        <f>IF(A25="Micro",E25*(Premissas!$B$12+Premissas!$B$13),E25*INDEX(Premissas!$B$21:$B$24,MATCH(D25,Premissas!$A$21:$A$24,0)))</f>
        <v/>
      </c>
      <c r="J25" s="25">
        <f>E25*IF(A25="Micro",4,INDEX(Premissas!$C$21:$C$24,MATCH(D25,Premissas!$A$21:$A$24,0)))*Premissas!$B$11</f>
        <v/>
      </c>
      <c r="K25" s="26">
        <f>2*ROUNDUP(B25/2,0)</f>
        <v/>
      </c>
      <c r="L25" s="25">
        <f>K25*Premissas!$B$7</f>
        <v/>
      </c>
      <c r="M25" s="25">
        <f>INT(K25/4)*Premissas!$B$8+MOD(K25,4)/2*Premissas!$B$9</f>
        <v/>
      </c>
      <c r="N25" s="26">
        <f>IF(B25&lt;=19,3*B25,IF(B25&lt;=50,ROUNDUP(2.5*B25,0),2*B25))</f>
        <v/>
      </c>
      <c r="O25" s="25">
        <f>2*N25*Premissas!$B$10</f>
        <v/>
      </c>
      <c r="P25" s="25">
        <f>H25+I25+J25+L25+M25+O25</f>
        <v/>
      </c>
      <c r="Q25" s="25">
        <f>IF(P25&lt;Premissas!$B$17,MAX(Premissas!$B$14,P25*Premissas!$B$15),P25*Premissas!$B$16)</f>
        <v/>
      </c>
      <c r="R25" s="25">
        <f>ROUND(P25+Q25,2)</f>
        <v/>
      </c>
      <c r="S25" s="25">
        <f>B25*Premissas!$B$29</f>
        <v/>
      </c>
      <c r="T25" s="6">
        <f>Premissas!$B$30</f>
        <v/>
      </c>
      <c r="U25" s="6">
        <f>Premissas!$B$31</f>
        <v/>
      </c>
      <c r="V25" s="6">
        <f>Premissas!$B$32</f>
        <v/>
      </c>
      <c r="W25" s="25">
        <f>ROUND(Premissas!$B$38*C25,2)</f>
        <v/>
      </c>
      <c r="X25" s="25">
        <f>S25+T25+U25+V25+W25</f>
        <v/>
      </c>
      <c r="Y25" s="25">
        <f>ROUNDUP((R25+X25-Premissas!$B$27*R25)/(1-Premissas!$B$28-Premissas!$B$27-Premissas!$B$33),2)</f>
        <v/>
      </c>
      <c r="Z25" s="25">
        <f>ROUNDUP(G25*(1+Premissas!$B$39),2)</f>
        <v/>
      </c>
      <c r="AA25" s="25">
        <f>MAX(0,Z25-Y25)</f>
        <v/>
      </c>
      <c r="AB25" s="27">
        <f>Y25+AA25</f>
        <v/>
      </c>
      <c r="AC25" s="25">
        <f>AB25-G25</f>
        <v/>
      </c>
      <c r="AD25" s="28">
        <f>(AB25-R25-Premissas!$B$27*(AB25-R25)-Premissas!$B$28*AB25-X25)/AB25</f>
        <v/>
      </c>
      <c r="AE25" s="28">
        <f>(G25-R25-Premissas!$B$27*(G25-R25)-Premissas!$B$28*G25-X25)/G25</f>
        <v/>
      </c>
      <c r="AF25" s="28">
        <f>(G25-R25-Premissas!$B$27*(G25-R25)-Premissas!$B$28*G25-(S25+T25+U25+V25))/G25</f>
        <v/>
      </c>
      <c r="AG25" s="29">
        <f>IF(AE25&lt;Premissas!$B$34,"Sim","Não")</f>
        <v/>
      </c>
      <c r="AH25" s="24" t="n">
        <v>14160.21</v>
      </c>
      <c r="AI25" s="25">
        <f>Y25-AH25</f>
        <v/>
      </c>
    </row>
    <row r="26">
      <c r="A26" s="20" t="inlineStr">
        <is>
          <t>Micro</t>
        </is>
      </c>
      <c r="B26" s="21" t="n">
        <v>9</v>
      </c>
      <c r="C26" s="22">
        <f>B26*Premissas!$B$6</f>
        <v/>
      </c>
      <c r="D26" s="23" t="n">
        <v>2250</v>
      </c>
      <c r="E26" s="21" t="n">
        <v>3</v>
      </c>
      <c r="F26" s="24" t="n">
        <v>15297</v>
      </c>
      <c r="G26" s="24" t="n">
        <v>16383.09</v>
      </c>
      <c r="H26" s="25">
        <f>B26*Premissas!$B$5</f>
        <v/>
      </c>
      <c r="I26" s="25">
        <f>IF(A26="Micro",E26*(Premissas!$B$12+Premissas!$B$13),E26*INDEX(Premissas!$B$21:$B$24,MATCH(D26,Premissas!$A$21:$A$24,0)))</f>
        <v/>
      </c>
      <c r="J26" s="25">
        <f>E26*IF(A26="Micro",4,INDEX(Premissas!$C$21:$C$24,MATCH(D26,Premissas!$A$21:$A$24,0)))*Premissas!$B$11</f>
        <v/>
      </c>
      <c r="K26" s="26">
        <f>2*ROUNDUP(B26/2,0)</f>
        <v/>
      </c>
      <c r="L26" s="25">
        <f>K26*Premissas!$B$7</f>
        <v/>
      </c>
      <c r="M26" s="25">
        <f>INT(K26/4)*Premissas!$B$8+MOD(K26,4)/2*Premissas!$B$9</f>
        <v/>
      </c>
      <c r="N26" s="26">
        <f>IF(B26&lt;=19,3*B26,IF(B26&lt;=50,ROUNDUP(2.5*B26,0),2*B26))</f>
        <v/>
      </c>
      <c r="O26" s="25">
        <f>2*N26*Premissas!$B$10</f>
        <v/>
      </c>
      <c r="P26" s="25">
        <f>H26+I26+J26+L26+M26+O26</f>
        <v/>
      </c>
      <c r="Q26" s="25">
        <f>IF(P26&lt;Premissas!$B$17,MAX(Premissas!$B$14,P26*Premissas!$B$15),P26*Premissas!$B$16)</f>
        <v/>
      </c>
      <c r="R26" s="25">
        <f>ROUND(P26+Q26,2)</f>
        <v/>
      </c>
      <c r="S26" s="25">
        <f>B26*Premissas!$B$29</f>
        <v/>
      </c>
      <c r="T26" s="6">
        <f>Premissas!$B$30</f>
        <v/>
      </c>
      <c r="U26" s="6">
        <f>Premissas!$B$31</f>
        <v/>
      </c>
      <c r="V26" s="6">
        <f>Premissas!$B$32</f>
        <v/>
      </c>
      <c r="W26" s="25">
        <f>ROUND(Premissas!$B$38*C26,2)</f>
        <v/>
      </c>
      <c r="X26" s="25">
        <f>S26+T26+U26+V26+W26</f>
        <v/>
      </c>
      <c r="Y26" s="25">
        <f>ROUNDUP((R26+X26-Premissas!$B$27*R26)/(1-Premissas!$B$28-Premissas!$B$27-Premissas!$B$33),2)</f>
        <v/>
      </c>
      <c r="Z26" s="25">
        <f>ROUNDUP(G26*(1+Premissas!$B$39),2)</f>
        <v/>
      </c>
      <c r="AA26" s="25">
        <f>MAX(0,Z26-Y26)</f>
        <v/>
      </c>
      <c r="AB26" s="27">
        <f>Y26+AA26</f>
        <v/>
      </c>
      <c r="AC26" s="25">
        <f>AB26-G26</f>
        <v/>
      </c>
      <c r="AD26" s="28">
        <f>(AB26-R26-Premissas!$B$27*(AB26-R26)-Premissas!$B$28*AB26-X26)/AB26</f>
        <v/>
      </c>
      <c r="AE26" s="28">
        <f>(G26-R26-Premissas!$B$27*(G26-R26)-Premissas!$B$28*G26-X26)/G26</f>
        <v/>
      </c>
      <c r="AF26" s="28">
        <f>(G26-R26-Premissas!$B$27*(G26-R26)-Premissas!$B$28*G26-(S26+T26+U26+V26))/G26</f>
        <v/>
      </c>
      <c r="AG26" s="29">
        <f>IF(AE26&lt;Premissas!$B$34,"Sim","Não")</f>
        <v/>
      </c>
      <c r="AH26" s="24" t="n">
        <v>17100.16</v>
      </c>
      <c r="AI26" s="25">
        <f>Y26-AH26</f>
        <v/>
      </c>
    </row>
    <row r="27">
      <c r="A27" s="20" t="inlineStr">
        <is>
          <t>Micro</t>
        </is>
      </c>
      <c r="B27" s="21" t="n">
        <v>10</v>
      </c>
      <c r="C27" s="22">
        <f>B27*Premissas!$B$6</f>
        <v/>
      </c>
      <c r="D27" s="23" t="n">
        <v>2250</v>
      </c>
      <c r="E27" s="21" t="n">
        <v>3</v>
      </c>
      <c r="F27" s="24" t="n">
        <v>16297</v>
      </c>
      <c r="G27" s="24" t="n">
        <v>17454.09</v>
      </c>
      <c r="H27" s="25">
        <f>B27*Premissas!$B$5</f>
        <v/>
      </c>
      <c r="I27" s="25">
        <f>IF(A27="Micro",E27*(Premissas!$B$12+Premissas!$B$13),E27*INDEX(Premissas!$B$21:$B$24,MATCH(D27,Premissas!$A$21:$A$24,0)))</f>
        <v/>
      </c>
      <c r="J27" s="25">
        <f>E27*IF(A27="Micro",4,INDEX(Premissas!$C$21:$C$24,MATCH(D27,Premissas!$A$21:$A$24,0)))*Premissas!$B$11</f>
        <v/>
      </c>
      <c r="K27" s="26">
        <f>2*ROUNDUP(B27/2,0)</f>
        <v/>
      </c>
      <c r="L27" s="25">
        <f>K27*Premissas!$B$7</f>
        <v/>
      </c>
      <c r="M27" s="25">
        <f>INT(K27/4)*Premissas!$B$8+MOD(K27,4)/2*Premissas!$B$9</f>
        <v/>
      </c>
      <c r="N27" s="26">
        <f>IF(B27&lt;=19,3*B27,IF(B27&lt;=50,ROUNDUP(2.5*B27,0),2*B27))</f>
        <v/>
      </c>
      <c r="O27" s="25">
        <f>2*N27*Premissas!$B$10</f>
        <v/>
      </c>
      <c r="P27" s="25">
        <f>H27+I27+J27+L27+M27+O27</f>
        <v/>
      </c>
      <c r="Q27" s="25">
        <f>IF(P27&lt;Premissas!$B$17,MAX(Premissas!$B$14,P27*Premissas!$B$15),P27*Premissas!$B$16)</f>
        <v/>
      </c>
      <c r="R27" s="25">
        <f>ROUND(P27+Q27,2)</f>
        <v/>
      </c>
      <c r="S27" s="25">
        <f>B27*Premissas!$B$29</f>
        <v/>
      </c>
      <c r="T27" s="6">
        <f>Premissas!$B$30</f>
        <v/>
      </c>
      <c r="U27" s="6">
        <f>Premissas!$B$31</f>
        <v/>
      </c>
      <c r="V27" s="6">
        <f>Premissas!$B$32</f>
        <v/>
      </c>
      <c r="W27" s="25">
        <f>ROUND(Premissas!$B$38*C27,2)</f>
        <v/>
      </c>
      <c r="X27" s="25">
        <f>S27+T27+U27+V27+W27</f>
        <v/>
      </c>
      <c r="Y27" s="25">
        <f>ROUNDUP((R27+X27-Premissas!$B$27*R27)/(1-Premissas!$B$28-Premissas!$B$27-Premissas!$B$33),2)</f>
        <v/>
      </c>
      <c r="Z27" s="25">
        <f>ROUNDUP(G27*(1+Premissas!$B$39),2)</f>
        <v/>
      </c>
      <c r="AA27" s="25">
        <f>MAX(0,Z27-Y27)</f>
        <v/>
      </c>
      <c r="AB27" s="27">
        <f>Y27+AA27</f>
        <v/>
      </c>
      <c r="AC27" s="25">
        <f>AB27-G27</f>
        <v/>
      </c>
      <c r="AD27" s="28">
        <f>(AB27-R27-Premissas!$B$27*(AB27-R27)-Premissas!$B$28*AB27-X27)/AB27</f>
        <v/>
      </c>
      <c r="AE27" s="28">
        <f>(G27-R27-Premissas!$B$27*(G27-R27)-Premissas!$B$28*G27-X27)/G27</f>
        <v/>
      </c>
      <c r="AF27" s="28">
        <f>(G27-R27-Premissas!$B$27*(G27-R27)-Premissas!$B$28*G27-(S27+T27+U27+V27))/G27</f>
        <v/>
      </c>
      <c r="AG27" s="29">
        <f>IF(AE27&lt;Premissas!$B$34,"Sim","Não")</f>
        <v/>
      </c>
      <c r="AH27" s="24" t="n">
        <v>18258.62</v>
      </c>
      <c r="AI27" s="25">
        <f>Y27-AH27</f>
        <v/>
      </c>
    </row>
    <row r="28">
      <c r="A28" s="20" t="inlineStr">
        <is>
          <t>Micro</t>
        </is>
      </c>
      <c r="B28" s="21" t="n">
        <v>11</v>
      </c>
      <c r="C28" s="22">
        <f>B28*Premissas!$B$6</f>
        <v/>
      </c>
      <c r="D28" s="23" t="n">
        <v>2250</v>
      </c>
      <c r="E28" s="21" t="n">
        <v>3</v>
      </c>
      <c r="F28" s="24" t="n">
        <v>17497</v>
      </c>
      <c r="G28" s="24" t="n">
        <v>18739.29</v>
      </c>
      <c r="H28" s="25">
        <f>B28*Premissas!$B$5</f>
        <v/>
      </c>
      <c r="I28" s="25">
        <f>IF(A28="Micro",E28*(Premissas!$B$12+Premissas!$B$13),E28*INDEX(Premissas!$B$21:$B$24,MATCH(D28,Premissas!$A$21:$A$24,0)))</f>
        <v/>
      </c>
      <c r="J28" s="25">
        <f>E28*IF(A28="Micro",4,INDEX(Premissas!$C$21:$C$24,MATCH(D28,Premissas!$A$21:$A$24,0)))*Premissas!$B$11</f>
        <v/>
      </c>
      <c r="K28" s="26">
        <f>2*ROUNDUP(B28/2,0)</f>
        <v/>
      </c>
      <c r="L28" s="25">
        <f>K28*Premissas!$B$7</f>
        <v/>
      </c>
      <c r="M28" s="25">
        <f>INT(K28/4)*Premissas!$B$8+MOD(K28,4)/2*Premissas!$B$9</f>
        <v/>
      </c>
      <c r="N28" s="26">
        <f>IF(B28&lt;=19,3*B28,IF(B28&lt;=50,ROUNDUP(2.5*B28,0),2*B28))</f>
        <v/>
      </c>
      <c r="O28" s="25">
        <f>2*N28*Premissas!$B$10</f>
        <v/>
      </c>
      <c r="P28" s="25">
        <f>H28+I28+J28+L28+M28+O28</f>
        <v/>
      </c>
      <c r="Q28" s="25">
        <f>IF(P28&lt;Premissas!$B$17,MAX(Premissas!$B$14,P28*Premissas!$B$15),P28*Premissas!$B$16)</f>
        <v/>
      </c>
      <c r="R28" s="25">
        <f>ROUND(P28+Q28,2)</f>
        <v/>
      </c>
      <c r="S28" s="25">
        <f>B28*Premissas!$B$29</f>
        <v/>
      </c>
      <c r="T28" s="6">
        <f>Premissas!$B$30</f>
        <v/>
      </c>
      <c r="U28" s="6">
        <f>Premissas!$B$31</f>
        <v/>
      </c>
      <c r="V28" s="6">
        <f>Premissas!$B$32</f>
        <v/>
      </c>
      <c r="W28" s="25">
        <f>ROUND(Premissas!$B$38*C28,2)</f>
        <v/>
      </c>
      <c r="X28" s="25">
        <f>S28+T28+U28+V28+W28</f>
        <v/>
      </c>
      <c r="Y28" s="25">
        <f>ROUNDUP((R28+X28-Premissas!$B$27*R28)/(1-Premissas!$B$28-Premissas!$B$27-Premissas!$B$33),2)</f>
        <v/>
      </c>
      <c r="Z28" s="25">
        <f>ROUNDUP(G28*(1+Premissas!$B$39),2)</f>
        <v/>
      </c>
      <c r="AA28" s="25">
        <f>MAX(0,Z28-Y28)</f>
        <v/>
      </c>
      <c r="AB28" s="27">
        <f>Y28+AA28</f>
        <v/>
      </c>
      <c r="AC28" s="25">
        <f>AB28-G28</f>
        <v/>
      </c>
      <c r="AD28" s="28">
        <f>(AB28-R28-Premissas!$B$27*(AB28-R28)-Premissas!$B$28*AB28-X28)/AB28</f>
        <v/>
      </c>
      <c r="AE28" s="28">
        <f>(G28-R28-Premissas!$B$27*(G28-R28)-Premissas!$B$28*G28-X28)/G28</f>
        <v/>
      </c>
      <c r="AF28" s="28">
        <f>(G28-R28-Premissas!$B$27*(G28-R28)-Premissas!$B$28*G28-(S28+T28+U28+V28))/G28</f>
        <v/>
      </c>
      <c r="AG28" s="29">
        <f>IF(AE28&lt;Premissas!$B$34,"Sim","Não")</f>
        <v/>
      </c>
      <c r="AH28" s="24" t="n">
        <v>19650.53</v>
      </c>
      <c r="AI28" s="25">
        <f>Y28-AH28</f>
        <v/>
      </c>
    </row>
    <row r="29">
      <c r="A29" s="20" t="inlineStr">
        <is>
          <t>Micro</t>
        </is>
      </c>
      <c r="B29" s="21" t="n">
        <v>12</v>
      </c>
      <c r="C29" s="22">
        <f>B29*Premissas!$B$6</f>
        <v/>
      </c>
      <c r="D29" s="23" t="n">
        <v>2250</v>
      </c>
      <c r="E29" s="21" t="n">
        <v>3</v>
      </c>
      <c r="F29" s="24" t="n">
        <v>18497</v>
      </c>
      <c r="G29" s="24" t="n">
        <v>19810.29</v>
      </c>
      <c r="H29" s="25">
        <f>B29*Premissas!$B$5</f>
        <v/>
      </c>
      <c r="I29" s="25">
        <f>IF(A29="Micro",E29*(Premissas!$B$12+Premissas!$B$13),E29*INDEX(Premissas!$B$21:$B$24,MATCH(D29,Premissas!$A$21:$A$24,0)))</f>
        <v/>
      </c>
      <c r="J29" s="25">
        <f>E29*IF(A29="Micro",4,INDEX(Premissas!$C$21:$C$24,MATCH(D29,Premissas!$A$21:$A$24,0)))*Premissas!$B$11</f>
        <v/>
      </c>
      <c r="K29" s="26">
        <f>2*ROUNDUP(B29/2,0)</f>
        <v/>
      </c>
      <c r="L29" s="25">
        <f>K29*Premissas!$B$7</f>
        <v/>
      </c>
      <c r="M29" s="25">
        <f>INT(K29/4)*Premissas!$B$8+MOD(K29,4)/2*Premissas!$B$9</f>
        <v/>
      </c>
      <c r="N29" s="26">
        <f>IF(B29&lt;=19,3*B29,IF(B29&lt;=50,ROUNDUP(2.5*B29,0),2*B29))</f>
        <v/>
      </c>
      <c r="O29" s="25">
        <f>2*N29*Premissas!$B$10</f>
        <v/>
      </c>
      <c r="P29" s="25">
        <f>H29+I29+J29+L29+M29+O29</f>
        <v/>
      </c>
      <c r="Q29" s="25">
        <f>IF(P29&lt;Premissas!$B$17,MAX(Premissas!$B$14,P29*Premissas!$B$15),P29*Premissas!$B$16)</f>
        <v/>
      </c>
      <c r="R29" s="25">
        <f>ROUND(P29+Q29,2)</f>
        <v/>
      </c>
      <c r="S29" s="25">
        <f>B29*Premissas!$B$29</f>
        <v/>
      </c>
      <c r="T29" s="6">
        <f>Premissas!$B$30</f>
        <v/>
      </c>
      <c r="U29" s="6">
        <f>Premissas!$B$31</f>
        <v/>
      </c>
      <c r="V29" s="6">
        <f>Premissas!$B$32</f>
        <v/>
      </c>
      <c r="W29" s="25">
        <f>ROUND(Premissas!$B$38*C29,2)</f>
        <v/>
      </c>
      <c r="X29" s="25">
        <f>S29+T29+U29+V29+W29</f>
        <v/>
      </c>
      <c r="Y29" s="25">
        <f>ROUNDUP((R29+X29-Premissas!$B$27*R29)/(1-Premissas!$B$28-Premissas!$B$27-Premissas!$B$33),2)</f>
        <v/>
      </c>
      <c r="Z29" s="25">
        <f>ROUNDUP(G29*(1+Premissas!$B$39),2)</f>
        <v/>
      </c>
      <c r="AA29" s="25">
        <f>MAX(0,Z29-Y29)</f>
        <v/>
      </c>
      <c r="AB29" s="27">
        <f>Y29+AA29</f>
        <v/>
      </c>
      <c r="AC29" s="25">
        <f>AB29-G29</f>
        <v/>
      </c>
      <c r="AD29" s="28">
        <f>(AB29-R29-Premissas!$B$27*(AB29-R29)-Premissas!$B$28*AB29-X29)/AB29</f>
        <v/>
      </c>
      <c r="AE29" s="28">
        <f>(G29-R29-Premissas!$B$27*(G29-R29)-Premissas!$B$28*G29-X29)/G29</f>
        <v/>
      </c>
      <c r="AF29" s="28">
        <f>(G29-R29-Premissas!$B$27*(G29-R29)-Premissas!$B$28*G29-(S29+T29+U29+V29))/G29</f>
        <v/>
      </c>
      <c r="AG29" s="29">
        <f>IF(AE29&lt;Premissas!$B$34,"Sim","Não")</f>
        <v/>
      </c>
      <c r="AH29" s="24" t="n">
        <v>20834.49</v>
      </c>
      <c r="AI29" s="25">
        <f>Y29-AH29</f>
        <v/>
      </c>
    </row>
    <row r="30">
      <c r="A30" s="20" t="inlineStr">
        <is>
          <t>Micro</t>
        </is>
      </c>
      <c r="B30" s="21" t="n">
        <v>13</v>
      </c>
      <c r="C30" s="22">
        <f>B30*Premissas!$B$6</f>
        <v/>
      </c>
      <c r="D30" s="23" t="n">
        <v>2250</v>
      </c>
      <c r="E30" s="21" t="n">
        <v>4</v>
      </c>
      <c r="F30" s="24" t="n">
        <v>21197</v>
      </c>
      <c r="G30" s="24" t="n">
        <v>22701.99</v>
      </c>
      <c r="H30" s="25">
        <f>B30*Premissas!$B$5</f>
        <v/>
      </c>
      <c r="I30" s="25">
        <f>IF(A30="Micro",E30*(Premissas!$B$12+Premissas!$B$13),E30*INDEX(Premissas!$B$21:$B$24,MATCH(D30,Premissas!$A$21:$A$24,0)))</f>
        <v/>
      </c>
      <c r="J30" s="25">
        <f>E30*IF(A30="Micro",4,INDEX(Premissas!$C$21:$C$24,MATCH(D30,Premissas!$A$21:$A$24,0)))*Premissas!$B$11</f>
        <v/>
      </c>
      <c r="K30" s="26">
        <f>2*ROUNDUP(B30/2,0)</f>
        <v/>
      </c>
      <c r="L30" s="25">
        <f>K30*Premissas!$B$7</f>
        <v/>
      </c>
      <c r="M30" s="25">
        <f>INT(K30/4)*Premissas!$B$8+MOD(K30,4)/2*Premissas!$B$9</f>
        <v/>
      </c>
      <c r="N30" s="26">
        <f>IF(B30&lt;=19,3*B30,IF(B30&lt;=50,ROUNDUP(2.5*B30,0),2*B30))</f>
        <v/>
      </c>
      <c r="O30" s="25">
        <f>2*N30*Premissas!$B$10</f>
        <v/>
      </c>
      <c r="P30" s="25">
        <f>H30+I30+J30+L30+M30+O30</f>
        <v/>
      </c>
      <c r="Q30" s="25">
        <f>IF(P30&lt;Premissas!$B$17,MAX(Premissas!$B$14,P30*Premissas!$B$15),P30*Premissas!$B$16)</f>
        <v/>
      </c>
      <c r="R30" s="25">
        <f>ROUND(P30+Q30,2)</f>
        <v/>
      </c>
      <c r="S30" s="25">
        <f>B30*Premissas!$B$29</f>
        <v/>
      </c>
      <c r="T30" s="6">
        <f>Premissas!$B$30</f>
        <v/>
      </c>
      <c r="U30" s="6">
        <f>Premissas!$B$31</f>
        <v/>
      </c>
      <c r="V30" s="6">
        <f>Premissas!$B$32</f>
        <v/>
      </c>
      <c r="W30" s="25">
        <f>ROUND(Premissas!$B$38*C30,2)</f>
        <v/>
      </c>
      <c r="X30" s="25">
        <f>S30+T30+U30+V30+W30</f>
        <v/>
      </c>
      <c r="Y30" s="25">
        <f>ROUNDUP((R30+X30-Premissas!$B$27*R30)/(1-Premissas!$B$28-Premissas!$B$27-Premissas!$B$33),2)</f>
        <v/>
      </c>
      <c r="Z30" s="25">
        <f>ROUNDUP(G30*(1+Premissas!$B$39),2)</f>
        <v/>
      </c>
      <c r="AA30" s="25">
        <f>MAX(0,Z30-Y30)</f>
        <v/>
      </c>
      <c r="AB30" s="27">
        <f>Y30+AA30</f>
        <v/>
      </c>
      <c r="AC30" s="25">
        <f>AB30-G30</f>
        <v/>
      </c>
      <c r="AD30" s="28">
        <f>(AB30-R30-Premissas!$B$27*(AB30-R30)-Premissas!$B$28*AB30-X30)/AB30</f>
        <v/>
      </c>
      <c r="AE30" s="28">
        <f>(G30-R30-Premissas!$B$27*(G30-R30)-Premissas!$B$28*G30-X30)/G30</f>
        <v/>
      </c>
      <c r="AF30" s="28">
        <f>(G30-R30-Premissas!$B$27*(G30-R30)-Premissas!$B$28*G30-(S30+T30+U30+V30))/G30</f>
        <v/>
      </c>
      <c r="AG30" s="29">
        <f>IF(AE30&lt;Premissas!$B$34,"Sim","Não")</f>
        <v/>
      </c>
      <c r="AH30" s="24" t="n">
        <v>23876.88</v>
      </c>
      <c r="AI30" s="25">
        <f>Y30-AH30</f>
        <v/>
      </c>
    </row>
    <row r="31">
      <c r="A31" s="20" t="inlineStr">
        <is>
          <t>Micro</t>
        </is>
      </c>
      <c r="B31" s="21" t="n">
        <v>14</v>
      </c>
      <c r="C31" s="22">
        <f>B31*Premissas!$B$6</f>
        <v/>
      </c>
      <c r="D31" s="23" t="n">
        <v>2250</v>
      </c>
      <c r="E31" s="21" t="n">
        <v>4</v>
      </c>
      <c r="F31" s="24" t="n">
        <v>22197</v>
      </c>
      <c r="G31" s="24" t="n">
        <v>23772.99</v>
      </c>
      <c r="H31" s="25">
        <f>B31*Premissas!$B$5</f>
        <v/>
      </c>
      <c r="I31" s="25">
        <f>IF(A31="Micro",E31*(Premissas!$B$12+Premissas!$B$13),E31*INDEX(Premissas!$B$21:$B$24,MATCH(D31,Premissas!$A$21:$A$24,0)))</f>
        <v/>
      </c>
      <c r="J31" s="25">
        <f>E31*IF(A31="Micro",4,INDEX(Premissas!$C$21:$C$24,MATCH(D31,Premissas!$A$21:$A$24,0)))*Premissas!$B$11</f>
        <v/>
      </c>
      <c r="K31" s="26">
        <f>2*ROUNDUP(B31/2,0)</f>
        <v/>
      </c>
      <c r="L31" s="25">
        <f>K31*Premissas!$B$7</f>
        <v/>
      </c>
      <c r="M31" s="25">
        <f>INT(K31/4)*Premissas!$B$8+MOD(K31,4)/2*Premissas!$B$9</f>
        <v/>
      </c>
      <c r="N31" s="26">
        <f>IF(B31&lt;=19,3*B31,IF(B31&lt;=50,ROUNDUP(2.5*B31,0),2*B31))</f>
        <v/>
      </c>
      <c r="O31" s="25">
        <f>2*N31*Premissas!$B$10</f>
        <v/>
      </c>
      <c r="P31" s="25">
        <f>H31+I31+J31+L31+M31+O31</f>
        <v/>
      </c>
      <c r="Q31" s="25">
        <f>IF(P31&lt;Premissas!$B$17,MAX(Premissas!$B$14,P31*Premissas!$B$15),P31*Premissas!$B$16)</f>
        <v/>
      </c>
      <c r="R31" s="25">
        <f>ROUND(P31+Q31,2)</f>
        <v/>
      </c>
      <c r="S31" s="25">
        <f>B31*Premissas!$B$29</f>
        <v/>
      </c>
      <c r="T31" s="6">
        <f>Premissas!$B$30</f>
        <v/>
      </c>
      <c r="U31" s="6">
        <f>Premissas!$B$31</f>
        <v/>
      </c>
      <c r="V31" s="6">
        <f>Premissas!$B$32</f>
        <v/>
      </c>
      <c r="W31" s="25">
        <f>ROUND(Premissas!$B$38*C31,2)</f>
        <v/>
      </c>
      <c r="X31" s="25">
        <f>S31+T31+U31+V31+W31</f>
        <v/>
      </c>
      <c r="Y31" s="25">
        <f>ROUNDUP((R31+X31-Premissas!$B$27*R31)/(1-Premissas!$B$28-Premissas!$B$27-Premissas!$B$33),2)</f>
        <v/>
      </c>
      <c r="Z31" s="25">
        <f>ROUNDUP(G31*(1+Premissas!$B$39),2)</f>
        <v/>
      </c>
      <c r="AA31" s="25">
        <f>MAX(0,Z31-Y31)</f>
        <v/>
      </c>
      <c r="AB31" s="27">
        <f>Y31+AA31</f>
        <v/>
      </c>
      <c r="AC31" s="25">
        <f>AB31-G31</f>
        <v/>
      </c>
      <c r="AD31" s="28">
        <f>(AB31-R31-Premissas!$B$27*(AB31-R31)-Premissas!$B$28*AB31-X31)/AB31</f>
        <v/>
      </c>
      <c r="AE31" s="28">
        <f>(G31-R31-Premissas!$B$27*(G31-R31)-Premissas!$B$28*G31-X31)/G31</f>
        <v/>
      </c>
      <c r="AF31" s="28">
        <f>(G31-R31-Premissas!$B$27*(G31-R31)-Premissas!$B$28*G31-(S31+T31+U31+V31))/G31</f>
        <v/>
      </c>
      <c r="AG31" s="29">
        <f>IF(AE31&lt;Premissas!$B$34,"Sim","Não")</f>
        <v/>
      </c>
      <c r="AH31" s="24" t="n">
        <v>25069.2</v>
      </c>
      <c r="AI31" s="25">
        <f>Y31-AH31</f>
        <v/>
      </c>
    </row>
    <row r="32">
      <c r="A32" s="20" t="inlineStr">
        <is>
          <t>Micro</t>
        </is>
      </c>
      <c r="B32" s="21" t="n">
        <v>15</v>
      </c>
      <c r="C32" s="22">
        <f>B32*Premissas!$B$6</f>
        <v/>
      </c>
      <c r="D32" s="23" t="n">
        <v>2250</v>
      </c>
      <c r="E32" s="21" t="n">
        <v>4</v>
      </c>
      <c r="F32" s="24" t="n">
        <v>23397</v>
      </c>
      <c r="G32" s="24" t="n">
        <v>25058.19</v>
      </c>
      <c r="H32" s="25">
        <f>B32*Premissas!$B$5</f>
        <v/>
      </c>
      <c r="I32" s="25">
        <f>IF(A32="Micro",E32*(Premissas!$B$12+Premissas!$B$13),E32*INDEX(Premissas!$B$21:$B$24,MATCH(D32,Premissas!$A$21:$A$24,0)))</f>
        <v/>
      </c>
      <c r="J32" s="25">
        <f>E32*IF(A32="Micro",4,INDEX(Premissas!$C$21:$C$24,MATCH(D32,Premissas!$A$21:$A$24,0)))*Premissas!$B$11</f>
        <v/>
      </c>
      <c r="K32" s="26">
        <f>2*ROUNDUP(B32/2,0)</f>
        <v/>
      </c>
      <c r="L32" s="25">
        <f>K32*Premissas!$B$7</f>
        <v/>
      </c>
      <c r="M32" s="25">
        <f>INT(K32/4)*Premissas!$B$8+MOD(K32,4)/2*Premissas!$B$9</f>
        <v/>
      </c>
      <c r="N32" s="26">
        <f>IF(B32&lt;=19,3*B32,IF(B32&lt;=50,ROUNDUP(2.5*B32,0),2*B32))</f>
        <v/>
      </c>
      <c r="O32" s="25">
        <f>2*N32*Premissas!$B$10</f>
        <v/>
      </c>
      <c r="P32" s="25">
        <f>H32+I32+J32+L32+M32+O32</f>
        <v/>
      </c>
      <c r="Q32" s="25">
        <f>IF(P32&lt;Premissas!$B$17,MAX(Premissas!$B$14,P32*Premissas!$B$15),P32*Premissas!$B$16)</f>
        <v/>
      </c>
      <c r="R32" s="25">
        <f>ROUND(P32+Q32,2)</f>
        <v/>
      </c>
      <c r="S32" s="25">
        <f>B32*Premissas!$B$29</f>
        <v/>
      </c>
      <c r="T32" s="6">
        <f>Premissas!$B$30</f>
        <v/>
      </c>
      <c r="U32" s="6">
        <f>Premissas!$B$31</f>
        <v/>
      </c>
      <c r="V32" s="6">
        <f>Premissas!$B$32</f>
        <v/>
      </c>
      <c r="W32" s="25">
        <f>ROUND(Premissas!$B$38*C32,2)</f>
        <v/>
      </c>
      <c r="X32" s="25">
        <f>S32+T32+U32+V32+W32</f>
        <v/>
      </c>
      <c r="Y32" s="25">
        <f>ROUNDUP((R32+X32-Premissas!$B$27*R32)/(1-Premissas!$B$28-Premissas!$B$27-Premissas!$B$33),2)</f>
        <v/>
      </c>
      <c r="Z32" s="25">
        <f>ROUNDUP(G32*(1+Premissas!$B$39),2)</f>
        <v/>
      </c>
      <c r="AA32" s="25">
        <f>MAX(0,Z32-Y32)</f>
        <v/>
      </c>
      <c r="AB32" s="27">
        <f>Y32+AA32</f>
        <v/>
      </c>
      <c r="AC32" s="25">
        <f>AB32-G32</f>
        <v/>
      </c>
      <c r="AD32" s="28">
        <f>(AB32-R32-Premissas!$B$27*(AB32-R32)-Premissas!$B$28*AB32-X32)/AB32</f>
        <v/>
      </c>
      <c r="AE32" s="28">
        <f>(G32-R32-Premissas!$B$27*(G32-R32)-Premissas!$B$28*G32-X32)/G32</f>
        <v/>
      </c>
      <c r="AF32" s="28">
        <f>(G32-R32-Premissas!$B$27*(G32-R32)-Premissas!$B$28*G32-(S32+T32+U32+V32))/G32</f>
        <v/>
      </c>
      <c r="AG32" s="29">
        <f>IF(AE32&lt;Premissas!$B$34,"Sim","Não")</f>
        <v/>
      </c>
      <c r="AH32" s="24" t="n">
        <v>26503.97</v>
      </c>
      <c r="AI32" s="25">
        <f>Y32-AH32</f>
        <v/>
      </c>
    </row>
    <row r="33">
      <c r="A33" s="20" t="inlineStr">
        <is>
          <t>Micro</t>
        </is>
      </c>
      <c r="B33" s="21" t="n">
        <v>16</v>
      </c>
      <c r="C33" s="22">
        <f>B33*Premissas!$B$6</f>
        <v/>
      </c>
      <c r="D33" s="23" t="n">
        <v>2250</v>
      </c>
      <c r="E33" s="21" t="n">
        <v>4</v>
      </c>
      <c r="F33" s="24" t="n">
        <v>24397</v>
      </c>
      <c r="G33" s="24" t="n">
        <v>26129.19</v>
      </c>
      <c r="H33" s="25">
        <f>B33*Premissas!$B$5</f>
        <v/>
      </c>
      <c r="I33" s="25">
        <f>IF(A33="Micro",E33*(Premissas!$B$12+Premissas!$B$13),E33*INDEX(Premissas!$B$21:$B$24,MATCH(D33,Premissas!$A$21:$A$24,0)))</f>
        <v/>
      </c>
      <c r="J33" s="25">
        <f>E33*IF(A33="Micro",4,INDEX(Premissas!$C$21:$C$24,MATCH(D33,Premissas!$A$21:$A$24,0)))*Premissas!$B$11</f>
        <v/>
      </c>
      <c r="K33" s="26">
        <f>2*ROUNDUP(B33/2,0)</f>
        <v/>
      </c>
      <c r="L33" s="25">
        <f>K33*Premissas!$B$7</f>
        <v/>
      </c>
      <c r="M33" s="25">
        <f>INT(K33/4)*Premissas!$B$8+MOD(K33,4)/2*Premissas!$B$9</f>
        <v/>
      </c>
      <c r="N33" s="26">
        <f>IF(B33&lt;=19,3*B33,IF(B33&lt;=50,ROUNDUP(2.5*B33,0),2*B33))</f>
        <v/>
      </c>
      <c r="O33" s="25">
        <f>2*N33*Premissas!$B$10</f>
        <v/>
      </c>
      <c r="P33" s="25">
        <f>H33+I33+J33+L33+M33+O33</f>
        <v/>
      </c>
      <c r="Q33" s="25">
        <f>IF(P33&lt;Premissas!$B$17,MAX(Premissas!$B$14,P33*Premissas!$B$15),P33*Premissas!$B$16)</f>
        <v/>
      </c>
      <c r="R33" s="25">
        <f>ROUND(P33+Q33,2)</f>
        <v/>
      </c>
      <c r="S33" s="25">
        <f>B33*Premissas!$B$29</f>
        <v/>
      </c>
      <c r="T33" s="6">
        <f>Premissas!$B$30</f>
        <v/>
      </c>
      <c r="U33" s="6">
        <f>Premissas!$B$31</f>
        <v/>
      </c>
      <c r="V33" s="6">
        <f>Premissas!$B$32</f>
        <v/>
      </c>
      <c r="W33" s="25">
        <f>ROUND(Premissas!$B$38*C33,2)</f>
        <v/>
      </c>
      <c r="X33" s="25">
        <f>S33+T33+U33+V33+W33</f>
        <v/>
      </c>
      <c r="Y33" s="25">
        <f>ROUNDUP((R33+X33-Premissas!$B$27*R33)/(1-Premissas!$B$28-Premissas!$B$27-Premissas!$B$33),2)</f>
        <v/>
      </c>
      <c r="Z33" s="25">
        <f>ROUNDUP(G33*(1+Premissas!$B$39),2)</f>
        <v/>
      </c>
      <c r="AA33" s="25">
        <f>MAX(0,Z33-Y33)</f>
        <v/>
      </c>
      <c r="AB33" s="27">
        <f>Y33+AA33</f>
        <v/>
      </c>
      <c r="AC33" s="25">
        <f>AB33-G33</f>
        <v/>
      </c>
      <c r="AD33" s="28">
        <f>(AB33-R33-Premissas!$B$27*(AB33-R33)-Premissas!$B$28*AB33-X33)/AB33</f>
        <v/>
      </c>
      <c r="AE33" s="28">
        <f>(G33-R33-Premissas!$B$27*(G33-R33)-Premissas!$B$28*G33-X33)/G33</f>
        <v/>
      </c>
      <c r="AF33" s="28">
        <f>(G33-R33-Premissas!$B$27*(G33-R33)-Premissas!$B$28*G33-(S33+T33+U33+V33))/G33</f>
        <v/>
      </c>
      <c r="AG33" s="29">
        <f>IF(AE33&lt;Premissas!$B$34,"Sim","Não")</f>
        <v/>
      </c>
      <c r="AH33" s="24" t="n">
        <v>27696.27</v>
      </c>
      <c r="AI33" s="25">
        <f>Y33-AH33</f>
        <v/>
      </c>
    </row>
    <row r="34">
      <c r="A34" s="20" t="inlineStr">
        <is>
          <t>Micro</t>
        </is>
      </c>
      <c r="B34" s="21" t="n">
        <v>17</v>
      </c>
      <c r="C34" s="22">
        <f>B34*Premissas!$B$6</f>
        <v/>
      </c>
      <c r="D34" s="23" t="n">
        <v>2250</v>
      </c>
      <c r="E34" s="21" t="n">
        <v>5</v>
      </c>
      <c r="F34" s="24" t="n">
        <v>27197</v>
      </c>
      <c r="G34" s="24" t="n">
        <v>29127.99</v>
      </c>
      <c r="H34" s="25">
        <f>B34*Premissas!$B$5</f>
        <v/>
      </c>
      <c r="I34" s="25">
        <f>IF(A34="Micro",E34*(Premissas!$B$12+Premissas!$B$13),E34*INDEX(Premissas!$B$21:$B$24,MATCH(D34,Premissas!$A$21:$A$24,0)))</f>
        <v/>
      </c>
      <c r="J34" s="25">
        <f>E34*IF(A34="Micro",4,INDEX(Premissas!$C$21:$C$24,MATCH(D34,Premissas!$A$21:$A$24,0)))*Premissas!$B$11</f>
        <v/>
      </c>
      <c r="K34" s="26">
        <f>2*ROUNDUP(B34/2,0)</f>
        <v/>
      </c>
      <c r="L34" s="25">
        <f>K34*Premissas!$B$7</f>
        <v/>
      </c>
      <c r="M34" s="25">
        <f>INT(K34/4)*Premissas!$B$8+MOD(K34,4)/2*Premissas!$B$9</f>
        <v/>
      </c>
      <c r="N34" s="26">
        <f>IF(B34&lt;=19,3*B34,IF(B34&lt;=50,ROUNDUP(2.5*B34,0),2*B34))</f>
        <v/>
      </c>
      <c r="O34" s="25">
        <f>2*N34*Premissas!$B$10</f>
        <v/>
      </c>
      <c r="P34" s="25">
        <f>H34+I34+J34+L34+M34+O34</f>
        <v/>
      </c>
      <c r="Q34" s="25">
        <f>IF(P34&lt;Premissas!$B$17,MAX(Premissas!$B$14,P34*Premissas!$B$15),P34*Premissas!$B$16)</f>
        <v/>
      </c>
      <c r="R34" s="25">
        <f>ROUND(P34+Q34,2)</f>
        <v/>
      </c>
      <c r="S34" s="25">
        <f>B34*Premissas!$B$29</f>
        <v/>
      </c>
      <c r="T34" s="6">
        <f>Premissas!$B$30</f>
        <v/>
      </c>
      <c r="U34" s="6">
        <f>Premissas!$B$31</f>
        <v/>
      </c>
      <c r="V34" s="6">
        <f>Premissas!$B$32</f>
        <v/>
      </c>
      <c r="W34" s="25">
        <f>ROUND(Premissas!$B$38*C34,2)</f>
        <v/>
      </c>
      <c r="X34" s="25">
        <f>S34+T34+U34+V34+W34</f>
        <v/>
      </c>
      <c r="Y34" s="25">
        <f>ROUNDUP((R34+X34-Premissas!$B$27*R34)/(1-Premissas!$B$28-Premissas!$B$27-Premissas!$B$33),2)</f>
        <v/>
      </c>
      <c r="Z34" s="25">
        <f>ROUNDUP(G34*(1+Premissas!$B$39),2)</f>
        <v/>
      </c>
      <c r="AA34" s="25">
        <f>MAX(0,Z34-Y34)</f>
        <v/>
      </c>
      <c r="AB34" s="27">
        <f>Y34+AA34</f>
        <v/>
      </c>
      <c r="AC34" s="25">
        <f>AB34-G34</f>
        <v/>
      </c>
      <c r="AD34" s="28">
        <f>(AB34-R34-Premissas!$B$27*(AB34-R34)-Premissas!$B$28*AB34-X34)/AB34</f>
        <v/>
      </c>
      <c r="AE34" s="28">
        <f>(G34-R34-Premissas!$B$27*(G34-R34)-Premissas!$B$28*G34-X34)/G34</f>
        <v/>
      </c>
      <c r="AF34" s="28">
        <f>(G34-R34-Premissas!$B$27*(G34-R34)-Premissas!$B$28*G34-(S34+T34+U34+V34))/G34</f>
        <v/>
      </c>
      <c r="AG34" s="29">
        <f>IF(AE34&lt;Premissas!$B$34,"Sim","Não")</f>
        <v/>
      </c>
      <c r="AH34" s="24" t="n">
        <v>30738.68</v>
      </c>
      <c r="AI34" s="25">
        <f>Y34-AH34</f>
        <v/>
      </c>
    </row>
    <row r="35">
      <c r="A35" s="20" t="inlineStr">
        <is>
          <t>Micro</t>
        </is>
      </c>
      <c r="B35" s="21" t="n">
        <v>18</v>
      </c>
      <c r="C35" s="22">
        <f>B35*Premissas!$B$6</f>
        <v/>
      </c>
      <c r="D35" s="23" t="n">
        <v>2250</v>
      </c>
      <c r="E35" s="21" t="n">
        <v>5</v>
      </c>
      <c r="F35" s="24" t="n">
        <v>28197</v>
      </c>
      <c r="G35" s="24" t="n">
        <v>30198.99</v>
      </c>
      <c r="H35" s="25">
        <f>B35*Premissas!$B$5</f>
        <v/>
      </c>
      <c r="I35" s="25">
        <f>IF(A35="Micro",E35*(Premissas!$B$12+Premissas!$B$13),E35*INDEX(Premissas!$B$21:$B$24,MATCH(D35,Premissas!$A$21:$A$24,0)))</f>
        <v/>
      </c>
      <c r="J35" s="25">
        <f>E35*IF(A35="Micro",4,INDEX(Premissas!$C$21:$C$24,MATCH(D35,Premissas!$A$21:$A$24,0)))*Premissas!$B$11</f>
        <v/>
      </c>
      <c r="K35" s="26">
        <f>2*ROUNDUP(B35/2,0)</f>
        <v/>
      </c>
      <c r="L35" s="25">
        <f>K35*Premissas!$B$7</f>
        <v/>
      </c>
      <c r="M35" s="25">
        <f>INT(K35/4)*Premissas!$B$8+MOD(K35,4)/2*Premissas!$B$9</f>
        <v/>
      </c>
      <c r="N35" s="26">
        <f>IF(B35&lt;=19,3*B35,IF(B35&lt;=50,ROUNDUP(2.5*B35,0),2*B35))</f>
        <v/>
      </c>
      <c r="O35" s="25">
        <f>2*N35*Premissas!$B$10</f>
        <v/>
      </c>
      <c r="P35" s="25">
        <f>H35+I35+J35+L35+M35+O35</f>
        <v/>
      </c>
      <c r="Q35" s="25">
        <f>IF(P35&lt;Premissas!$B$17,MAX(Premissas!$B$14,P35*Premissas!$B$15),P35*Premissas!$B$16)</f>
        <v/>
      </c>
      <c r="R35" s="25">
        <f>ROUND(P35+Q35,2)</f>
        <v/>
      </c>
      <c r="S35" s="25">
        <f>B35*Premissas!$B$29</f>
        <v/>
      </c>
      <c r="T35" s="6">
        <f>Premissas!$B$30</f>
        <v/>
      </c>
      <c r="U35" s="6">
        <f>Premissas!$B$31</f>
        <v/>
      </c>
      <c r="V35" s="6">
        <f>Premissas!$B$32</f>
        <v/>
      </c>
      <c r="W35" s="25">
        <f>ROUND(Premissas!$B$38*C35,2)</f>
        <v/>
      </c>
      <c r="X35" s="25">
        <f>S35+T35+U35+V35+W35</f>
        <v/>
      </c>
      <c r="Y35" s="25">
        <f>ROUNDUP((R35+X35-Premissas!$B$27*R35)/(1-Premissas!$B$28-Premissas!$B$27-Premissas!$B$33),2)</f>
        <v/>
      </c>
      <c r="Z35" s="25">
        <f>ROUNDUP(G35*(1+Premissas!$B$39),2)</f>
        <v/>
      </c>
      <c r="AA35" s="25">
        <f>MAX(0,Z35-Y35)</f>
        <v/>
      </c>
      <c r="AB35" s="27">
        <f>Y35+AA35</f>
        <v/>
      </c>
      <c r="AC35" s="25">
        <f>AB35-G35</f>
        <v/>
      </c>
      <c r="AD35" s="28">
        <f>(AB35-R35-Premissas!$B$27*(AB35-R35)-Premissas!$B$28*AB35-X35)/AB35</f>
        <v/>
      </c>
      <c r="AE35" s="28">
        <f>(G35-R35-Premissas!$B$27*(G35-R35)-Premissas!$B$28*G35-X35)/G35</f>
        <v/>
      </c>
      <c r="AF35" s="28">
        <f>(G35-R35-Premissas!$B$27*(G35-R35)-Premissas!$B$28*G35-(S35+T35+U35+V35))/G35</f>
        <v/>
      </c>
      <c r="AG35" s="29">
        <f>IF(AE35&lt;Premissas!$B$34,"Sim","Não")</f>
        <v/>
      </c>
      <c r="AH35" s="24" t="n">
        <v>31930.98</v>
      </c>
      <c r="AI35" s="25">
        <f>Y35-AH35</f>
        <v/>
      </c>
    </row>
    <row r="36">
      <c r="A36" s="20" t="inlineStr">
        <is>
          <t>Micro</t>
        </is>
      </c>
      <c r="B36" s="21" t="n">
        <v>19</v>
      </c>
      <c r="C36" s="22">
        <f>B36*Premissas!$B$6</f>
        <v/>
      </c>
      <c r="D36" s="23" t="n">
        <v>2250</v>
      </c>
      <c r="E36" s="21" t="n">
        <v>5</v>
      </c>
      <c r="F36" s="24" t="n">
        <v>29397</v>
      </c>
      <c r="G36" s="24" t="n">
        <v>31484.19</v>
      </c>
      <c r="H36" s="25">
        <f>B36*Premissas!$B$5</f>
        <v/>
      </c>
      <c r="I36" s="25">
        <f>IF(A36="Micro",E36*(Premissas!$B$12+Premissas!$B$13),E36*INDEX(Premissas!$B$21:$B$24,MATCH(D36,Premissas!$A$21:$A$24,0)))</f>
        <v/>
      </c>
      <c r="J36" s="25">
        <f>E36*IF(A36="Micro",4,INDEX(Premissas!$C$21:$C$24,MATCH(D36,Premissas!$A$21:$A$24,0)))*Premissas!$B$11</f>
        <v/>
      </c>
      <c r="K36" s="26">
        <f>2*ROUNDUP(B36/2,0)</f>
        <v/>
      </c>
      <c r="L36" s="25">
        <f>K36*Premissas!$B$7</f>
        <v/>
      </c>
      <c r="M36" s="25">
        <f>INT(K36/4)*Premissas!$B$8+MOD(K36,4)/2*Premissas!$B$9</f>
        <v/>
      </c>
      <c r="N36" s="26">
        <f>IF(B36&lt;=19,3*B36,IF(B36&lt;=50,ROUNDUP(2.5*B36,0),2*B36))</f>
        <v/>
      </c>
      <c r="O36" s="25">
        <f>2*N36*Premissas!$B$10</f>
        <v/>
      </c>
      <c r="P36" s="25">
        <f>H36+I36+J36+L36+M36+O36</f>
        <v/>
      </c>
      <c r="Q36" s="25">
        <f>IF(P36&lt;Premissas!$B$17,MAX(Premissas!$B$14,P36*Premissas!$B$15),P36*Premissas!$B$16)</f>
        <v/>
      </c>
      <c r="R36" s="25">
        <f>ROUND(P36+Q36,2)</f>
        <v/>
      </c>
      <c r="S36" s="25">
        <f>B36*Premissas!$B$29</f>
        <v/>
      </c>
      <c r="T36" s="6">
        <f>Premissas!$B$30</f>
        <v/>
      </c>
      <c r="U36" s="6">
        <f>Premissas!$B$31</f>
        <v/>
      </c>
      <c r="V36" s="6">
        <f>Premissas!$B$32</f>
        <v/>
      </c>
      <c r="W36" s="25">
        <f>ROUND(Premissas!$B$38*C36,2)</f>
        <v/>
      </c>
      <c r="X36" s="25">
        <f>S36+T36+U36+V36+W36</f>
        <v/>
      </c>
      <c r="Y36" s="25">
        <f>ROUNDUP((R36+X36-Premissas!$B$27*R36)/(1-Premissas!$B$28-Premissas!$B$27-Premissas!$B$33),2)</f>
        <v/>
      </c>
      <c r="Z36" s="25">
        <f>ROUNDUP(G36*(1+Premissas!$B$39),2)</f>
        <v/>
      </c>
      <c r="AA36" s="25">
        <f>MAX(0,Z36-Y36)</f>
        <v/>
      </c>
      <c r="AB36" s="27">
        <f>Y36+AA36</f>
        <v/>
      </c>
      <c r="AC36" s="25">
        <f>AB36-G36</f>
        <v/>
      </c>
      <c r="AD36" s="28">
        <f>(AB36-R36-Premissas!$B$27*(AB36-R36)-Premissas!$B$28*AB36-X36)/AB36</f>
        <v/>
      </c>
      <c r="AE36" s="28">
        <f>(G36-R36-Premissas!$B$27*(G36-R36)-Premissas!$B$28*G36-X36)/G36</f>
        <v/>
      </c>
      <c r="AF36" s="28">
        <f>(G36-R36-Premissas!$B$27*(G36-R36)-Premissas!$B$28*G36-(S36+T36+U36+V36))/G36</f>
        <v/>
      </c>
      <c r="AG36" s="29">
        <f>IF(AE36&lt;Premissas!$B$34,"Sim","Não")</f>
        <v/>
      </c>
      <c r="AH36" s="24" t="n">
        <v>33365.76</v>
      </c>
      <c r="AI36" s="25">
        <f>Y36-AH36</f>
        <v/>
      </c>
    </row>
    <row r="37">
      <c r="A37" s="20" t="inlineStr">
        <is>
          <t>Micro</t>
        </is>
      </c>
      <c r="B37" s="21" t="n">
        <v>20</v>
      </c>
      <c r="C37" s="22">
        <f>B37*Premissas!$B$6</f>
        <v/>
      </c>
      <c r="D37" s="23" t="n">
        <v>2250</v>
      </c>
      <c r="E37" s="21" t="n">
        <v>5</v>
      </c>
      <c r="F37" s="24" t="n">
        <v>30397</v>
      </c>
      <c r="G37" s="24" t="n">
        <v>32555.19</v>
      </c>
      <c r="H37" s="25">
        <f>B37*Premissas!$B$5</f>
        <v/>
      </c>
      <c r="I37" s="25">
        <f>IF(A37="Micro",E37*(Premissas!$B$12+Premissas!$B$13),E37*INDEX(Premissas!$B$21:$B$24,MATCH(D37,Premissas!$A$21:$A$24,0)))</f>
        <v/>
      </c>
      <c r="J37" s="25">
        <f>E37*IF(A37="Micro",4,INDEX(Premissas!$C$21:$C$24,MATCH(D37,Premissas!$A$21:$A$24,0)))*Premissas!$B$11</f>
        <v/>
      </c>
      <c r="K37" s="26">
        <f>2*ROUNDUP(B37/2,0)</f>
        <v/>
      </c>
      <c r="L37" s="25">
        <f>K37*Premissas!$B$7</f>
        <v/>
      </c>
      <c r="M37" s="25">
        <f>INT(K37/4)*Premissas!$B$8+MOD(K37,4)/2*Premissas!$B$9</f>
        <v/>
      </c>
      <c r="N37" s="26">
        <f>IF(B37&lt;=19,3*B37,IF(B37&lt;=50,ROUNDUP(2.5*B37,0),2*B37))</f>
        <v/>
      </c>
      <c r="O37" s="25">
        <f>2*N37*Premissas!$B$10</f>
        <v/>
      </c>
      <c r="P37" s="25">
        <f>H37+I37+J37+L37+M37+O37</f>
        <v/>
      </c>
      <c r="Q37" s="25">
        <f>IF(P37&lt;Premissas!$B$17,MAX(Premissas!$B$14,P37*Premissas!$B$15),P37*Premissas!$B$16)</f>
        <v/>
      </c>
      <c r="R37" s="25">
        <f>ROUND(P37+Q37,2)</f>
        <v/>
      </c>
      <c r="S37" s="25">
        <f>B37*Premissas!$B$29</f>
        <v/>
      </c>
      <c r="T37" s="6">
        <f>Premissas!$B$30</f>
        <v/>
      </c>
      <c r="U37" s="6">
        <f>Premissas!$B$31</f>
        <v/>
      </c>
      <c r="V37" s="6">
        <f>Premissas!$B$32</f>
        <v/>
      </c>
      <c r="W37" s="25">
        <f>ROUND(Premissas!$B$38*C37,2)</f>
        <v/>
      </c>
      <c r="X37" s="25">
        <f>S37+T37+U37+V37+W37</f>
        <v/>
      </c>
      <c r="Y37" s="25">
        <f>ROUNDUP((R37+X37-Premissas!$B$27*R37)/(1-Premissas!$B$28-Premissas!$B$27-Premissas!$B$33),2)</f>
        <v/>
      </c>
      <c r="Z37" s="25">
        <f>ROUNDUP(G37*(1+Premissas!$B$39),2)</f>
        <v/>
      </c>
      <c r="AA37" s="25">
        <f>MAX(0,Z37-Y37)</f>
        <v/>
      </c>
      <c r="AB37" s="27">
        <f>Y37+AA37</f>
        <v/>
      </c>
      <c r="AC37" s="25">
        <f>AB37-G37</f>
        <v/>
      </c>
      <c r="AD37" s="28">
        <f>(AB37-R37-Premissas!$B$27*(AB37-R37)-Premissas!$B$28*AB37-X37)/AB37</f>
        <v/>
      </c>
      <c r="AE37" s="28">
        <f>(G37-R37-Premissas!$B$27*(G37-R37)-Premissas!$B$28*G37-X37)/G37</f>
        <v/>
      </c>
      <c r="AF37" s="28">
        <f>(G37-R37-Premissas!$B$27*(G37-R37)-Premissas!$B$28*G37-(S37+T37+U37+V37))/G37</f>
        <v/>
      </c>
      <c r="AG37" s="29">
        <f>IF(AE37&lt;Premissas!$B$34,"Sim","Não")</f>
        <v/>
      </c>
      <c r="AH37" s="24" t="n">
        <v>34422.67</v>
      </c>
      <c r="AI37" s="25">
        <f>Y37-AH37</f>
        <v/>
      </c>
    </row>
    <row r="38">
      <c r="A38" s="9" t="inlineStr">
        <is>
          <t>Média</t>
        </is>
      </c>
      <c r="AA38" s="30">
        <f>SUM(AA5:AA37)</f>
        <v/>
      </c>
      <c r="AD38" s="31">
        <f>AVERAGE(AD5:AD37)</f>
        <v/>
      </c>
      <c r="AE38" s="31">
        <f>AVERAGE(AE5:AE37)</f>
        <v/>
      </c>
      <c r="AF38" s="31">
        <f>AVERAGE(AF5:AF37)</f>
        <v/>
      </c>
      <c r="AI38" s="30">
        <f>MAX(AI5:AI37)-MIN(AI5:AI37)</f>
        <v/>
      </c>
    </row>
  </sheetData>
  <mergeCells count="6">
    <mergeCell ref="H3:R3"/>
    <mergeCell ref="AH3:AI3"/>
    <mergeCell ref="Y3:AC3"/>
    <mergeCell ref="A3:G3"/>
    <mergeCell ref="AD3:AG3"/>
    <mergeCell ref="S3:X3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70" customWidth="1" min="3" max="3"/>
  </cols>
  <sheetData>
    <row r="1">
      <c r="A1" s="1" t="inlineStr">
        <is>
          <t>Calibração da reserva de elétrica (engenharia reversa)</t>
        </is>
      </c>
    </row>
    <row r="2">
      <c r="A2" s="2" t="inlineStr">
        <is>
          <t>Qual reserva por kWp faz a margem média dos 33 promocionais (preço da Matriz) dar a margem de referência?</t>
        </is>
      </c>
    </row>
    <row r="4">
      <c r="A4" s="5" t="inlineStr">
        <is>
          <t>Soma de (margem sem reserva − margem de referência)</t>
        </is>
      </c>
      <c r="B4" s="32">
        <f>SUM(Kits!$AF$5:$AF$37)-COUNT(Kits!$AF$5:$AF$37)*Premissas!$B$37</f>
        <v/>
      </c>
    </row>
    <row r="5">
      <c r="A5" s="5" t="inlineStr">
        <is>
          <t>Soma de (kWp ÷ preço promocional)</t>
        </is>
      </c>
      <c r="B5" s="33">
        <f>SUMPRODUCT(Kits!$C$5:$C$37/Kits!$G$5:$G$37)</f>
        <v/>
      </c>
    </row>
    <row r="6">
      <c r="A6" s="9" t="inlineStr">
        <is>
          <t>Reserva calibrada (R$ por kWp)</t>
        </is>
      </c>
      <c r="B6" s="27">
        <f>ROUND(MAX(0,B4/B5),2)</f>
        <v/>
      </c>
      <c r="C6" s="2" t="inlineStr">
        <is>
          <t>Usada em Premissas. Fórmula: média de [(lucro sem reserva − reserva × kWp) ÷ preço] = margem de referência.</t>
        </is>
      </c>
    </row>
    <row r="8">
      <c r="A8" s="9" t="inlineStr">
        <is>
          <t>Conferência com a reserva em uso</t>
        </is>
      </c>
    </row>
    <row r="9">
      <c r="A9" s="5" t="inlineStr">
        <is>
          <t>Margem média no promocional (peso igual por kit)</t>
        </is>
      </c>
      <c r="B9" s="34">
        <f>AVERAGE(Kits!$AE$5:$AE$37)</f>
        <v/>
      </c>
    </row>
    <row r="10">
      <c r="A10" s="5" t="inlineStr">
        <is>
          <t>Margem média ponderada pelo preço</t>
        </is>
      </c>
      <c r="B10" s="34">
        <f>SUMPRODUCT(Kits!$AE$5:$AE$37,Kits!$G$5:$G$37)/SUM(Kits!$G$5:$G$37)</f>
        <v/>
      </c>
    </row>
    <row r="11">
      <c r="A11" s="5" t="inlineStr">
        <is>
          <t>Kits com margem abaixo da mínima no promocional</t>
        </is>
      </c>
      <c r="B11" s="26">
        <f>COUNTIF(Kits!$AG$5:$AG$37,"Sim")</f>
        <v/>
      </c>
    </row>
    <row r="12">
      <c r="A12" s="5" t="inlineStr">
        <is>
          <t>Kits em que o promocional fica acima do preço por custos</t>
        </is>
      </c>
      <c r="B12" s="26">
        <f>SUMPRODUCT(--(Kits!$G$5:$G$37&gt;Kits!$Y$5:$Y$37))</f>
        <v/>
      </c>
      <c r="C12" s="2" t="inlineStr">
        <is>
          <t>Nesses o piso promocional sobe o preço (ajuste comercial).</t>
        </is>
      </c>
    </row>
    <row r="13">
      <c r="A13" s="5" t="inlineStr">
        <is>
          <t>Sensibilidade: reserva sem os micros de 4 a 7 módulos</t>
        </is>
      </c>
      <c r="B13" s="25">
        <f>ROUND((SUMPRODUCT(--(((Kits!$A$5:$A$37="Inversor")+(Kits!$B$5:$B$37&gt;7))&gt;0),Kits!$AF$5:$AF$37)-SUMPRODUCT(--(((Kits!$A$5:$A$37="Inversor")+(Kits!$B$5:$B$37&gt;7))&gt;0))*Premissas!$B$37)/SUMPRODUCT(--(((Kits!$A$5:$A$37="Inversor")+(Kits!$B$5:$B$37&gt;7))&gt;0),Kits!$C$5:$C$37/Kits!$G$5:$G$37),2)</f>
        <v/>
      </c>
      <c r="C13" s="2" t="inlineStr">
        <is>
          <t>Os micros pequenos puxam a reserva; mostra quanto a estimativa é sensível.</t>
        </is>
      </c>
    </row>
    <row r="15">
      <c r="A15" s="9" t="inlineStr">
        <is>
          <t>Antes × agora</t>
        </is>
      </c>
    </row>
    <row r="16">
      <c r="A16" s="35" t="inlineStr">
        <is>
          <t>Cenário</t>
        </is>
      </c>
      <c r="B16" s="35" t="inlineStr">
        <is>
          <t>Reserva (R$/kWp)</t>
        </is>
      </c>
      <c r="C16" s="35" t="inlineStr">
        <is>
          <t>O que mudou</t>
        </is>
      </c>
    </row>
    <row r="17">
      <c r="A17" s="29" t="inlineStr">
        <is>
          <t>Repasse do outro chat (preço base, cabo 5,87)</t>
        </is>
      </c>
      <c r="B17" s="24" t="n">
        <v>48.24</v>
      </c>
      <c r="C17" s="36" t="inlineStr">
        <is>
          <t>Valor histórico do repasse (scripts/calibrar-centro-custo.cjs, versão de 09/10 de manhã).</t>
        </is>
      </c>
    </row>
    <row r="18">
      <c r="A18" s="37" t="inlineStr">
        <is>
          <t>Agora (preço da Matriz, cabo 4,25)</t>
        </is>
      </c>
      <c r="B18" s="27">
        <f>B6</f>
        <v/>
      </c>
      <c r="C18" s="36" t="inlineStr">
        <is>
          <t>Preço que o vendedor vê (+0% a 9,4%) e cabo novo da Helte.</t>
        </is>
      </c>
    </row>
    <row r="20">
      <c r="A20" s="2" t="inlineStr">
        <is>
          <t>A reserva é um ajuste para fechar a conta, não um custo medido de elétrica. Quando os custos reais forem lançados, tirar a parte correspondente daqui.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4" customWidth="1" min="2" max="2"/>
    <col width="11" customWidth="1" min="3" max="3"/>
    <col width="8" customWidth="1" min="4" max="4"/>
    <col width="8" customWidth="1" min="5" max="5"/>
    <col width="13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3" customWidth="1" min="12" max="12"/>
    <col width="10" customWidth="1" min="13" max="13"/>
    <col width="40" customWidth="1" min="14" max="14"/>
  </cols>
  <sheetData>
    <row r="1">
      <c r="A1" s="1" t="inlineStr">
        <is>
          <t>Simulador: kit cotado na distribuidora + piso promocional</t>
        </is>
      </c>
    </row>
    <row r="2">
      <c r="A2" s="2" t="inlineStr">
        <is>
          <t>Preencha as colunas em amarelo. O piso usa o promocional do mesmo tipo com o mesmo número de placas (regra da plataforma).</t>
        </is>
      </c>
    </row>
    <row r="4" ht="36" customHeight="1">
      <c r="A4" s="19" t="inlineStr">
        <is>
          <t>Distribuidora</t>
        </is>
      </c>
      <c r="B4" s="19" t="inlineStr">
        <is>
          <t>Descrição</t>
        </is>
      </c>
      <c r="C4" s="19" t="inlineStr">
        <is>
          <t>Tipo (Inversor/Micro)</t>
        </is>
      </c>
      <c r="D4" s="19" t="inlineStr">
        <is>
          <t>Placas</t>
        </is>
      </c>
      <c r="E4" s="19" t="inlineStr">
        <is>
          <t>kWp</t>
        </is>
      </c>
      <c r="F4" s="19" t="inlineStr">
        <is>
          <t>Custo do kit c/ frete</t>
        </is>
      </c>
      <c r="G4" s="19" t="inlineStr">
        <is>
          <t>Custos fixos</t>
        </is>
      </c>
      <c r="H4" s="19" t="inlineStr">
        <is>
          <t>Preço por custos</t>
        </is>
      </c>
      <c r="I4" s="19" t="inlineStr">
        <is>
          <t>Promocional equivalente</t>
        </is>
      </c>
      <c r="J4" s="19" t="inlineStr">
        <is>
          <t>Piso</t>
        </is>
      </c>
      <c r="K4" s="19" t="inlineStr">
        <is>
          <t>Ajuste comercial</t>
        </is>
      </c>
      <c r="L4" s="19" t="inlineStr">
        <is>
          <t>Preço final</t>
        </is>
      </c>
      <c r="M4" s="19" t="inlineStr">
        <is>
          <t>Margem no preço final</t>
        </is>
      </c>
      <c r="N4" s="19" t="inlineStr">
        <is>
          <t>Observação</t>
        </is>
      </c>
    </row>
    <row r="5">
      <c r="A5" s="38" t="inlineStr">
        <is>
          <t>Belenus</t>
        </is>
      </c>
      <c r="B5" s="38" t="inlineStr">
        <is>
          <t>KIT 6 MOD. 580W + INV. GROWATT 3KW (cotação real 08/10)</t>
        </is>
      </c>
      <c r="C5" s="38" t="inlineStr">
        <is>
          <t>Inversor</t>
        </is>
      </c>
      <c r="D5" s="14" t="n">
        <v>6</v>
      </c>
      <c r="E5" s="11" t="n">
        <v>3.48</v>
      </c>
      <c r="F5" s="10" t="n">
        <v>6025.04</v>
      </c>
      <c r="G5" s="25">
        <f>IF(OR(D5="",E5="",F5=""),"",D5*Premissas!$B$29+Premissas!$B$30+Premissas!$B$31+Premissas!$B$32+ROUND(Premissas!$B$38*E5,2))</f>
        <v/>
      </c>
      <c r="H5" s="25">
        <f>IF(OR(D5="",E5="",F5=""),"",ROUNDUP((F5+G5-Premissas!$B$27*F5)/(1-Premissas!$B$28-Premissas!$B$27-Premissas!$B$33),2))</f>
        <v/>
      </c>
      <c r="I5" s="6">
        <f>IF(OR(D5="",E5="",F5=""),"",IF(COUNTIFS(Kits!$A$5:$A$37,C5,Kits!$B$5:$B$37,D5)=0,"",SUMIFS(Kits!$G$5:$G$37,Kits!$A$5:$A$37,C5,Kits!$B$5:$B$37,D5)))</f>
        <v/>
      </c>
      <c r="J5" s="25">
        <f>IF(I5="","",ROUNDUP(I5*(1+Premissas!$B$39),2))</f>
        <v/>
      </c>
      <c r="K5" s="25">
        <f>IF(H5="","",IF(J5="",0,MAX(0,J5-H5)))</f>
        <v/>
      </c>
      <c r="L5" s="27">
        <f>IF(H5="","",H5+K5)</f>
        <v/>
      </c>
      <c r="M5" s="28">
        <f>IF(L5="","",(L5-F5-Premissas!$B$27*(L5-F5)-Premissas!$B$28*L5-G5)/L5)</f>
        <v/>
      </c>
      <c r="N5" s="36">
        <f>IF(H5="","",IF(I5="","Sem promocional "&amp;LOWER(C5)&amp;" com "&amp;D5&amp;" placas: sem piso",IF(K5&gt;0,"Subiu para o promocional","Acima do promocional")))</f>
        <v/>
      </c>
    </row>
    <row r="6">
      <c r="A6" s="38" t="inlineStr">
        <is>
          <t>Belenus</t>
        </is>
      </c>
      <c r="B6" s="38" t="inlineStr">
        <is>
          <t>KIT 6 MOD. 580W + INV. SOLIS 3KW (cotação real 08/10)</t>
        </is>
      </c>
      <c r="C6" s="38" t="inlineStr">
        <is>
          <t>Inversor</t>
        </is>
      </c>
      <c r="D6" s="14" t="n">
        <v>6</v>
      </c>
      <c r="E6" s="11" t="n">
        <v>3.48</v>
      </c>
      <c r="F6" s="10" t="n">
        <v>6817.13</v>
      </c>
      <c r="G6" s="25">
        <f>IF(OR(D6="",E6="",F6=""),"",D6*Premissas!$B$29+Premissas!$B$30+Premissas!$B$31+Premissas!$B$32+ROUND(Premissas!$B$38*E6,2))</f>
        <v/>
      </c>
      <c r="H6" s="25">
        <f>IF(OR(D6="",E6="",F6=""),"",ROUNDUP((F6+G6-Premissas!$B$27*F6)/(1-Premissas!$B$28-Premissas!$B$27-Premissas!$B$33),2))</f>
        <v/>
      </c>
      <c r="I6" s="6">
        <f>IF(OR(D6="",E6="",F6=""),"",IF(COUNTIFS(Kits!$A$5:$A$37,C6,Kits!$B$5:$B$37,D6)=0,"",SUMIFS(Kits!$G$5:$G$37,Kits!$A$5:$A$37,C6,Kits!$B$5:$B$37,D6)))</f>
        <v/>
      </c>
      <c r="J6" s="25">
        <f>IF(I6="","",ROUNDUP(I6*(1+Premissas!$B$39),2))</f>
        <v/>
      </c>
      <c r="K6" s="25">
        <f>IF(H6="","",IF(J6="",0,MAX(0,J6-H6)))</f>
        <v/>
      </c>
      <c r="L6" s="27">
        <f>IF(H6="","",H6+K6)</f>
        <v/>
      </c>
      <c r="M6" s="28">
        <f>IF(L6="","",(L6-F6-Premissas!$B$27*(L6-F6)-Premissas!$B$28*L6-G6)/L6)</f>
        <v/>
      </c>
      <c r="N6" s="36">
        <f>IF(H6="","",IF(I6="","Sem promocional "&amp;LOWER(C6)&amp;" com "&amp;D6&amp;" placas: sem piso",IF(K6&gt;0,"Subiu para o promocional","Acima do promocional")))</f>
        <v/>
      </c>
    </row>
    <row r="7">
      <c r="A7" s="38" t="inlineStr">
        <is>
          <t>Helte</t>
        </is>
      </c>
      <c r="B7" s="38" t="inlineStr">
        <is>
          <t>KIT 9 MOD. 620W + INV. SOFAR 5KW (cotação real 08/10)</t>
        </is>
      </c>
      <c r="C7" s="38" t="inlineStr">
        <is>
          <t>Inversor</t>
        </is>
      </c>
      <c r="D7" s="14" t="n">
        <v>9</v>
      </c>
      <c r="E7" s="11" t="n">
        <v>5.58</v>
      </c>
      <c r="F7" s="10" t="n">
        <v>7965.87</v>
      </c>
      <c r="G7" s="25">
        <f>IF(OR(D7="",E7="",F7=""),"",D7*Premissas!$B$29+Premissas!$B$30+Premissas!$B$31+Premissas!$B$32+ROUND(Premissas!$B$38*E7,2))</f>
        <v/>
      </c>
      <c r="H7" s="25">
        <f>IF(OR(D7="",E7="",F7=""),"",ROUNDUP((F7+G7-Premissas!$B$27*F7)/(1-Premissas!$B$28-Premissas!$B$27-Premissas!$B$33),2))</f>
        <v/>
      </c>
      <c r="I7" s="6">
        <f>IF(OR(D7="",E7="",F7=""),"",IF(COUNTIFS(Kits!$A$5:$A$37,C7,Kits!$B$5:$B$37,D7)=0,"",SUMIFS(Kits!$G$5:$G$37,Kits!$A$5:$A$37,C7,Kits!$B$5:$B$37,D7)))</f>
        <v/>
      </c>
      <c r="J7" s="25">
        <f>IF(I7="","",ROUNDUP(I7*(1+Premissas!$B$39),2))</f>
        <v/>
      </c>
      <c r="K7" s="25">
        <f>IF(H7="","",IF(J7="",0,MAX(0,J7-H7)))</f>
        <v/>
      </c>
      <c r="L7" s="27">
        <f>IF(H7="","",H7+K7)</f>
        <v/>
      </c>
      <c r="M7" s="28">
        <f>IF(L7="","",(L7-F7-Premissas!$B$27*(L7-F7)-Premissas!$B$28*L7-G7)/L7)</f>
        <v/>
      </c>
      <c r="N7" s="36">
        <f>IF(H7="","",IF(I7="","Sem promocional "&amp;LOWER(C7)&amp;" com "&amp;D7&amp;" placas: sem piso",IF(K7&gt;0,"Subiu para o promocional","Acima do promocional")))</f>
        <v/>
      </c>
    </row>
    <row r="8">
      <c r="A8" s="38" t="inlineStr"/>
      <c r="B8" s="38" t="inlineStr"/>
      <c r="C8" s="38" t="inlineStr"/>
      <c r="D8" s="14" t="n"/>
      <c r="E8" s="11" t="n"/>
      <c r="F8" s="10" t="n"/>
      <c r="G8" s="25">
        <f>IF(OR(D8="",E8="",F8=""),"",D8*Premissas!$B$29+Premissas!$B$30+Premissas!$B$31+Premissas!$B$32+ROUND(Premissas!$B$38*E8,2))</f>
        <v/>
      </c>
      <c r="H8" s="25">
        <f>IF(OR(D8="",E8="",F8=""),"",ROUNDUP((F8+G8-Premissas!$B$27*F8)/(1-Premissas!$B$28-Premissas!$B$27-Premissas!$B$33),2))</f>
        <v/>
      </c>
      <c r="I8" s="6">
        <f>IF(OR(D8="",E8="",F8=""),"",IF(COUNTIFS(Kits!$A$5:$A$37,C8,Kits!$B$5:$B$37,D8)=0,"",SUMIFS(Kits!$G$5:$G$37,Kits!$A$5:$A$37,C8,Kits!$B$5:$B$37,D8)))</f>
        <v/>
      </c>
      <c r="J8" s="25">
        <f>IF(I8="","",ROUNDUP(I8*(1+Premissas!$B$39),2))</f>
        <v/>
      </c>
      <c r="K8" s="25">
        <f>IF(H8="","",IF(J8="",0,MAX(0,J8-H8)))</f>
        <v/>
      </c>
      <c r="L8" s="27">
        <f>IF(H8="","",H8+K8)</f>
        <v/>
      </c>
      <c r="M8" s="28">
        <f>IF(L8="","",(L8-F8-Premissas!$B$27*(L8-F8)-Premissas!$B$28*L8-G8)/L8)</f>
        <v/>
      </c>
      <c r="N8" s="36">
        <f>IF(H8="","",IF(I8="","Sem promocional "&amp;LOWER(C8)&amp;" com "&amp;D8&amp;" placas: sem piso",IF(K8&gt;0,"Subiu para o promocional","Acima do promocional")))</f>
        <v/>
      </c>
    </row>
    <row r="9">
      <c r="A9" s="38" t="inlineStr"/>
      <c r="B9" s="38" t="inlineStr"/>
      <c r="C9" s="38" t="inlineStr"/>
      <c r="D9" s="14" t="n"/>
      <c r="E9" s="11" t="n"/>
      <c r="F9" s="10" t="n"/>
      <c r="G9" s="25">
        <f>IF(OR(D9="",E9="",F9=""),"",D9*Premissas!$B$29+Premissas!$B$30+Premissas!$B$31+Premissas!$B$32+ROUND(Premissas!$B$38*E9,2))</f>
        <v/>
      </c>
      <c r="H9" s="25">
        <f>IF(OR(D9="",E9="",F9=""),"",ROUNDUP((F9+G9-Premissas!$B$27*F9)/(1-Premissas!$B$28-Premissas!$B$27-Premissas!$B$33),2))</f>
        <v/>
      </c>
      <c r="I9" s="6">
        <f>IF(OR(D9="",E9="",F9=""),"",IF(COUNTIFS(Kits!$A$5:$A$37,C9,Kits!$B$5:$B$37,D9)=0,"",SUMIFS(Kits!$G$5:$G$37,Kits!$A$5:$A$37,C9,Kits!$B$5:$B$37,D9)))</f>
        <v/>
      </c>
      <c r="J9" s="25">
        <f>IF(I9="","",ROUNDUP(I9*(1+Premissas!$B$39),2))</f>
        <v/>
      </c>
      <c r="K9" s="25">
        <f>IF(H9="","",IF(J9="",0,MAX(0,J9-H9)))</f>
        <v/>
      </c>
      <c r="L9" s="27">
        <f>IF(H9="","",H9+K9)</f>
        <v/>
      </c>
      <c r="M9" s="28">
        <f>IF(L9="","",(L9-F9-Premissas!$B$27*(L9-F9)-Premissas!$B$28*L9-G9)/L9)</f>
        <v/>
      </c>
      <c r="N9" s="36">
        <f>IF(H9="","",IF(I9="","Sem promocional "&amp;LOWER(C9)&amp;" com "&amp;D9&amp;" placas: sem piso",IF(K9&gt;0,"Subiu para o promocional","Acima do promocional")))</f>
        <v/>
      </c>
    </row>
    <row r="10">
      <c r="A10" s="38" t="inlineStr"/>
      <c r="B10" s="38" t="inlineStr"/>
      <c r="C10" s="38" t="inlineStr"/>
      <c r="D10" s="14" t="n"/>
      <c r="E10" s="11" t="n"/>
      <c r="F10" s="10" t="n"/>
      <c r="G10" s="25">
        <f>IF(OR(D10="",E10="",F10=""),"",D10*Premissas!$B$29+Premissas!$B$30+Premissas!$B$31+Premissas!$B$32+ROUND(Premissas!$B$38*E10,2))</f>
        <v/>
      </c>
      <c r="H10" s="25">
        <f>IF(OR(D10="",E10="",F10=""),"",ROUNDUP((F10+G10-Premissas!$B$27*F10)/(1-Premissas!$B$28-Premissas!$B$27-Premissas!$B$33),2))</f>
        <v/>
      </c>
      <c r="I10" s="6">
        <f>IF(OR(D10="",E10="",F10=""),"",IF(COUNTIFS(Kits!$A$5:$A$37,C10,Kits!$B$5:$B$37,D10)=0,"",SUMIFS(Kits!$G$5:$G$37,Kits!$A$5:$A$37,C10,Kits!$B$5:$B$37,D10)))</f>
        <v/>
      </c>
      <c r="J10" s="25">
        <f>IF(I10="","",ROUNDUP(I10*(1+Premissas!$B$39),2))</f>
        <v/>
      </c>
      <c r="K10" s="25">
        <f>IF(H10="","",IF(J10="",0,MAX(0,J10-H10)))</f>
        <v/>
      </c>
      <c r="L10" s="27">
        <f>IF(H10="","",H10+K10)</f>
        <v/>
      </c>
      <c r="M10" s="28">
        <f>IF(L10="","",(L10-F10-Premissas!$B$27*(L10-F10)-Premissas!$B$28*L10-G10)/L10)</f>
        <v/>
      </c>
      <c r="N10" s="36">
        <f>IF(H10="","",IF(I10="","Sem promocional "&amp;LOWER(C10)&amp;" com "&amp;D10&amp;" placas: sem piso",IF(K10&gt;0,"Subiu para o promocional","Acima do promocional")))</f>
        <v/>
      </c>
    </row>
    <row r="11">
      <c r="A11" s="38" t="inlineStr"/>
      <c r="B11" s="38" t="inlineStr"/>
      <c r="C11" s="38" t="inlineStr"/>
      <c r="D11" s="14" t="n"/>
      <c r="E11" s="11" t="n"/>
      <c r="F11" s="10" t="n"/>
      <c r="G11" s="25">
        <f>IF(OR(D11="",E11="",F11=""),"",D11*Premissas!$B$29+Premissas!$B$30+Premissas!$B$31+Premissas!$B$32+ROUND(Premissas!$B$38*E11,2))</f>
        <v/>
      </c>
      <c r="H11" s="25">
        <f>IF(OR(D11="",E11="",F11=""),"",ROUNDUP((F11+G11-Premissas!$B$27*F11)/(1-Premissas!$B$28-Premissas!$B$27-Premissas!$B$33),2))</f>
        <v/>
      </c>
      <c r="I11" s="6">
        <f>IF(OR(D11="",E11="",F11=""),"",IF(COUNTIFS(Kits!$A$5:$A$37,C11,Kits!$B$5:$B$37,D11)=0,"",SUMIFS(Kits!$G$5:$G$37,Kits!$A$5:$A$37,C11,Kits!$B$5:$B$37,D11)))</f>
        <v/>
      </c>
      <c r="J11" s="25">
        <f>IF(I11="","",ROUNDUP(I11*(1+Premissas!$B$39),2))</f>
        <v/>
      </c>
      <c r="K11" s="25">
        <f>IF(H11="","",IF(J11="",0,MAX(0,J11-H11)))</f>
        <v/>
      </c>
      <c r="L11" s="27">
        <f>IF(H11="","",H11+K11)</f>
        <v/>
      </c>
      <c r="M11" s="28">
        <f>IF(L11="","",(L11-F11-Premissas!$B$27*(L11-F11)-Premissas!$B$28*L11-G11)/L11)</f>
        <v/>
      </c>
      <c r="N11" s="36">
        <f>IF(H11="","",IF(I11="","Sem promocional "&amp;LOWER(C11)&amp;" com "&amp;D11&amp;" placas: sem piso",IF(K11&gt;0,"Subiu para o promocional","Acima do promocional")))</f>
        <v/>
      </c>
    </row>
    <row r="12">
      <c r="A12" s="38" t="inlineStr"/>
      <c r="B12" s="38" t="inlineStr"/>
      <c r="C12" s="38" t="inlineStr"/>
      <c r="D12" s="14" t="n"/>
      <c r="E12" s="11" t="n"/>
      <c r="F12" s="10" t="n"/>
      <c r="G12" s="25">
        <f>IF(OR(D12="",E12="",F12=""),"",D12*Premissas!$B$29+Premissas!$B$30+Premissas!$B$31+Premissas!$B$32+ROUND(Premissas!$B$38*E12,2))</f>
        <v/>
      </c>
      <c r="H12" s="25">
        <f>IF(OR(D12="",E12="",F12=""),"",ROUNDUP((F12+G12-Premissas!$B$27*F12)/(1-Premissas!$B$28-Premissas!$B$27-Premissas!$B$33),2))</f>
        <v/>
      </c>
      <c r="I12" s="6">
        <f>IF(OR(D12="",E12="",F12=""),"",IF(COUNTIFS(Kits!$A$5:$A$37,C12,Kits!$B$5:$B$37,D12)=0,"",SUMIFS(Kits!$G$5:$G$37,Kits!$A$5:$A$37,C12,Kits!$B$5:$B$37,D12)))</f>
        <v/>
      </c>
      <c r="J12" s="25">
        <f>IF(I12="","",ROUNDUP(I12*(1+Premissas!$B$39),2))</f>
        <v/>
      </c>
      <c r="K12" s="25">
        <f>IF(H12="","",IF(J12="",0,MAX(0,J12-H12)))</f>
        <v/>
      </c>
      <c r="L12" s="27">
        <f>IF(H12="","",H12+K12)</f>
        <v/>
      </c>
      <c r="M12" s="28">
        <f>IF(L12="","",(L12-F12-Premissas!$B$27*(L12-F12)-Premissas!$B$28*L12-G12)/L12)</f>
        <v/>
      </c>
      <c r="N12" s="36">
        <f>IF(H12="","",IF(I12="","Sem promocional "&amp;LOWER(C12)&amp;" com "&amp;D12&amp;" placas: sem piso",IF(K12&gt;0,"Subiu para o promocional","Acima do promocional")))</f>
        <v/>
      </c>
    </row>
    <row r="13">
      <c r="A13" s="38" t="inlineStr"/>
      <c r="B13" s="38" t="inlineStr"/>
      <c r="C13" s="38" t="inlineStr"/>
      <c r="D13" s="14" t="n"/>
      <c r="E13" s="11" t="n"/>
      <c r="F13" s="10" t="n"/>
      <c r="G13" s="25">
        <f>IF(OR(D13="",E13="",F13=""),"",D13*Premissas!$B$29+Premissas!$B$30+Premissas!$B$31+Premissas!$B$32+ROUND(Premissas!$B$38*E13,2))</f>
        <v/>
      </c>
      <c r="H13" s="25">
        <f>IF(OR(D13="",E13="",F13=""),"",ROUNDUP((F13+G13-Premissas!$B$27*F13)/(1-Premissas!$B$28-Premissas!$B$27-Premissas!$B$33),2))</f>
        <v/>
      </c>
      <c r="I13" s="6">
        <f>IF(OR(D13="",E13="",F13=""),"",IF(COUNTIFS(Kits!$A$5:$A$37,C13,Kits!$B$5:$B$37,D13)=0,"",SUMIFS(Kits!$G$5:$G$37,Kits!$A$5:$A$37,C13,Kits!$B$5:$B$37,D13)))</f>
        <v/>
      </c>
      <c r="J13" s="25">
        <f>IF(I13="","",ROUNDUP(I13*(1+Premissas!$B$39),2))</f>
        <v/>
      </c>
      <c r="K13" s="25">
        <f>IF(H13="","",IF(J13="",0,MAX(0,J13-H13)))</f>
        <v/>
      </c>
      <c r="L13" s="27">
        <f>IF(H13="","",H13+K13)</f>
        <v/>
      </c>
      <c r="M13" s="28">
        <f>IF(L13="","",(L13-F13-Premissas!$B$27*(L13-F13)-Premissas!$B$28*L13-G13)/L13)</f>
        <v/>
      </c>
      <c r="N13" s="36">
        <f>IF(H13="","",IF(I13="","Sem promocional "&amp;LOWER(C13)&amp;" com "&amp;D13&amp;" placas: sem piso",IF(K13&gt;0,"Subiu para o promocional","Acima do promocional")))</f>
        <v/>
      </c>
    </row>
    <row r="14">
      <c r="A14" s="38" t="inlineStr"/>
      <c r="B14" s="38" t="inlineStr"/>
      <c r="C14" s="38" t="inlineStr"/>
      <c r="D14" s="14" t="n"/>
      <c r="E14" s="11" t="n"/>
      <c r="F14" s="10" t="n"/>
      <c r="G14" s="25">
        <f>IF(OR(D14="",E14="",F14=""),"",D14*Premissas!$B$29+Premissas!$B$30+Premissas!$B$31+Premissas!$B$32+ROUND(Premissas!$B$38*E14,2))</f>
        <v/>
      </c>
      <c r="H14" s="25">
        <f>IF(OR(D14="",E14="",F14=""),"",ROUNDUP((F14+G14-Premissas!$B$27*F14)/(1-Premissas!$B$28-Premissas!$B$27-Premissas!$B$33),2))</f>
        <v/>
      </c>
      <c r="I14" s="6">
        <f>IF(OR(D14="",E14="",F14=""),"",IF(COUNTIFS(Kits!$A$5:$A$37,C14,Kits!$B$5:$B$37,D14)=0,"",SUMIFS(Kits!$G$5:$G$37,Kits!$A$5:$A$37,C14,Kits!$B$5:$B$37,D14)))</f>
        <v/>
      </c>
      <c r="J14" s="25">
        <f>IF(I14="","",ROUNDUP(I14*(1+Premissas!$B$39),2))</f>
        <v/>
      </c>
      <c r="K14" s="25">
        <f>IF(H14="","",IF(J14="",0,MAX(0,J14-H14)))</f>
        <v/>
      </c>
      <c r="L14" s="27">
        <f>IF(H14="","",H14+K14)</f>
        <v/>
      </c>
      <c r="M14" s="28">
        <f>IF(L14="","",(L14-F14-Premissas!$B$27*(L14-F14)-Premissas!$B$28*L14-G14)/L14)</f>
        <v/>
      </c>
      <c r="N14" s="36">
        <f>IF(H14="","",IF(I14="","Sem promocional "&amp;LOWER(C14)&amp;" com "&amp;D14&amp;" placas: sem piso",IF(K14&gt;0,"Subiu para o promocional","Acima do promocional")))</f>
        <v/>
      </c>
    </row>
    <row r="15">
      <c r="A15" s="38" t="inlineStr"/>
      <c r="B15" s="38" t="inlineStr"/>
      <c r="C15" s="38" t="inlineStr"/>
      <c r="D15" s="14" t="n"/>
      <c r="E15" s="11" t="n"/>
      <c r="F15" s="10" t="n"/>
      <c r="G15" s="25">
        <f>IF(OR(D15="",E15="",F15=""),"",D15*Premissas!$B$29+Premissas!$B$30+Premissas!$B$31+Premissas!$B$32+ROUND(Premissas!$B$38*E15,2))</f>
        <v/>
      </c>
      <c r="H15" s="25">
        <f>IF(OR(D15="",E15="",F15=""),"",ROUNDUP((F15+G15-Premissas!$B$27*F15)/(1-Premissas!$B$28-Premissas!$B$27-Premissas!$B$33),2))</f>
        <v/>
      </c>
      <c r="I15" s="6">
        <f>IF(OR(D15="",E15="",F15=""),"",IF(COUNTIFS(Kits!$A$5:$A$37,C15,Kits!$B$5:$B$37,D15)=0,"",SUMIFS(Kits!$G$5:$G$37,Kits!$A$5:$A$37,C15,Kits!$B$5:$B$37,D15)))</f>
        <v/>
      </c>
      <c r="J15" s="25">
        <f>IF(I15="","",ROUNDUP(I15*(1+Premissas!$B$39),2))</f>
        <v/>
      </c>
      <c r="K15" s="25">
        <f>IF(H15="","",IF(J15="",0,MAX(0,J15-H15)))</f>
        <v/>
      </c>
      <c r="L15" s="27">
        <f>IF(H15="","",H15+K15)</f>
        <v/>
      </c>
      <c r="M15" s="28">
        <f>IF(L15="","",(L15-F15-Premissas!$B$27*(L15-F15)-Premissas!$B$28*L15-G15)/L15)</f>
        <v/>
      </c>
      <c r="N15" s="36">
        <f>IF(H15="","",IF(I15="","Sem promocional "&amp;LOWER(C15)&amp;" com "&amp;D15&amp;" placas: sem piso",IF(K15&gt;0,"Subiu para o promocional","Acima do promocional")))</f>
        <v/>
      </c>
    </row>
    <row r="16">
      <c r="A16" s="38" t="inlineStr"/>
      <c r="B16" s="38" t="inlineStr"/>
      <c r="C16" s="38" t="inlineStr"/>
      <c r="D16" s="14" t="n"/>
      <c r="E16" s="11" t="n"/>
      <c r="F16" s="10" t="n"/>
      <c r="G16" s="25">
        <f>IF(OR(D16="",E16="",F16=""),"",D16*Premissas!$B$29+Premissas!$B$30+Premissas!$B$31+Premissas!$B$32+ROUND(Premissas!$B$38*E16,2))</f>
        <v/>
      </c>
      <c r="H16" s="25">
        <f>IF(OR(D16="",E16="",F16=""),"",ROUNDUP((F16+G16-Premissas!$B$27*F16)/(1-Premissas!$B$28-Premissas!$B$27-Premissas!$B$33),2))</f>
        <v/>
      </c>
      <c r="I16" s="6">
        <f>IF(OR(D16="",E16="",F16=""),"",IF(COUNTIFS(Kits!$A$5:$A$37,C16,Kits!$B$5:$B$37,D16)=0,"",SUMIFS(Kits!$G$5:$G$37,Kits!$A$5:$A$37,C16,Kits!$B$5:$B$37,D16)))</f>
        <v/>
      </c>
      <c r="J16" s="25">
        <f>IF(I16="","",ROUNDUP(I16*(1+Premissas!$B$39),2))</f>
        <v/>
      </c>
      <c r="K16" s="25">
        <f>IF(H16="","",IF(J16="",0,MAX(0,J16-H16)))</f>
        <v/>
      </c>
      <c r="L16" s="27">
        <f>IF(H16="","",H16+K16)</f>
        <v/>
      </c>
      <c r="M16" s="28">
        <f>IF(L16="","",(L16-F16-Premissas!$B$27*(L16-F16)-Premissas!$B$28*L16-G16)/L16)</f>
        <v/>
      </c>
      <c r="N16" s="36">
        <f>IF(H16="","",IF(I16="","Sem promocional "&amp;LOWER(C16)&amp;" com "&amp;D16&amp;" placas: sem piso",IF(K16&gt;0,"Subiu para o promocional","Acima do promocional")))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2026-10-09T14:25:54Z</dcterms:created>
  <dcterms:modified xsi:type="dcterms:W3CDTF">2026-10-09T14:25:54Z</dcterms:modified>
</cp:coreProperties>
</file>